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ap" sheetId="1" r:id="rId5"/>
    <sheet state="visible" name="Women" sheetId="2" r:id="rId6"/>
    <sheet state="visible" name="Women - Sold" sheetId="3" r:id="rId7"/>
    <sheet state="visible" name="Kids" sheetId="4" r:id="rId8"/>
    <sheet state="visible" name="Kids - SOLD" sheetId="5" r:id="rId9"/>
    <sheet state="visible" name="Home goods" sheetId="6" r:id="rId10"/>
    <sheet state="visible" name="Home goods - Sold" sheetId="7" r:id="rId11"/>
  </sheets>
  <definedNames/>
  <calcPr/>
</workbook>
</file>

<file path=xl/sharedStrings.xml><?xml version="1.0" encoding="utf-8"?>
<sst xmlns="http://schemas.openxmlformats.org/spreadsheetml/2006/main" count="5812" uniqueCount="2811">
  <si>
    <t>SUMMARY EXPENSES / REVENUS</t>
  </si>
  <si>
    <t>Earth month market 04/19/26</t>
  </si>
  <si>
    <t>65 clothes/accessories sold</t>
  </si>
  <si>
    <t>16 home goods</t>
  </si>
  <si>
    <t>best friends pop-up 03/15/26</t>
  </si>
  <si>
    <t>59 items sold</t>
  </si>
  <si>
    <t>best friends pop-up 01/25/26</t>
  </si>
  <si>
    <t>49 items sold</t>
  </si>
  <si>
    <t>picnic pop up 12/6/25</t>
  </si>
  <si>
    <t>46 clothes sold</t>
  </si>
  <si>
    <t>27 home goods</t>
  </si>
  <si>
    <t>Sales</t>
  </si>
  <si>
    <t>pop up 11/15/25</t>
  </si>
  <si>
    <t>57 clothes sold</t>
  </si>
  <si>
    <t>market 10/05/25</t>
  </si>
  <si>
    <t>revenu</t>
  </si>
  <si>
    <t>30 clothes</t>
  </si>
  <si>
    <t>8 home goods</t>
  </si>
  <si>
    <t>solano stroll 2025</t>
  </si>
  <si>
    <t>36 clothes</t>
  </si>
  <si>
    <t>12 home goods</t>
  </si>
  <si>
    <t>market 8/24</t>
  </si>
  <si>
    <t>38 clothes</t>
  </si>
  <si>
    <t>pop up 6/14</t>
  </si>
  <si>
    <t>7 clothes</t>
  </si>
  <si>
    <t>165 total (included by item)</t>
  </si>
  <si>
    <t>Pop Up 5/17</t>
  </si>
  <si>
    <t>16 clothes</t>
  </si>
  <si>
    <t>1 bag</t>
  </si>
  <si>
    <t>Bon Marché April 2025</t>
  </si>
  <si>
    <t>20 home goods</t>
  </si>
  <si>
    <t>Bon Marché February 2025</t>
  </si>
  <si>
    <t>women clothes purchase</t>
  </si>
  <si>
    <t>expense</t>
  </si>
  <si>
    <t>women clothes sold</t>
  </si>
  <si>
    <t>women clothes shipping</t>
  </si>
  <si>
    <t>home goods purchase</t>
  </si>
  <si>
    <t>home goods sold</t>
  </si>
  <si>
    <t>kids purchases</t>
  </si>
  <si>
    <t>Kids sold</t>
  </si>
  <si>
    <t>Brand</t>
  </si>
  <si>
    <t>what?</t>
  </si>
  <si>
    <t>size</t>
  </si>
  <si>
    <t>cost</t>
  </si>
  <si>
    <t>Sold</t>
  </si>
  <si>
    <t>Shipping</t>
  </si>
  <si>
    <t>Benefice net</t>
  </si>
  <si>
    <t>Market price</t>
  </si>
  <si>
    <t>Link</t>
  </si>
  <si>
    <t>360 cashmere</t>
  </si>
  <si>
    <t>beige cashmere sweater</t>
  </si>
  <si>
    <t>S</t>
  </si>
  <si>
    <t>7 for all mankind</t>
  </si>
  <si>
    <t>black cropped jeans</t>
  </si>
  <si>
    <t>blue jeans</t>
  </si>
  <si>
    <t>A new day</t>
  </si>
  <si>
    <t>teal babydoll dress</t>
  </si>
  <si>
    <t>M</t>
  </si>
  <si>
    <t>abercrombie</t>
  </si>
  <si>
    <t>black tank top</t>
  </si>
  <si>
    <t>Active USa</t>
  </si>
  <si>
    <t>black LS top</t>
  </si>
  <si>
    <t>Adolfo Dominguez</t>
  </si>
  <si>
    <t>blue linen top</t>
  </si>
  <si>
    <t>AERO</t>
  </si>
  <si>
    <t>khaki sweatpants</t>
  </si>
  <si>
    <t>XS</t>
  </si>
  <si>
    <t>AGL</t>
  </si>
  <si>
    <t>bordeaux shoes</t>
  </si>
  <si>
    <t>Agnes B</t>
  </si>
  <si>
    <t>white LS top</t>
  </si>
  <si>
    <t>Akashi Kama</t>
  </si>
  <si>
    <t>green jacket</t>
  </si>
  <si>
    <t>Alessandra Olivia</t>
  </si>
  <si>
    <t>green linen top</t>
  </si>
  <si>
    <t>Alessia Pacini</t>
  </si>
  <si>
    <t>white linen blouse</t>
  </si>
  <si>
    <t>cream linen jacket</t>
  </si>
  <si>
    <t>Alex Mill</t>
  </si>
  <si>
    <t>blue pants</t>
  </si>
  <si>
    <t>All Bird</t>
  </si>
  <si>
    <t>black wool sneakers</t>
  </si>
  <si>
    <t>American Eagle</t>
  </si>
  <si>
    <t>cream dress, SS</t>
  </si>
  <si>
    <t>stain</t>
  </si>
  <si>
    <t>blue/red dress</t>
  </si>
  <si>
    <t>american giant</t>
  </si>
  <si>
    <t>cotton hoodie</t>
  </si>
  <si>
    <t xml:space="preserve">amour vert </t>
  </si>
  <si>
    <t>white/beige LS top</t>
  </si>
  <si>
    <t>black/green LS top</t>
  </si>
  <si>
    <t>navy silk dress</t>
  </si>
  <si>
    <t>grey LS top</t>
  </si>
  <si>
    <t>green wool cropped sweater</t>
  </si>
  <si>
    <t>floral SS top</t>
  </si>
  <si>
    <t>L</t>
  </si>
  <si>
    <t>black white dots top</t>
  </si>
  <si>
    <t>grey stripes tee</t>
  </si>
  <si>
    <t>BW chevron sweater</t>
  </si>
  <si>
    <t>grey top LS with front knot</t>
  </si>
  <si>
    <t>navy/white dress</t>
  </si>
  <si>
    <t>black linen dress</t>
  </si>
  <si>
    <t>navy wool cardigan</t>
  </si>
  <si>
    <t>black jacket</t>
  </si>
  <si>
    <t>black top LS vneck</t>
  </si>
  <si>
    <t xml:space="preserve">Amour vert </t>
  </si>
  <si>
    <t>beige wool skirt</t>
  </si>
  <si>
    <t>Andantini</t>
  </si>
  <si>
    <t>leather cross body bag</t>
  </si>
  <si>
    <t>ann taylor</t>
  </si>
  <si>
    <t>black cashmerre turtleneck</t>
  </si>
  <si>
    <t>anne Klein</t>
  </si>
  <si>
    <t>navy silk blouse</t>
  </si>
  <si>
    <t>8P</t>
  </si>
  <si>
    <t>anthropologie</t>
  </si>
  <si>
    <t>white/blue stripes linen pants</t>
  </si>
  <si>
    <t>red pants</t>
  </si>
  <si>
    <t>blue long cocktail dress</t>
  </si>
  <si>
    <t>beige top blue dots</t>
  </si>
  <si>
    <t>blue ruffle top</t>
  </si>
  <si>
    <t>XXS</t>
  </si>
  <si>
    <t>black mini dress</t>
  </si>
  <si>
    <t>Aqua cashmere</t>
  </si>
  <si>
    <t>grey frenchy sweater</t>
  </si>
  <si>
    <t>cream turtleneck cashmere</t>
  </si>
  <si>
    <t xml:space="preserve">Aran </t>
  </si>
  <si>
    <t>dark pink wool cardigan</t>
  </si>
  <si>
    <t>Aritzia</t>
  </si>
  <si>
    <t>navy wool cableknit sweater</t>
  </si>
  <si>
    <t>Armani collezioni</t>
  </si>
  <si>
    <t>bouclé jacket</t>
  </si>
  <si>
    <t>Armor Lux</t>
  </si>
  <si>
    <t>navy wool sweater</t>
  </si>
  <si>
    <t>artclass</t>
  </si>
  <si>
    <t>12yo</t>
  </si>
  <si>
    <t>asian eyes</t>
  </si>
  <si>
    <t>wool scarf</t>
  </si>
  <si>
    <t>athleta</t>
  </si>
  <si>
    <t>cream wool turtleneck</t>
  </si>
  <si>
    <t>stained</t>
  </si>
  <si>
    <t>light grey hoodie cotton/tencel</t>
  </si>
  <si>
    <t>beige SS shirt</t>
  </si>
  <si>
    <t>beige wool dress</t>
  </si>
  <si>
    <t>cream cashmere open cardigan</t>
  </si>
  <si>
    <t>girl cardigan</t>
  </si>
  <si>
    <t>grey/white legging</t>
  </si>
  <si>
    <t>grey hoody SS</t>
  </si>
  <si>
    <t>audrey brooke</t>
  </si>
  <si>
    <t>leather sandals</t>
  </si>
  <si>
    <t>Australian</t>
  </si>
  <si>
    <t>red/navy wool sweater</t>
  </si>
  <si>
    <t>Bally</t>
  </si>
  <si>
    <t>navy merino cardigan</t>
  </si>
  <si>
    <t>banana R</t>
  </si>
  <si>
    <t>teal cashmere sweater</t>
  </si>
  <si>
    <t>needs a repair</t>
  </si>
  <si>
    <t>tan long dress</t>
  </si>
  <si>
    <t>coral merino sweater</t>
  </si>
  <si>
    <t>bordeaux cardigan silk/cotton</t>
  </si>
  <si>
    <t>BW pinstripes shirt</t>
  </si>
  <si>
    <t>black tiger sweater silk/cashmere</t>
  </si>
  <si>
    <t>silk LS shirt</t>
  </si>
  <si>
    <t>giraffe cotton sweater</t>
  </si>
  <si>
    <t>black organic wool dress</t>
  </si>
  <si>
    <t>forest green wool sweater</t>
  </si>
  <si>
    <t>black merino wool sweater</t>
  </si>
  <si>
    <t>heathered red linen/cotton shirt</t>
  </si>
  <si>
    <t>blue wool cardigan</t>
  </si>
  <si>
    <t>beige silk shirt</t>
  </si>
  <si>
    <t>brown suit jacket</t>
  </si>
  <si>
    <t>6P</t>
  </si>
  <si>
    <t>beige merino cardigan</t>
  </si>
  <si>
    <t>chambray pants</t>
  </si>
  <si>
    <t>black merino sweater SS</t>
  </si>
  <si>
    <t>new - tan SL cashmere top</t>
  </si>
  <si>
    <t>navy sweater with back knot</t>
  </si>
  <si>
    <t>large brown wool blend sweater</t>
  </si>
  <si>
    <t>Silk blend dark pink turtleneck</t>
  </si>
  <si>
    <t>merino wool cream sweater</t>
  </si>
  <si>
    <t>dark grey wool cardigan</t>
  </si>
  <si>
    <t>black/white boho blouse</t>
  </si>
  <si>
    <t>brown silk skirt</t>
  </si>
  <si>
    <t>denim shorts</t>
  </si>
  <si>
    <t>2P</t>
  </si>
  <si>
    <t xml:space="preserve"> </t>
  </si>
  <si>
    <t>cream/brown wool coat</t>
  </si>
  <si>
    <t>beige linen cardigan</t>
  </si>
  <si>
    <t>Banana R</t>
  </si>
  <si>
    <t>blue silk dress</t>
  </si>
  <si>
    <t>stains</t>
  </si>
  <si>
    <t>Light grey sweater cotton/silk</t>
  </si>
  <si>
    <t>pink filpucci sweater</t>
  </si>
  <si>
    <t>sleeveless purple top</t>
  </si>
  <si>
    <t>beige city chino pants</t>
  </si>
  <si>
    <t>khaki pants</t>
  </si>
  <si>
    <t>BA&amp;sh</t>
  </si>
  <si>
    <t>coral blouse</t>
  </si>
  <si>
    <t>BCBG Max Azria</t>
  </si>
  <si>
    <t>coral silk blouse</t>
  </si>
  <si>
    <t>has a stain</t>
  </si>
  <si>
    <t>green SL knit top</t>
  </si>
  <si>
    <t>BW silk top</t>
  </si>
  <si>
    <t>brown stripes top</t>
  </si>
  <si>
    <t>leather jacket</t>
  </si>
  <si>
    <t>BeachLunchLounge</t>
  </si>
  <si>
    <t>striped dress</t>
  </si>
  <si>
    <t>bella dahl</t>
  </si>
  <si>
    <t>grey cotton sweater</t>
  </si>
  <si>
    <t>Billabong</t>
  </si>
  <si>
    <t>cream jumpsuit</t>
  </si>
  <si>
    <t>stripes jumpsuit</t>
  </si>
  <si>
    <t>tye dye romper</t>
  </si>
  <si>
    <t>orange shorts</t>
  </si>
  <si>
    <t>mini dress with stripes</t>
  </si>
  <si>
    <t>Billy Reid</t>
  </si>
  <si>
    <t>men cream wool/cotton sweater</t>
  </si>
  <si>
    <t>Bloomingdale</t>
  </si>
  <si>
    <t>teal eyelet cashmere sweater</t>
  </si>
  <si>
    <t>purple cashmere sweater</t>
  </si>
  <si>
    <t>needs repair</t>
  </si>
  <si>
    <t>Blowfish</t>
  </si>
  <si>
    <t>tan sandals / kids</t>
  </si>
  <si>
    <t>Blue canoe</t>
  </si>
  <si>
    <t>navy SL top</t>
  </si>
  <si>
    <t>BMW</t>
  </si>
  <si>
    <t>puff jacket</t>
  </si>
  <si>
    <t>BOC</t>
  </si>
  <si>
    <t>blue leather sandals</t>
  </si>
  <si>
    <t>6M</t>
  </si>
  <si>
    <t>Boden</t>
  </si>
  <si>
    <t>denim dress</t>
  </si>
  <si>
    <t>Bomi style</t>
  </si>
  <si>
    <t>red/navy sweater</t>
  </si>
  <si>
    <t>Bonner</t>
  </si>
  <si>
    <t>grey wool sweater</t>
  </si>
  <si>
    <t>Bonnie and Bill</t>
  </si>
  <si>
    <t>vintage black sweater</t>
  </si>
  <si>
    <t>P</t>
  </si>
  <si>
    <t>brandy melville</t>
  </si>
  <si>
    <t>wool vest</t>
  </si>
  <si>
    <t xml:space="preserve">Brighton </t>
  </si>
  <si>
    <t>All you need is love scarf</t>
  </si>
  <si>
    <t>broadway and broome</t>
  </si>
  <si>
    <t>plaid shirt</t>
  </si>
  <si>
    <t>brooks brother</t>
  </si>
  <si>
    <t>blue stripes LS shirt</t>
  </si>
  <si>
    <t>panther sweater</t>
  </si>
  <si>
    <t>blue gingham shirt</t>
  </si>
  <si>
    <t>brownstone studio</t>
  </si>
  <si>
    <t>rayon skirt</t>
  </si>
  <si>
    <t>Bryn Walker</t>
  </si>
  <si>
    <t>green linen pants</t>
  </si>
  <si>
    <t>orange linen caraco</t>
  </si>
  <si>
    <t>Burberry London</t>
  </si>
  <si>
    <t>cream shirt</t>
  </si>
  <si>
    <t>Burberry Brit</t>
  </si>
  <si>
    <t>black jeans 32x32</t>
  </si>
  <si>
    <t>Burton</t>
  </si>
  <si>
    <t>purple shirt dress</t>
  </si>
  <si>
    <t xml:space="preserve">carry back </t>
  </si>
  <si>
    <t>ramie/cotton pink skirt</t>
  </si>
  <si>
    <t>cashmere project</t>
  </si>
  <si>
    <t>grey cashmere turtleneck</t>
  </si>
  <si>
    <t>Caslon</t>
  </si>
  <si>
    <t>light blue / white linen jacket</t>
  </si>
  <si>
    <t>Cat &amp; Jack</t>
  </si>
  <si>
    <t>denim jacket</t>
  </si>
  <si>
    <t>cavalini</t>
  </si>
  <si>
    <t>stripe shirt</t>
  </si>
  <si>
    <t>c&amp;C California</t>
  </si>
  <si>
    <t>light pink top</t>
  </si>
  <si>
    <t>beige linen dress</t>
  </si>
  <si>
    <t>Charlotte Russe</t>
  </si>
  <si>
    <t>white top</t>
  </si>
  <si>
    <t>charter club</t>
  </si>
  <si>
    <t>grey heathered cotton sweater</t>
  </si>
  <si>
    <t>beige cashmere cardigan</t>
  </si>
  <si>
    <t>black wool jacket</t>
  </si>
  <si>
    <t>PS</t>
  </si>
  <si>
    <t>gloden sweater</t>
  </si>
  <si>
    <t>Chattawak</t>
  </si>
  <si>
    <t>black sweater</t>
  </si>
  <si>
    <t>chelsea flower</t>
  </si>
  <si>
    <t>coral silk shirt</t>
  </si>
  <si>
    <t>Cherokee</t>
  </si>
  <si>
    <t>green linen shirt</t>
  </si>
  <si>
    <t>Clarks</t>
  </si>
  <si>
    <t>beige sandals</t>
  </si>
  <si>
    <t>claudie pierlot</t>
  </si>
  <si>
    <t>beige floral dress</t>
  </si>
  <si>
    <t>Cloth and stone</t>
  </si>
  <si>
    <t>denim blouse</t>
  </si>
  <si>
    <t>white shirt with stars</t>
  </si>
  <si>
    <t>grey plaid shirt</t>
  </si>
  <si>
    <t>olive green shirt</t>
  </si>
  <si>
    <t>yellow SL top</t>
  </si>
  <si>
    <t>denim SS shirt</t>
  </si>
  <si>
    <t>green tencel dress with belt</t>
  </si>
  <si>
    <t>blue white stripe sweater dress</t>
  </si>
  <si>
    <t>blue shorts</t>
  </si>
  <si>
    <t>tye dye blue pants</t>
  </si>
  <si>
    <t>blue rayon/linen shirt</t>
  </si>
  <si>
    <t>Clyde</t>
  </si>
  <si>
    <t>vintage skirt</t>
  </si>
  <si>
    <t>cole haan</t>
  </si>
  <si>
    <t>beige suede shoes</t>
  </si>
  <si>
    <t>8B</t>
  </si>
  <si>
    <t>collection 18</t>
  </si>
  <si>
    <t>teal scarf</t>
  </si>
  <si>
    <t>comptoir des cotonniers</t>
  </si>
  <si>
    <t>brown open cardigan</t>
  </si>
  <si>
    <t>Converse</t>
  </si>
  <si>
    <t>grey shoes size 7.5</t>
  </si>
  <si>
    <t>COS</t>
  </si>
  <si>
    <t>cream cropped sweater</t>
  </si>
  <si>
    <t>mustard yellow top</t>
  </si>
  <si>
    <t>Cotélac</t>
  </si>
  <si>
    <t>grey alpaca blend cardigan</t>
  </si>
  <si>
    <t>coyuchi</t>
  </si>
  <si>
    <t>red tee</t>
  </si>
  <si>
    <t>pink SL tee</t>
  </si>
  <si>
    <t>CP shades</t>
  </si>
  <si>
    <t>linen plaid LS shirt</t>
  </si>
  <si>
    <t>Creations AM</t>
  </si>
  <si>
    <t>pinstripes blazer</t>
  </si>
  <si>
    <t>Cristian</t>
  </si>
  <si>
    <t>red leather bag</t>
  </si>
  <si>
    <t>Cut loose</t>
  </si>
  <si>
    <t>red linen shirt</t>
  </si>
  <si>
    <t>https://cutloose.com/our-story/</t>
  </si>
  <si>
    <t>cynthia rowley</t>
  </si>
  <si>
    <t>orange linen dress</t>
  </si>
  <si>
    <t>Danskin</t>
  </si>
  <si>
    <t>white ballerina</t>
  </si>
  <si>
    <t>Diane von Furstenberg</t>
  </si>
  <si>
    <t>Silk button down shirt</t>
  </si>
  <si>
    <t>beige silk/cashmere light sweater</t>
  </si>
  <si>
    <t>BW silk blouse</t>
  </si>
  <si>
    <t>Dockers</t>
  </si>
  <si>
    <t>black shorts</t>
  </si>
  <si>
    <t>Dumani of CA</t>
  </si>
  <si>
    <t>vintage red blazer</t>
  </si>
  <si>
    <t>Earth</t>
  </si>
  <si>
    <t>black ballerina</t>
  </si>
  <si>
    <t>7B</t>
  </si>
  <si>
    <t>eddie bauer</t>
  </si>
  <si>
    <t>red vintage gilet</t>
  </si>
  <si>
    <t>holes</t>
  </si>
  <si>
    <t>purple cotton angora sweater</t>
  </si>
  <si>
    <t>Eileen Fisher</t>
  </si>
  <si>
    <t>black cardigan hemp/nylon</t>
  </si>
  <si>
    <t>has stains</t>
  </si>
  <si>
    <t>dark brown open cardigan</t>
  </si>
  <si>
    <t>needs repairs</t>
  </si>
  <si>
    <t>purple wol coat</t>
  </si>
  <si>
    <t>teal eyelet cardigan</t>
  </si>
  <si>
    <t>red wool jacket</t>
  </si>
  <si>
    <t>blue tencel/cotton sweater</t>
  </si>
  <si>
    <t>white eyelet SS cardigan</t>
  </si>
  <si>
    <t>coral tunic</t>
  </si>
  <si>
    <t>coral silk skirt + top</t>
  </si>
  <si>
    <t>burgundy merino sweater w/ scarf</t>
  </si>
  <si>
    <t>black viscose top</t>
  </si>
  <si>
    <t>light grey cashmere poncho</t>
  </si>
  <si>
    <t>brown linen jacket</t>
  </si>
  <si>
    <t>grey merino wool sweater</t>
  </si>
  <si>
    <t>indigo merino wool sweater</t>
  </si>
  <si>
    <t>dark grey open cardigan</t>
  </si>
  <si>
    <t>black viscose/silk blazer</t>
  </si>
  <si>
    <t>teal silk blouse</t>
  </si>
  <si>
    <t>navy/white poncho</t>
  </si>
  <si>
    <t>teal cashmere cardigan</t>
  </si>
  <si>
    <t>shrunk</t>
  </si>
  <si>
    <t>long brown wool jacket</t>
  </si>
  <si>
    <t>navy light wool cardigan repaired</t>
  </si>
  <si>
    <t>repair</t>
  </si>
  <si>
    <t>white wool jacket</t>
  </si>
  <si>
    <t>Ekyog</t>
  </si>
  <si>
    <t>khaki silk dress</t>
  </si>
  <si>
    <t>green silk blouse</t>
  </si>
  <si>
    <t>Elie Tahari</t>
  </si>
  <si>
    <t>blue silk blend top SL</t>
  </si>
  <si>
    <t>navy silk top SS</t>
  </si>
  <si>
    <t>cream blazer</t>
  </si>
  <si>
    <t>keep</t>
  </si>
  <si>
    <t>Elizabeth and James</t>
  </si>
  <si>
    <t>Stripe shirt</t>
  </si>
  <si>
    <t>Ella Moss</t>
  </si>
  <si>
    <t>red romper</t>
  </si>
  <si>
    <t>Emanuel Ungaro</t>
  </si>
  <si>
    <t>black blazer</t>
  </si>
  <si>
    <t>10P</t>
  </si>
  <si>
    <t>ESPRIT</t>
  </si>
  <si>
    <t>vintage lambswool sweater</t>
  </si>
  <si>
    <t>red floral top</t>
  </si>
  <si>
    <t>STRIPE JACKET</t>
  </si>
  <si>
    <t>Ethos</t>
  </si>
  <si>
    <t>red dress</t>
  </si>
  <si>
    <t>everlane</t>
  </si>
  <si>
    <t>tan jacket</t>
  </si>
  <si>
    <t>cream sweatshirt</t>
  </si>
  <si>
    <t>brown wool/alpaca cardigan</t>
  </si>
  <si>
    <t>mauve cashmere sweater</t>
  </si>
  <si>
    <t>red flats</t>
  </si>
  <si>
    <t>blue tank top</t>
  </si>
  <si>
    <t>green tank top</t>
  </si>
  <si>
    <t>Yellow SS top</t>
  </si>
  <si>
    <t>peach silk shirt</t>
  </si>
  <si>
    <t>tan polo SS</t>
  </si>
  <si>
    <t>bordeaux LS cropped tee</t>
  </si>
  <si>
    <t>Everlane</t>
  </si>
  <si>
    <t>black cashmere sweater</t>
  </si>
  <si>
    <t>white tee</t>
  </si>
  <si>
    <t>grey wool hoodie</t>
  </si>
  <si>
    <t>black cotton top</t>
  </si>
  <si>
    <t>baggy corduroy</t>
  </si>
  <si>
    <t>light sweater mockneck sweater</t>
  </si>
  <si>
    <t>grey shirt dress</t>
  </si>
  <si>
    <t>black loafers</t>
  </si>
  <si>
    <t>black skinny jeans</t>
  </si>
  <si>
    <t>peach wool cotton SS turtleneck</t>
  </si>
  <si>
    <t>black button down shirt</t>
  </si>
  <si>
    <t>skinny jeans</t>
  </si>
  <si>
    <t>pink high rise shorts</t>
  </si>
  <si>
    <t>high rise beige pants</t>
  </si>
  <si>
    <t>???</t>
  </si>
  <si>
    <t>blue wrapped dress</t>
  </si>
  <si>
    <t>size 29 ankle jeans</t>
  </si>
  <si>
    <t>Beige LS shirt</t>
  </si>
  <si>
    <t>dark blue pants</t>
  </si>
  <si>
    <t xml:space="preserve">jeans </t>
  </si>
  <si>
    <t>Express</t>
  </si>
  <si>
    <t>brown stripes shirt</t>
  </si>
  <si>
    <t>faded glory</t>
  </si>
  <si>
    <t>black pants</t>
  </si>
  <si>
    <t>16yo</t>
  </si>
  <si>
    <t>FLAX</t>
  </si>
  <si>
    <t>brick shirt</t>
  </si>
  <si>
    <t>Fossil</t>
  </si>
  <si>
    <t>brown leather bag</t>
  </si>
  <si>
    <t>Frame</t>
  </si>
  <si>
    <t>grey cashmere hoodie</t>
  </si>
  <si>
    <t>Frank &amp; eileen</t>
  </si>
  <si>
    <t>tan sweater</t>
  </si>
  <si>
    <t>Free people</t>
  </si>
  <si>
    <t>vintage wool sweater</t>
  </si>
  <si>
    <t>Frye</t>
  </si>
  <si>
    <t>brown boots</t>
  </si>
  <si>
    <t>french connection</t>
  </si>
  <si>
    <t>black blouse</t>
  </si>
  <si>
    <t>blue/white summer dress</t>
  </si>
  <si>
    <t>Mozart popcorn ribbed sweater</t>
  </si>
  <si>
    <t>https://usa.frenchconnection.com/collections/womens-sweaters-cardigans</t>
  </si>
  <si>
    <t>gap</t>
  </si>
  <si>
    <t>linen/cotton top</t>
  </si>
  <si>
    <t>blue gauze shirt</t>
  </si>
  <si>
    <t>blue stripes LS blouse</t>
  </si>
  <si>
    <t>blue LS linen shirt</t>
  </si>
  <si>
    <t>blue cotton sweater</t>
  </si>
  <si>
    <t>cream cableknit sweater</t>
  </si>
  <si>
    <t>black shorts 1</t>
  </si>
  <si>
    <t>black shorts 2</t>
  </si>
  <si>
    <t>pink sweatpants</t>
  </si>
  <si>
    <t>garnet hill</t>
  </si>
  <si>
    <t>grey wool cardigan</t>
  </si>
  <si>
    <t>org cotton plaid dress</t>
  </si>
  <si>
    <t>beige skirt</t>
  </si>
  <si>
    <t>black merino dress</t>
  </si>
  <si>
    <t>Gerard Darel</t>
  </si>
  <si>
    <t>pink linen top</t>
  </si>
  <si>
    <t>Grace Karin</t>
  </si>
  <si>
    <t>floral dress</t>
  </si>
  <si>
    <t>Guess jeans</t>
  </si>
  <si>
    <t>beige mini skirt</t>
  </si>
  <si>
    <t>Guy Rover</t>
  </si>
  <si>
    <t>linen blazer</t>
  </si>
  <si>
    <t>Halogen</t>
  </si>
  <si>
    <t>grey cashmere cardigan</t>
  </si>
  <si>
    <t>XS P</t>
  </si>
  <si>
    <t>Hammacher S</t>
  </si>
  <si>
    <t>men grey cashmere sweater</t>
  </si>
  <si>
    <t>XL</t>
  </si>
  <si>
    <t>has holes</t>
  </si>
  <si>
    <t>Harry Potter</t>
  </si>
  <si>
    <t>Griffindor cardigan</t>
  </si>
  <si>
    <t>Hawes and Curtis</t>
  </si>
  <si>
    <t>Hill House</t>
  </si>
  <si>
    <t>blue baby cardgan</t>
  </si>
  <si>
    <t>0-3</t>
  </si>
  <si>
    <t>HM</t>
  </si>
  <si>
    <t>black crop top</t>
  </si>
  <si>
    <t>recharged sweater</t>
  </si>
  <si>
    <t>blue/white stripes fluffy top</t>
  </si>
  <si>
    <t>Hobbs</t>
  </si>
  <si>
    <t>navy merino sweater</t>
  </si>
  <si>
    <t>hydra</t>
  </si>
  <si>
    <t>long blue stripe dress</t>
  </si>
  <si>
    <t>inaini</t>
  </si>
  <si>
    <t>BW silk scarf</t>
  </si>
  <si>
    <t>indigenous</t>
  </si>
  <si>
    <t>dark grey duster</t>
  </si>
  <si>
    <t>ines de la fressange</t>
  </si>
  <si>
    <t>navy cashmere sweater</t>
  </si>
  <si>
    <t>BW jacket</t>
  </si>
  <si>
    <t>floral LSshirt</t>
  </si>
  <si>
    <t>isaac mizrahi</t>
  </si>
  <si>
    <t>red/black/brown scarf</t>
  </si>
  <si>
    <t>Isabel marant</t>
  </si>
  <si>
    <t>black short skirt</t>
  </si>
  <si>
    <t>plaid blouse</t>
  </si>
  <si>
    <t>Janeville</t>
  </si>
  <si>
    <t>brown cardigan</t>
  </si>
  <si>
    <t>JCrew</t>
  </si>
  <si>
    <t>white cotton SL top</t>
  </si>
  <si>
    <t>blue leather bag</t>
  </si>
  <si>
    <t>bright purple cashmere sweater</t>
  </si>
  <si>
    <t>light grey cashmere sweater</t>
  </si>
  <si>
    <t>green wool zipper sweater</t>
  </si>
  <si>
    <t>yellow/navy stripes cashmere</t>
  </si>
  <si>
    <t>mustard wool coat</t>
  </si>
  <si>
    <t>6T</t>
  </si>
  <si>
    <t>navy plaid shirt</t>
  </si>
  <si>
    <t>coral plaid shirt</t>
  </si>
  <si>
    <t>NEW blue stripes LS blouse</t>
  </si>
  <si>
    <t>NEW green sweatshirt JOY</t>
  </si>
  <si>
    <t>red stripes shirt</t>
  </si>
  <si>
    <t>pink cashmere sweater</t>
  </si>
  <si>
    <t>navy/white polka dots shirt</t>
  </si>
  <si>
    <t>mariniere</t>
  </si>
  <si>
    <t>grey/white thick open cardigan</t>
  </si>
  <si>
    <t>brown silk dress</t>
  </si>
  <si>
    <t>brown blouse with dots</t>
  </si>
  <si>
    <t>Jcrew</t>
  </si>
  <si>
    <t>Abigail Borg silk skirt</t>
  </si>
  <si>
    <t>jcrew</t>
  </si>
  <si>
    <t>beige stripes dress</t>
  </si>
  <si>
    <t>all black dress</t>
  </si>
  <si>
    <t>jeanne iguchi</t>
  </si>
  <si>
    <t>Jeanne pierre</t>
  </si>
  <si>
    <t>jenny eyelet</t>
  </si>
  <si>
    <t>navy SL gilet</t>
  </si>
  <si>
    <t>jigsaw</t>
  </si>
  <si>
    <t>marin stripes top</t>
  </si>
  <si>
    <t>grey silk top</t>
  </si>
  <si>
    <t>navy blue wool jacket</t>
  </si>
  <si>
    <t>jil capuccio</t>
  </si>
  <si>
    <t>jill</t>
  </si>
  <si>
    <t>beige stretch pants</t>
  </si>
  <si>
    <t>Jimmy Choo</t>
  </si>
  <si>
    <t>red croco shoes</t>
  </si>
  <si>
    <t>JM</t>
  </si>
  <si>
    <t>joes</t>
  </si>
  <si>
    <t>straight jeans</t>
  </si>
  <si>
    <t>bootcut jeans</t>
  </si>
  <si>
    <t>bootcut jeans 2</t>
  </si>
  <si>
    <t>John Galt</t>
  </si>
  <si>
    <t>quarter zip jacket</t>
  </si>
  <si>
    <t>Joie</t>
  </si>
  <si>
    <t>scales patter silk SL top</t>
  </si>
  <si>
    <t>blue/grey silk shirt</t>
  </si>
  <si>
    <t>vine wool jacket</t>
  </si>
  <si>
    <t>Jonak</t>
  </si>
  <si>
    <t>brown heels</t>
  </si>
  <si>
    <t>Jones new york</t>
  </si>
  <si>
    <t>blue cashmere sweater</t>
  </si>
  <si>
    <t>black silk dress</t>
  </si>
  <si>
    <t>Joy Mangano</t>
  </si>
  <si>
    <t>taupe leather crossbody bag</t>
  </si>
  <si>
    <t>Kaporal</t>
  </si>
  <si>
    <t>bootcut jeans, dark</t>
  </si>
  <si>
    <t>kate spade</t>
  </si>
  <si>
    <t>red/beige top</t>
  </si>
  <si>
    <t>red blouse</t>
  </si>
  <si>
    <t>black leather bag</t>
  </si>
  <si>
    <t>brown suede shoes</t>
  </si>
  <si>
    <t>BW dress, SS</t>
  </si>
  <si>
    <t>Kiu Lab</t>
  </si>
  <si>
    <t xml:space="preserve">light green dress </t>
  </si>
  <si>
    <t>Knot by chance</t>
  </si>
  <si>
    <t>Coral poncho</t>
  </si>
  <si>
    <t>known supply</t>
  </si>
  <si>
    <t>green dress, SL</t>
  </si>
  <si>
    <t>Kookai</t>
  </si>
  <si>
    <t>navy/black SS sweater</t>
  </si>
  <si>
    <t>brown wool dress</t>
  </si>
  <si>
    <t>navy blue pants</t>
  </si>
  <si>
    <t>red/black silk blouse</t>
  </si>
  <si>
    <t>L'agence</t>
  </si>
  <si>
    <t>stripes LS top</t>
  </si>
  <si>
    <t>Margot white jeans</t>
  </si>
  <si>
    <t>https://lagence.com/products/margot-high-rise-skinny-jeans-blanc</t>
  </si>
  <si>
    <t>Label + thread</t>
  </si>
  <si>
    <t>cashmere sweater</t>
  </si>
  <si>
    <t>Lands End</t>
  </si>
  <si>
    <t>Lara Knit</t>
  </si>
  <si>
    <t>grey mohair sweater</t>
  </si>
  <si>
    <t>Laredoute</t>
  </si>
  <si>
    <t>cotton/linen beige dress</t>
  </si>
  <si>
    <t>Laura Ashley</t>
  </si>
  <si>
    <t>vintage light pink shirt</t>
  </si>
  <si>
    <t>lauren - Ralph Lauren</t>
  </si>
  <si>
    <t>Lauren - Ralph Lauren</t>
  </si>
  <si>
    <t>black hoodie</t>
  </si>
  <si>
    <t>Lee</t>
  </si>
  <si>
    <t>navy relaxed pants</t>
  </si>
  <si>
    <t>Les Lunes</t>
  </si>
  <si>
    <t>teal pants</t>
  </si>
  <si>
    <t>Les lunes</t>
  </si>
  <si>
    <t>green wrap dress</t>
  </si>
  <si>
    <t>vine skirt</t>
  </si>
  <si>
    <t>les petits carreaux</t>
  </si>
  <si>
    <t>beige cotton top</t>
  </si>
  <si>
    <t>Les Petites</t>
  </si>
  <si>
    <t>green silk top SL</t>
  </si>
  <si>
    <t>MT</t>
  </si>
  <si>
    <t>Levis</t>
  </si>
  <si>
    <t>black jeans 711</t>
  </si>
  <si>
    <t>Lucy wing top, NWT</t>
  </si>
  <si>
    <t>levis</t>
  </si>
  <si>
    <t>pink tank top</t>
  </si>
  <si>
    <t>535 legging jeans</t>
  </si>
  <si>
    <t>5M</t>
  </si>
  <si>
    <t>Liebeskind</t>
  </si>
  <si>
    <t>pink bag</t>
  </si>
  <si>
    <t>Lilli Ann Collections</t>
  </si>
  <si>
    <t>BW wool skirt</t>
  </si>
  <si>
    <t>linenfox</t>
  </si>
  <si>
    <t>grey top (dress?)</t>
  </si>
  <si>
    <t>S/M</t>
  </si>
  <si>
    <t>live free or dye</t>
  </si>
  <si>
    <t>tan gauze cotton top</t>
  </si>
  <si>
    <t>LL Bean</t>
  </si>
  <si>
    <t>light blue lambswool sweater</t>
  </si>
  <si>
    <t>vintage dark pink sweater</t>
  </si>
  <si>
    <t>vintage fair isle wool sweater</t>
  </si>
  <si>
    <t>white/coral shirt</t>
  </si>
  <si>
    <t>burgundy turtleneck</t>
  </si>
  <si>
    <t>cream vintage sweater</t>
  </si>
  <si>
    <t>LODIS</t>
  </si>
  <si>
    <t>BLACK LEATHER BAG</t>
  </si>
  <si>
    <t>loft</t>
  </si>
  <si>
    <t>beige stripes linen dress</t>
  </si>
  <si>
    <t>beige linen top</t>
  </si>
  <si>
    <t>blue eyelet dress</t>
  </si>
  <si>
    <t>00P</t>
  </si>
  <si>
    <t>Lole</t>
  </si>
  <si>
    <t>grey hoodie</t>
  </si>
  <si>
    <t>Lord and Taylor</t>
  </si>
  <si>
    <t>lululemon</t>
  </si>
  <si>
    <t>grey legging</t>
  </si>
  <si>
    <t>lulu's</t>
  </si>
  <si>
    <t>dress</t>
  </si>
  <si>
    <t>madewell</t>
  </si>
  <si>
    <t>beige wool sweater</t>
  </si>
  <si>
    <t>mustard wrap dress</t>
  </si>
  <si>
    <t>white boots</t>
  </si>
  <si>
    <t>grey heathered cardigan</t>
  </si>
  <si>
    <t>blue/white wide stripes shirt</t>
  </si>
  <si>
    <t>black/red stripes LS shirt</t>
  </si>
  <si>
    <t>fleece gilet</t>
  </si>
  <si>
    <t>mauve tee</t>
  </si>
  <si>
    <t>dark grey cotton LS top</t>
  </si>
  <si>
    <t>green silk top / black dots</t>
  </si>
  <si>
    <t>rust flowers blue top</t>
  </si>
  <si>
    <t>black sandals</t>
  </si>
  <si>
    <t>brown wool long cardigan</t>
  </si>
  <si>
    <t>snake heel sandals</t>
  </si>
  <si>
    <t>wool/cotton white jacket</t>
  </si>
  <si>
    <t>navy pinstripes linen dress</t>
  </si>
  <si>
    <t>BW stripes shirt</t>
  </si>
  <si>
    <t>black eyelet top</t>
  </si>
  <si>
    <t>black overalls</t>
  </si>
  <si>
    <t>leather boots</t>
  </si>
  <si>
    <t>floral silk blouse</t>
  </si>
  <si>
    <t>brown/white striped shirt</t>
  </si>
  <si>
    <t>pink striped sweater</t>
  </si>
  <si>
    <t>burgundy dress</t>
  </si>
  <si>
    <t>teal/black animal print dress</t>
  </si>
  <si>
    <t>cream wool/cotton sweater</t>
  </si>
  <si>
    <t>tan cardigan cotton blend</t>
  </si>
  <si>
    <t>navy stripes tee</t>
  </si>
  <si>
    <t>white SL knit top</t>
  </si>
  <si>
    <t>pink long open cardigan</t>
  </si>
  <si>
    <t>cream cotton gauffré top</t>
  </si>
  <si>
    <t>tee with front design</t>
  </si>
  <si>
    <t>purple LS top</t>
  </si>
  <si>
    <t>pastel multicolor sweater</t>
  </si>
  <si>
    <t>space dyed canton sweater</t>
  </si>
  <si>
    <t>basketweave stitch sweater/ teal</t>
  </si>
  <si>
    <t>https://www.madewell.com/p/womens/sale/plus-basketweave-stitch-sweater/NI620/?ccode=BL5569&amp;size=4X</t>
  </si>
  <si>
    <t>blue/white stripes top</t>
  </si>
  <si>
    <t>light blue stripe shirt</t>
  </si>
  <si>
    <t>black floral dress LS</t>
  </si>
  <si>
    <t>denim blouse with design</t>
  </si>
  <si>
    <t>pink/blue diamonds cardigan</t>
  </si>
  <si>
    <t>orange/cream stripe crop top</t>
  </si>
  <si>
    <t>wool beanie</t>
  </si>
  <si>
    <t>white/grey LS shirt</t>
  </si>
  <si>
    <t>brown/orange/yellow stripe dress</t>
  </si>
  <si>
    <t>pink/purple stripe blouse SS</t>
  </si>
  <si>
    <t>silk red/blue blouse</t>
  </si>
  <si>
    <t>grey sweater</t>
  </si>
  <si>
    <t>gingham top</t>
  </si>
  <si>
    <t>https://poshmark.com/listing/Madewell-lace-up-bell-sleeve-gingham-top-63a3824a382db82cdc0a4ae9</t>
  </si>
  <si>
    <t>vintage straight jeans</t>
  </si>
  <si>
    <t>00T</t>
  </si>
  <si>
    <t>Madewell</t>
  </si>
  <si>
    <t>grey dress SL</t>
  </si>
  <si>
    <t>black polyester wrap dress</t>
  </si>
  <si>
    <t>dark blue/black silk dress</t>
  </si>
  <si>
    <t>khahi open cardigan</t>
  </si>
  <si>
    <t>pink button down dress</t>
  </si>
  <si>
    <t>red plaid button down shirt</t>
  </si>
  <si>
    <t>black SS viscose blouse</t>
  </si>
  <si>
    <t>dark grey wool dress</t>
  </si>
  <si>
    <t>blue/white viscose dress</t>
  </si>
  <si>
    <t>grey shorts high rise</t>
  </si>
  <si>
    <t>might keep</t>
  </si>
  <si>
    <t>blue button down dress</t>
  </si>
  <si>
    <t>crop top forest green</t>
  </si>
  <si>
    <t>vine dress LS</t>
  </si>
  <si>
    <t>coral eyelet dress</t>
  </si>
  <si>
    <t>bordeaux relaxed pants</t>
  </si>
  <si>
    <t>Maeve / Anthropologie</t>
  </si>
  <si>
    <t>orange birds shirt</t>
  </si>
  <si>
    <t>hot pink cashmere</t>
  </si>
  <si>
    <t>green floral dress</t>
  </si>
  <si>
    <t>multicolor orange top</t>
  </si>
  <si>
    <t>green maxi dress</t>
  </si>
  <si>
    <t>floral blouse LS</t>
  </si>
  <si>
    <t>blue floral SS top</t>
  </si>
  <si>
    <t>Take Me to Milan Sweater</t>
  </si>
  <si>
    <t>yellow/white stripes top</t>
  </si>
  <si>
    <t>yellow/red/green vneck dress</t>
  </si>
  <si>
    <t>Maggy london</t>
  </si>
  <si>
    <t>black lace dress</t>
  </si>
  <si>
    <t>4P</t>
  </si>
  <si>
    <t>Maison Scotch</t>
  </si>
  <si>
    <t>wool sweater</t>
  </si>
  <si>
    <t>maje</t>
  </si>
  <si>
    <t>blue blouse</t>
  </si>
  <si>
    <t>repair?</t>
  </si>
  <si>
    <t>white stars top</t>
  </si>
  <si>
    <t>navy dress</t>
  </si>
  <si>
    <t>black top</t>
  </si>
  <si>
    <t>pink gilet</t>
  </si>
  <si>
    <t>Mango</t>
  </si>
  <si>
    <t>brown trench coat</t>
  </si>
  <si>
    <t>NWT pants gingham</t>
  </si>
  <si>
    <t>MARC JACOBS</t>
  </si>
  <si>
    <t>black eyelet dress</t>
  </si>
  <si>
    <t>navy/gold sweater</t>
  </si>
  <si>
    <t>Marguerite Li</t>
  </si>
  <si>
    <t>grey silk blouse</t>
  </si>
  <si>
    <t xml:space="preserve">Marja Kurki </t>
  </si>
  <si>
    <t>tweed jacket</t>
  </si>
  <si>
    <t>marie France</t>
  </si>
  <si>
    <t>teal silk shirt</t>
  </si>
  <si>
    <t>max &amp; co</t>
  </si>
  <si>
    <t>pink dress</t>
  </si>
  <si>
    <t>navy cupro pants</t>
  </si>
  <si>
    <t>max mara</t>
  </si>
  <si>
    <t>pink top</t>
  </si>
  <si>
    <t>Melman</t>
  </si>
  <si>
    <t>alpaca scarf</t>
  </si>
  <si>
    <t>MET museum</t>
  </si>
  <si>
    <t>silk scarf with shoes</t>
  </si>
  <si>
    <t>Michael Kors</t>
  </si>
  <si>
    <t>MEN cotton/wool hoodie</t>
  </si>
  <si>
    <t>Mix Nouveau</t>
  </si>
  <si>
    <t>cream blouse with black lace</t>
  </si>
  <si>
    <t>monoprix</t>
  </si>
  <si>
    <t>purple linen tee shirt</t>
  </si>
  <si>
    <t>navy sweater with heart</t>
  </si>
  <si>
    <t>Monteau</t>
  </si>
  <si>
    <t>navy SS top</t>
  </si>
  <si>
    <t>Muji</t>
  </si>
  <si>
    <t>Mustard skirt</t>
  </si>
  <si>
    <t>naf naf</t>
  </si>
  <si>
    <t>black silk skirt</t>
  </si>
  <si>
    <t>nanette lepore</t>
  </si>
  <si>
    <t>nation</t>
  </si>
  <si>
    <t>grey floral top</t>
  </si>
  <si>
    <t>white cotton sweatshirt</t>
  </si>
  <si>
    <t>neiman marcus</t>
  </si>
  <si>
    <t>black cashmere bolero</t>
  </si>
  <si>
    <t>Nicole Miller</t>
  </si>
  <si>
    <t>nike</t>
  </si>
  <si>
    <t>pink shoes</t>
  </si>
  <si>
    <t>Nike</t>
  </si>
  <si>
    <t>purple legging</t>
  </si>
  <si>
    <t>Nisolo</t>
  </si>
  <si>
    <t>Nomadic traders</t>
  </si>
  <si>
    <t>stripes sweater</t>
  </si>
  <si>
    <t>nordstrom</t>
  </si>
  <si>
    <t>black hat</t>
  </si>
  <si>
    <t>tan cashmere sweater</t>
  </si>
  <si>
    <t>blue stripes SS blouse</t>
  </si>
  <si>
    <t>blue/gold wool shawl</t>
  </si>
  <si>
    <t>octobre edition</t>
  </si>
  <si>
    <t>blue sweater</t>
  </si>
  <si>
    <t>Olive + Oak</t>
  </si>
  <si>
    <t>romper with stripes</t>
  </si>
  <si>
    <t>Orvis</t>
  </si>
  <si>
    <t>PACSUN</t>
  </si>
  <si>
    <t>PINK SHORTS</t>
  </si>
  <si>
    <t>pact</t>
  </si>
  <si>
    <t>beige velvet jacket</t>
  </si>
  <si>
    <t>PACT</t>
  </si>
  <si>
    <t>navy button down shirt</t>
  </si>
  <si>
    <t>navy long cardigan</t>
  </si>
  <si>
    <t>beige LS top</t>
  </si>
  <si>
    <t>Paige</t>
  </si>
  <si>
    <t>Manhattan jeans</t>
  </si>
  <si>
    <t>https://paige.com/products/women-high-rise-manhattan-boot-32in-duchess?queryID=9f2f3d6d7c585df917f7afb88861e344&amp;position=12</t>
  </si>
  <si>
    <t>blue plaid shirt</t>
  </si>
  <si>
    <t>paige</t>
  </si>
  <si>
    <t>white/beige SS sweater</t>
  </si>
  <si>
    <t>Paparazzi</t>
  </si>
  <si>
    <t>patagonia</t>
  </si>
  <si>
    <t>grey fleece</t>
  </si>
  <si>
    <t>bordeaux square shirt</t>
  </si>
  <si>
    <t>beige square shirt</t>
  </si>
  <si>
    <t>blue vest</t>
  </si>
  <si>
    <t>white puff jacket</t>
  </si>
  <si>
    <t>paul Stanley</t>
  </si>
  <si>
    <t>silk top</t>
  </si>
  <si>
    <t>Paychi Guh</t>
  </si>
  <si>
    <t>grey cashmere sweater</t>
  </si>
  <si>
    <t>pendleton</t>
  </si>
  <si>
    <t>navy wool scarf</t>
  </si>
  <si>
    <t>vintage black wool skirt</t>
  </si>
  <si>
    <t>navy wool suit</t>
  </si>
  <si>
    <t>teal turtleneck</t>
  </si>
  <si>
    <t>hole to repair</t>
  </si>
  <si>
    <t>Perry Ellis</t>
  </si>
  <si>
    <t>beige lambswool sweater</t>
  </si>
  <si>
    <t>Philosophy</t>
  </si>
  <si>
    <t>pink SS sweater</t>
  </si>
  <si>
    <t>Ply cashmere</t>
  </si>
  <si>
    <t>black cashmere turtleneck</t>
  </si>
  <si>
    <t>polo ralph lauren</t>
  </si>
  <si>
    <t>cream wool cardigan</t>
  </si>
  <si>
    <t>Prada</t>
  </si>
  <si>
    <t>prana</t>
  </si>
  <si>
    <t>brown jacket</t>
  </si>
  <si>
    <t>Prana</t>
  </si>
  <si>
    <t>camouflage pants</t>
  </si>
  <si>
    <t>pink SS top</t>
  </si>
  <si>
    <t>White dress LS</t>
  </si>
  <si>
    <t>khaki jeans</t>
  </si>
  <si>
    <t>pure jill</t>
  </si>
  <si>
    <t>blue hoodie</t>
  </si>
  <si>
    <t>quince</t>
  </si>
  <si>
    <t>pink oversized sweater</t>
  </si>
  <si>
    <t>denim SS blouse</t>
  </si>
  <si>
    <t>light pink SS top</t>
  </si>
  <si>
    <t>navy blue hoodie</t>
  </si>
  <si>
    <t>rachel zoe</t>
  </si>
  <si>
    <t>blue linen cardigan</t>
  </si>
  <si>
    <t>floral linen skirt</t>
  </si>
  <si>
    <t>rag and bone</t>
  </si>
  <si>
    <t>beige blazer</t>
  </si>
  <si>
    <t>ralph lauren</t>
  </si>
  <si>
    <t>blue wool sweater</t>
  </si>
  <si>
    <t>rat boi</t>
  </si>
  <si>
    <t>ivory cardigan</t>
  </si>
  <si>
    <t>red robertson</t>
  </si>
  <si>
    <t>red/blue/green wool scarf</t>
  </si>
  <si>
    <t>reformation</t>
  </si>
  <si>
    <t>light grey sweater</t>
  </si>
  <si>
    <t>black tee</t>
  </si>
  <si>
    <t>mini skirt</t>
  </si>
  <si>
    <t>arcadia dress</t>
  </si>
  <si>
    <t>Rena Rowan</t>
  </si>
  <si>
    <t>wool coat</t>
  </si>
  <si>
    <t>Rene Derhy</t>
  </si>
  <si>
    <t>light pink cocktail dress</t>
  </si>
  <si>
    <t>Rip Curl</t>
  </si>
  <si>
    <t>pink polka dot dress</t>
  </si>
  <si>
    <t>Ritual handcrafted</t>
  </si>
  <si>
    <t>multicolor wool scarf</t>
  </si>
  <si>
    <t>roberta righi</t>
  </si>
  <si>
    <t>vintage red wool sweater</t>
  </si>
  <si>
    <t>Rodd &amp; Gunn</t>
  </si>
  <si>
    <t>pink / brown wool sweater</t>
  </si>
  <si>
    <t>rothys</t>
  </si>
  <si>
    <t>grey flats</t>
  </si>
  <si>
    <t>pink/beige</t>
  </si>
  <si>
    <t>Royal Robbins</t>
  </si>
  <si>
    <t>coral SS shirt</t>
  </si>
  <si>
    <t>RSQ</t>
  </si>
  <si>
    <t>blue/green shorts</t>
  </si>
  <si>
    <t>tan jeans, 90's fit</t>
  </si>
  <si>
    <t>midi short</t>
  </si>
  <si>
    <t>black jeans</t>
  </si>
  <si>
    <t>blue jeans 90s</t>
  </si>
  <si>
    <t>Runway</t>
  </si>
  <si>
    <t>pink tube top</t>
  </si>
  <si>
    <t>Saks 5th ave</t>
  </si>
  <si>
    <t>black cashmere tank top</t>
  </si>
  <si>
    <t>Saldarini</t>
  </si>
  <si>
    <t>white lambswool scarf</t>
  </si>
  <si>
    <t>Salvatore Ferragamo</t>
  </si>
  <si>
    <t>vara pump shoes</t>
  </si>
  <si>
    <t>Sanctuary</t>
  </si>
  <si>
    <t>cream silk blouse</t>
  </si>
  <si>
    <t xml:space="preserve">Sandro </t>
  </si>
  <si>
    <t>navy LS top</t>
  </si>
  <si>
    <t>Saturday Sunday</t>
  </si>
  <si>
    <t>baby doll Desna dress BW</t>
  </si>
  <si>
    <t>Scanlan &amp; Theodore</t>
  </si>
  <si>
    <t>white silk top</t>
  </si>
  <si>
    <t>Sea New York</t>
  </si>
  <si>
    <t>silk cotton stripe dress</t>
  </si>
  <si>
    <t>seed heritage</t>
  </si>
  <si>
    <t>tan linen blouse</t>
  </si>
  <si>
    <t>Seychelles</t>
  </si>
  <si>
    <t>tan mules</t>
  </si>
  <si>
    <t>Sigrid Olsen</t>
  </si>
  <si>
    <t>Sisley</t>
  </si>
  <si>
    <t>Dark grey tunique</t>
  </si>
  <si>
    <t>S?</t>
  </si>
  <si>
    <t>Sketchers</t>
  </si>
  <si>
    <t>multicolor flats</t>
  </si>
  <si>
    <t>SO</t>
  </si>
  <si>
    <t>peach/purple plaid shirt</t>
  </si>
  <si>
    <t>Sou Sou</t>
  </si>
  <si>
    <t>green LS tee</t>
  </si>
  <si>
    <t>sperry</t>
  </si>
  <si>
    <t>denim shirt</t>
  </si>
  <si>
    <t>St Jon's Bay</t>
  </si>
  <si>
    <t>black wool peacoat</t>
  </si>
  <si>
    <t>State Cashmere</t>
  </si>
  <si>
    <t>grey cardigan</t>
  </si>
  <si>
    <t>Steve Madden</t>
  </si>
  <si>
    <t>purple wrist purse</t>
  </si>
  <si>
    <t>Stockholm atelier</t>
  </si>
  <si>
    <t>black dress</t>
  </si>
  <si>
    <t>Sundance</t>
  </si>
  <si>
    <t>blue embroidered LS shirt</t>
  </si>
  <si>
    <t>blue sweater with bear</t>
  </si>
  <si>
    <t>Susan Cadbi</t>
  </si>
  <si>
    <t>silk scarf / Australia</t>
  </si>
  <si>
    <t>Tara Jarmon</t>
  </si>
  <si>
    <t>silk dress</t>
  </si>
  <si>
    <t>Tahari</t>
  </si>
  <si>
    <t>white trench coat</t>
  </si>
  <si>
    <t>beihe heels</t>
  </si>
  <si>
    <t>white/navy blazer</t>
  </si>
  <si>
    <t>black dress with belt</t>
  </si>
  <si>
    <t>turquoise cardigan</t>
  </si>
  <si>
    <t>jeans</t>
  </si>
  <si>
    <t>retails for $250</t>
  </si>
  <si>
    <t>talbots</t>
  </si>
  <si>
    <t>cream linen LS shirt</t>
  </si>
  <si>
    <t>taos</t>
  </si>
  <si>
    <t>woolness in grey</t>
  </si>
  <si>
    <t>dark grey wool sneakers</t>
  </si>
  <si>
    <t>Ted Baker</t>
  </si>
  <si>
    <t>green top</t>
  </si>
  <si>
    <t>The Kooples</t>
  </si>
  <si>
    <t>black shirt</t>
  </si>
  <si>
    <t>The many moods of poppy jones</t>
  </si>
  <si>
    <t>purple cross body purse</t>
  </si>
  <si>
    <t>theory</t>
  </si>
  <si>
    <t>black cashmere cardigan</t>
  </si>
  <si>
    <t>black dress SL</t>
  </si>
  <si>
    <t>white top SL</t>
  </si>
  <si>
    <t>Theory</t>
  </si>
  <si>
    <t>camel wool jacket, cropped</t>
  </si>
  <si>
    <t>man LS top with hood</t>
  </si>
  <si>
    <t>beige cotton/linen SS cardigan</t>
  </si>
  <si>
    <t>grey silk jumpsuit</t>
  </si>
  <si>
    <t>cashmere grey/beige sweater</t>
  </si>
  <si>
    <t>brushstroke silk dress</t>
  </si>
  <si>
    <t>beige suit pants</t>
  </si>
  <si>
    <t>grey suit pants</t>
  </si>
  <si>
    <t>Three dots</t>
  </si>
  <si>
    <t>navy/white blazer</t>
  </si>
  <si>
    <t>title 9</t>
  </si>
  <si>
    <t>Toad and Co</t>
  </si>
  <si>
    <t>blue grey wool sweater</t>
  </si>
  <si>
    <t>tommy bahama</t>
  </si>
  <si>
    <t>beige linen open cardigan</t>
  </si>
  <si>
    <t>coral linen dress</t>
  </si>
  <si>
    <t>retails for $140</t>
  </si>
  <si>
    <t>tommy hilfiger</t>
  </si>
  <si>
    <t>pink canva bag</t>
  </si>
  <si>
    <t>green fox sweater</t>
  </si>
  <si>
    <t>Tonle</t>
  </si>
  <si>
    <t>blue jumpsuit</t>
  </si>
  <si>
    <t>Tory Burch</t>
  </si>
  <si>
    <t>black heels</t>
  </si>
  <si>
    <t>10M</t>
  </si>
  <si>
    <t>Tretorn Klader</t>
  </si>
  <si>
    <t>black puff jacket / down</t>
  </si>
  <si>
    <t>stripe wool sweater</t>
  </si>
  <si>
    <t>UGG</t>
  </si>
  <si>
    <t>brown slippers</t>
  </si>
  <si>
    <t>?</t>
  </si>
  <si>
    <t>black ankle boots</t>
  </si>
  <si>
    <t>under armor</t>
  </si>
  <si>
    <t>pink legging</t>
  </si>
  <si>
    <t>pink hoodie</t>
  </si>
  <si>
    <t>uniqlo</t>
  </si>
  <si>
    <t>navy cotton/cashmere cardigan</t>
  </si>
  <si>
    <t>beige top SS top</t>
  </si>
  <si>
    <t>camel wool SS turtleneck</t>
  </si>
  <si>
    <t>dark grey wool turtleneck</t>
  </si>
  <si>
    <t>labubu tee</t>
  </si>
  <si>
    <t>red merino wool sweater</t>
  </si>
  <si>
    <t>purple stripe shirt</t>
  </si>
  <si>
    <t>grey wool duster</t>
  </si>
  <si>
    <t>beige stripes linen shirt</t>
  </si>
  <si>
    <t>plaid shirt w/ blue flowers</t>
  </si>
  <si>
    <t xml:space="preserve">light pink LS top </t>
  </si>
  <si>
    <t>light pink wool sweater</t>
  </si>
  <si>
    <t>navy blue mid skirt</t>
  </si>
  <si>
    <t>united arrows</t>
  </si>
  <si>
    <t>green wool sweater</t>
  </si>
  <si>
    <t>ivory sweater</t>
  </si>
  <si>
    <t>universal threads</t>
  </si>
  <si>
    <t>light pink blouse</t>
  </si>
  <si>
    <t>mustard SS blouse</t>
  </si>
  <si>
    <t>brick top</t>
  </si>
  <si>
    <t>cream open cardigan</t>
  </si>
  <si>
    <t>navy cotton/linen shirt</t>
  </si>
  <si>
    <t>rust cotton cardigan</t>
  </si>
  <si>
    <t>tan jumper</t>
  </si>
  <si>
    <t>blue skirt with dots</t>
  </si>
  <si>
    <t>unknown</t>
  </si>
  <si>
    <t>green/cream/brown sweater</t>
  </si>
  <si>
    <t>tan/beige pakistan scarf</t>
  </si>
  <si>
    <t>mauve LS blouse</t>
  </si>
  <si>
    <t>handmade angora cardigan</t>
  </si>
  <si>
    <t>red/green/brown wool scarf, japan</t>
  </si>
  <si>
    <t>red pashmina made in Nepal</t>
  </si>
  <si>
    <t>red/brown/black lamswool scarf</t>
  </si>
  <si>
    <t>beige linen pouch</t>
  </si>
  <si>
    <t>jute basket with handles</t>
  </si>
  <si>
    <t>red plaid lambswool scarf</t>
  </si>
  <si>
    <t>black silk scarf</t>
  </si>
  <si>
    <t>Urban Outfitter</t>
  </si>
  <si>
    <t>Black jumpsuit cotton/ramie</t>
  </si>
  <si>
    <t>navy/white stripe sweater</t>
  </si>
  <si>
    <t>VANS</t>
  </si>
  <si>
    <t>green cotton shirt</t>
  </si>
  <si>
    <t>Vine jacket</t>
  </si>
  <si>
    <t>venesha</t>
  </si>
  <si>
    <t>angora jacket</t>
  </si>
  <si>
    <t>vince</t>
  </si>
  <si>
    <t>light blue cashmere sweater</t>
  </si>
  <si>
    <t>navy wool/cashmere sweater</t>
  </si>
  <si>
    <t>red wool/cashmere sweater</t>
  </si>
  <si>
    <t>grey LS shirt</t>
  </si>
  <si>
    <t>dark green silk top</t>
  </si>
  <si>
    <t>Vince</t>
  </si>
  <si>
    <t>Cream silk blouse</t>
  </si>
  <si>
    <t>cream cashmere sweater</t>
  </si>
  <si>
    <t>beige grey cotton sweater</t>
  </si>
  <si>
    <t>grey open cardigan</t>
  </si>
  <si>
    <t>grey thick cardigan</t>
  </si>
  <si>
    <t>wool/leather jacket</t>
  </si>
  <si>
    <t>black pants/legging</t>
  </si>
  <si>
    <t>Dark grey pants</t>
  </si>
  <si>
    <t>beige silk/rayon LS top</t>
  </si>
  <si>
    <t>black leggings with zippers</t>
  </si>
  <si>
    <t>Vineyard Vines</t>
  </si>
  <si>
    <t>cashmere tan/pink sweater</t>
  </si>
  <si>
    <t>xs</t>
  </si>
  <si>
    <t>blue fleece</t>
  </si>
  <si>
    <t>blue linen shirt</t>
  </si>
  <si>
    <t>blue SS blouse</t>
  </si>
  <si>
    <t>vintage threads</t>
  </si>
  <si>
    <t>Malibu tee</t>
  </si>
  <si>
    <t>Vuori</t>
  </si>
  <si>
    <t>WD+NY</t>
  </si>
  <si>
    <t>We Norwegians</t>
  </si>
  <si>
    <t>black/gold sweater</t>
  </si>
  <si>
    <t>https://wenorwegians.us/products/freebird-turleneck-women?variant=46837046116593</t>
  </si>
  <si>
    <t>Who What Wear</t>
  </si>
  <si>
    <t>denim long skirt</t>
  </si>
  <si>
    <t>WinterSilks</t>
  </si>
  <si>
    <t>Woolrich</t>
  </si>
  <si>
    <t>brown wool sweater</t>
  </si>
  <si>
    <t>Wrap London</t>
  </si>
  <si>
    <t>teal dress</t>
  </si>
  <si>
    <t>Xirena</t>
  </si>
  <si>
    <t>navy SS shirt</t>
  </si>
  <si>
    <t>Yolotli</t>
  </si>
  <si>
    <t>tan SL top</t>
  </si>
  <si>
    <t>zara</t>
  </si>
  <si>
    <t>13-14yo</t>
  </si>
  <si>
    <t>Zara</t>
  </si>
  <si>
    <t>green pants/skirt</t>
  </si>
  <si>
    <t>pink long cardigan</t>
  </si>
  <si>
    <t>blue/white linen blouse NWT</t>
  </si>
  <si>
    <t>yellow/ocre scarf</t>
  </si>
  <si>
    <t>white stripe SL top</t>
  </si>
  <si>
    <t>trafaluc BW top</t>
  </si>
  <si>
    <t>bird shirt</t>
  </si>
  <si>
    <t>Armani exchange</t>
  </si>
  <si>
    <t xml:space="preserve">grey dress </t>
  </si>
  <si>
    <t>donated</t>
  </si>
  <si>
    <t>vintage dark green sweater</t>
  </si>
  <si>
    <t>beige cardigan with ruffles</t>
  </si>
  <si>
    <t>frank lee</t>
  </si>
  <si>
    <t>blue leaves shirt</t>
  </si>
  <si>
    <t>blue gingham LS shirt</t>
  </si>
  <si>
    <t>grey/brown wool blend cardigan</t>
  </si>
  <si>
    <t xml:space="preserve">Gap </t>
  </si>
  <si>
    <t>grey/white stripe LS top</t>
  </si>
  <si>
    <t>grey wool sweater with lace</t>
  </si>
  <si>
    <t>navy cardigan</t>
  </si>
  <si>
    <t>karen scott</t>
  </si>
  <si>
    <t>beige turtleneck</t>
  </si>
  <si>
    <t>PP</t>
  </si>
  <si>
    <t>black shear blouse</t>
  </si>
  <si>
    <t>khaki cardigan</t>
  </si>
  <si>
    <t>Old Navy</t>
  </si>
  <si>
    <t>turtleneck cream sweater</t>
  </si>
  <si>
    <t>cream eyelet sweater</t>
  </si>
  <si>
    <t>Panda</t>
  </si>
  <si>
    <t>vintage red/white cardigan</t>
  </si>
  <si>
    <t>Pemberton shirt</t>
  </si>
  <si>
    <t>Sparrow</t>
  </si>
  <si>
    <t>3/4 S open cardigan</t>
  </si>
  <si>
    <t>black blouse, NWT</t>
  </si>
  <si>
    <t>DKNY</t>
  </si>
  <si>
    <t>black turtleneck sweater</t>
  </si>
  <si>
    <t>Natural reflections</t>
  </si>
  <si>
    <t>pink LS blouse</t>
  </si>
  <si>
    <t>green LS top</t>
  </si>
  <si>
    <t>lost</t>
  </si>
  <si>
    <t>Sud Express</t>
  </si>
  <si>
    <t>coral top</t>
  </si>
  <si>
    <t>Subtle luxury</t>
  </si>
  <si>
    <t>cashmere sweater with hood</t>
  </si>
  <si>
    <t>Splendid</t>
  </si>
  <si>
    <t>pink shirt</t>
  </si>
  <si>
    <t>Row A</t>
  </si>
  <si>
    <t>sage green dress</t>
  </si>
  <si>
    <t>Long white dress</t>
  </si>
  <si>
    <t>Loft</t>
  </si>
  <si>
    <t>navy cotton sweater smoked</t>
  </si>
  <si>
    <t>yellow top white flowers</t>
  </si>
  <si>
    <t>blue/yellow/white blouse</t>
  </si>
  <si>
    <t>Suite 2939</t>
  </si>
  <si>
    <t>mustard top</t>
  </si>
  <si>
    <t>nine west</t>
  </si>
  <si>
    <t>blue stripes dress</t>
  </si>
  <si>
    <t>lucky brand</t>
  </si>
  <si>
    <t xml:space="preserve">beige/white stripe blouse </t>
  </si>
  <si>
    <t>vine polyester blouse</t>
  </si>
  <si>
    <t>XSP</t>
  </si>
  <si>
    <t>BW top SS, crop</t>
  </si>
  <si>
    <t>white top black lace</t>
  </si>
  <si>
    <t>GAP</t>
  </si>
  <si>
    <t>white dress, gauze, SS</t>
  </si>
  <si>
    <t>red button down shirt</t>
  </si>
  <si>
    <t>Oneil</t>
  </si>
  <si>
    <t>dark grey cotton dress</t>
  </si>
  <si>
    <t>light blue wool sweater</t>
  </si>
  <si>
    <t>Renee C</t>
  </si>
  <si>
    <t>sleeveless colored top</t>
  </si>
  <si>
    <t>Mate</t>
  </si>
  <si>
    <t>Mustard LS tee</t>
  </si>
  <si>
    <t>blue cardigan</t>
  </si>
  <si>
    <t>Saks 5th avenue</t>
  </si>
  <si>
    <t xml:space="preserve">silk/cashmere purple sweater </t>
  </si>
  <si>
    <t>Karl Lagerfeld</t>
  </si>
  <si>
    <t>white fancy shirt</t>
  </si>
  <si>
    <t>vintage cardigan tricolor</t>
  </si>
  <si>
    <t>BREST</t>
  </si>
  <si>
    <t>red wool sweater</t>
  </si>
  <si>
    <t>Wilfred</t>
  </si>
  <si>
    <t>pink merino wool turtleneck</t>
  </si>
  <si>
    <t>purple dress</t>
  </si>
  <si>
    <t>blue dress</t>
  </si>
  <si>
    <t>Sag Harbor</t>
  </si>
  <si>
    <t>John meyer</t>
  </si>
  <si>
    <t>navy lambswool sweater</t>
  </si>
  <si>
    <t>cream/pink blouse</t>
  </si>
  <si>
    <t>La Robe</t>
  </si>
  <si>
    <t>Paul Harris</t>
  </si>
  <si>
    <t>Vintage blue sweater</t>
  </si>
  <si>
    <t>Event</t>
  </si>
  <si>
    <t>1045 park</t>
  </si>
  <si>
    <t>vintage black top</t>
  </si>
  <si>
    <t>picnic</t>
  </si>
  <si>
    <t>120 Lino</t>
  </si>
  <si>
    <t>black/white dots shirt</t>
  </si>
  <si>
    <t>dark blue/black sweater puff S</t>
  </si>
  <si>
    <t>blue peasant shirt</t>
  </si>
  <si>
    <t>solano stroll</t>
  </si>
  <si>
    <t>blue open cardigan</t>
  </si>
  <si>
    <t>XS/S</t>
  </si>
  <si>
    <t>long brick dress</t>
  </si>
  <si>
    <t>Adidas</t>
  </si>
  <si>
    <t>sold 30</t>
  </si>
  <si>
    <t>Blue sweater</t>
  </si>
  <si>
    <t>NB</t>
  </si>
  <si>
    <t>aiavu</t>
  </si>
  <si>
    <t>cashmere stripe sweater</t>
  </si>
  <si>
    <t>Blue linen shirt</t>
  </si>
  <si>
    <t>Alfani</t>
  </si>
  <si>
    <t>teal merino wool sweater</t>
  </si>
  <si>
    <t>Allen Solly</t>
  </si>
  <si>
    <t>vintage wool vest</t>
  </si>
  <si>
    <t>Alynn</t>
  </si>
  <si>
    <t>silk scarf with books</t>
  </si>
  <si>
    <t>gift</t>
  </si>
  <si>
    <t>navy/grey sweater</t>
  </si>
  <si>
    <t>navy blue wrap shirt</t>
  </si>
  <si>
    <t>white tank top</t>
  </si>
  <si>
    <t>cream SL knitted top</t>
  </si>
  <si>
    <t>green floral top</t>
  </si>
  <si>
    <t>silk jumpsuit</t>
  </si>
  <si>
    <t>silk floral blouse</t>
  </si>
  <si>
    <t>SP</t>
  </si>
  <si>
    <t>silk shirt</t>
  </si>
  <si>
    <t>dry cleaner</t>
  </si>
  <si>
    <t>pink silk dress</t>
  </si>
  <si>
    <t>sold $50</t>
  </si>
  <si>
    <t>Andrea Mabiani</t>
  </si>
  <si>
    <t>Blue leather bag</t>
  </si>
  <si>
    <t>sold $40</t>
  </si>
  <si>
    <t>Ann Taylor</t>
  </si>
  <si>
    <t>black/brown/cream sweater</t>
  </si>
  <si>
    <t>Anne Fernwood</t>
  </si>
  <si>
    <t>vintage brown shirt</t>
  </si>
  <si>
    <t>edme grey floral top</t>
  </si>
  <si>
    <t>pink cardigan with front design</t>
  </si>
  <si>
    <t>embroidered multicolor blouse</t>
  </si>
  <si>
    <t>SL red/pink blouse</t>
  </si>
  <si>
    <t>long dress terracotta</t>
  </si>
  <si>
    <t>tropical dress</t>
  </si>
  <si>
    <t>kakhi pants</t>
  </si>
  <si>
    <t>stripe tshirt</t>
  </si>
  <si>
    <t>black LS shirt</t>
  </si>
  <si>
    <t>Ateesa</t>
  </si>
  <si>
    <t>navy SL top with green stripes</t>
  </si>
  <si>
    <t>white crop top</t>
  </si>
  <si>
    <t>vintage wool cardigan</t>
  </si>
  <si>
    <t>cashmere sweater, light grey</t>
  </si>
  <si>
    <t>dark green sweater</t>
  </si>
  <si>
    <t>blue linen pants</t>
  </si>
  <si>
    <t>dark purple cardigan</t>
  </si>
  <si>
    <t>large purple sweater</t>
  </si>
  <si>
    <t>blue top open back</t>
  </si>
  <si>
    <t>navy tshirt</t>
  </si>
  <si>
    <t>Athleta</t>
  </si>
  <si>
    <t>black sweatpants</t>
  </si>
  <si>
    <t>merino wool black sweater</t>
  </si>
  <si>
    <t>Avalanche</t>
  </si>
  <si>
    <t>beige jacket</t>
  </si>
  <si>
    <t>Babette SF</t>
  </si>
  <si>
    <t>Wool scarf</t>
  </si>
  <si>
    <t>BAGGU</t>
  </si>
  <si>
    <t>Black leather bag</t>
  </si>
  <si>
    <t>long black wool cardigan</t>
  </si>
  <si>
    <t>burgundy silk SL top</t>
  </si>
  <si>
    <t>beige SL top w/ turtleneck</t>
  </si>
  <si>
    <t>vine silk/cashmere turtleneck</t>
  </si>
  <si>
    <t>raspberry sweater silk/cashmere</t>
  </si>
  <si>
    <t>wool blue/grey stripe sweater</t>
  </si>
  <si>
    <t>grey silk/cashmere sweater</t>
  </si>
  <si>
    <t>rabbit hair sweater</t>
  </si>
  <si>
    <t>rust wool scraf</t>
  </si>
  <si>
    <t>pink cashmere scarf</t>
  </si>
  <si>
    <t>cotton white blouse</t>
  </si>
  <si>
    <t>red/blue ruffle top</t>
  </si>
  <si>
    <t>white texture blouse</t>
  </si>
  <si>
    <t>white linen sweater</t>
  </si>
  <si>
    <t>navy/white stripes cotton cardigan</t>
  </si>
  <si>
    <t>navy stripes cotton sweater</t>
  </si>
  <si>
    <t>beige wool long cardigan</t>
  </si>
  <si>
    <t>purple wool sweater</t>
  </si>
  <si>
    <t>red merino wool men sweater</t>
  </si>
  <si>
    <t>black merino sweater</t>
  </si>
  <si>
    <t>grey merino wool long cardigan</t>
  </si>
  <si>
    <t>brown wool/cotton sweater</t>
  </si>
  <si>
    <t>100% cashmere sweater BWpurple</t>
  </si>
  <si>
    <t>green merino sweater</t>
  </si>
  <si>
    <t>beige sweater with hood</t>
  </si>
  <si>
    <t>black turtleneck sweater baby terry</t>
  </si>
  <si>
    <t>red sweater Vneck</t>
  </si>
  <si>
    <t>silk shirt / black</t>
  </si>
  <si>
    <t>pink SL blouse buttons in the back</t>
  </si>
  <si>
    <t>light grey turtleneck</t>
  </si>
  <si>
    <t>navy long wool cardigan</t>
  </si>
  <si>
    <t>black/white sweater</t>
  </si>
  <si>
    <t>red silk blouse</t>
  </si>
  <si>
    <t>navy cotton sweater</t>
  </si>
  <si>
    <t>black merino wool</t>
  </si>
  <si>
    <t>Bass</t>
  </si>
  <si>
    <t>red floral shirt</t>
  </si>
  <si>
    <t>BCBG</t>
  </si>
  <si>
    <t>Black silk dress</t>
  </si>
  <si>
    <t>beachlunchlounge</t>
  </si>
  <si>
    <t>multicolor shirt</t>
  </si>
  <si>
    <t>Bella Dahl</t>
  </si>
  <si>
    <t>black top LS</t>
  </si>
  <si>
    <t>Benetton</t>
  </si>
  <si>
    <t>black crochet top SL</t>
  </si>
  <si>
    <t>pink skirt</t>
  </si>
  <si>
    <t>cotton stripes overall</t>
  </si>
  <si>
    <t>stripes overall</t>
  </si>
  <si>
    <t>white cotton shirt</t>
  </si>
  <si>
    <t>BLL NY</t>
  </si>
  <si>
    <t>chambray shirt</t>
  </si>
  <si>
    <t>vine cashmere pants</t>
  </si>
  <si>
    <t>cashmere cardigan</t>
  </si>
  <si>
    <t>red eyelet top</t>
  </si>
  <si>
    <t>cream eyelet SS cardigan</t>
  </si>
  <si>
    <t xml:space="preserve">BORN </t>
  </si>
  <si>
    <t>red leather handbag</t>
  </si>
  <si>
    <t>BP</t>
  </si>
  <si>
    <t>red tank top</t>
  </si>
  <si>
    <t>Sleeveless stripe dress</t>
  </si>
  <si>
    <t>Brahmin</t>
  </si>
  <si>
    <t>leather/fabric handbag</t>
  </si>
  <si>
    <t>Brandy Melwille</t>
  </si>
  <si>
    <t>green crop sweater</t>
  </si>
  <si>
    <t>khaki tee</t>
  </si>
  <si>
    <t>black cargo pants</t>
  </si>
  <si>
    <t>green liberty top</t>
  </si>
  <si>
    <t>green flower wrap top</t>
  </si>
  <si>
    <t>grey cropped jacket</t>
  </si>
  <si>
    <t>pink tee</t>
  </si>
  <si>
    <t>green tee / white flowers</t>
  </si>
  <si>
    <t>floral tank top</t>
  </si>
  <si>
    <t>BW LS tee</t>
  </si>
  <si>
    <t>top with baby</t>
  </si>
  <si>
    <t>BW plaid shirt</t>
  </si>
  <si>
    <t>white top long sleeves, ruffles</t>
  </si>
  <si>
    <t>beige winter sweater</t>
  </si>
  <si>
    <t>grey/white sweater</t>
  </si>
  <si>
    <t>green cardigan</t>
  </si>
  <si>
    <t>floral blue dress</t>
  </si>
  <si>
    <t>one</t>
  </si>
  <si>
    <t>white crop sweater</t>
  </si>
  <si>
    <t>floral skirt</t>
  </si>
  <si>
    <t>brooks brothers</t>
  </si>
  <si>
    <t>navy wool jacket</t>
  </si>
  <si>
    <t>https://www.brooksbrothers.com/riding-jacket-in-black-watch-boucle-wool/WJ00494.html?pid=WJ00494&amp;dwvar_WJ00494_Color=NVYL</t>
  </si>
  <si>
    <t>red plaid scarf</t>
  </si>
  <si>
    <t>grey green short jacket / linen</t>
  </si>
  <si>
    <t>mustard linen dress</t>
  </si>
  <si>
    <t>Burberry</t>
  </si>
  <si>
    <t>blue jacket</t>
  </si>
  <si>
    <t>cabin creek</t>
  </si>
  <si>
    <t>Carole</t>
  </si>
  <si>
    <t>beige trench</t>
  </si>
  <si>
    <t>beige linen pants</t>
  </si>
  <si>
    <t>C&amp;C California</t>
  </si>
  <si>
    <t>sage green SS shirt</t>
  </si>
  <si>
    <t>blue gingham linen shirt</t>
  </si>
  <si>
    <t>navy blue linen shirt dress</t>
  </si>
  <si>
    <t>coral LS linen shirt</t>
  </si>
  <si>
    <t>black cardigan</t>
  </si>
  <si>
    <t>Celeste</t>
  </si>
  <si>
    <t>wool/cashmere poncho</t>
  </si>
  <si>
    <t>cerise blue</t>
  </si>
  <si>
    <t>red floral dress</t>
  </si>
  <si>
    <t>linen top with blue stripes</t>
  </si>
  <si>
    <t>pink wool vest</t>
  </si>
  <si>
    <t>charter Club</t>
  </si>
  <si>
    <t>Charter Club</t>
  </si>
  <si>
    <t>L P</t>
  </si>
  <si>
    <t>christmas sweater</t>
  </si>
  <si>
    <t>P/M</t>
  </si>
  <si>
    <t>dark red cashmere sweater</t>
  </si>
  <si>
    <t>chattawak</t>
  </si>
  <si>
    <t>floral romper</t>
  </si>
  <si>
    <t>city shoes</t>
  </si>
  <si>
    <t>small red leather purse</t>
  </si>
  <si>
    <t>clarks</t>
  </si>
  <si>
    <t>black heels open toe</t>
  </si>
  <si>
    <t>green sweater</t>
  </si>
  <si>
    <t>white/blue/peach top</t>
  </si>
  <si>
    <t>light purple top</t>
  </si>
  <si>
    <t>light grey shirt dress</t>
  </si>
  <si>
    <t>denim color dress</t>
  </si>
  <si>
    <t>denim SL top</t>
  </si>
  <si>
    <t>grey Sl top</t>
  </si>
  <si>
    <t>greige shirt dress</t>
  </si>
  <si>
    <t>cloth and stone</t>
  </si>
  <si>
    <t>dark pink blouse</t>
  </si>
  <si>
    <t>blue top v-neck tiered</t>
  </si>
  <si>
    <t>blue and white dress with belt</t>
  </si>
  <si>
    <t>club monaco</t>
  </si>
  <si>
    <t>Club Room</t>
  </si>
  <si>
    <t>men's blue lambswool sweater</t>
  </si>
  <si>
    <t>Cole Haan</t>
  </si>
  <si>
    <t>brown loafers</t>
  </si>
  <si>
    <t>Columbia</t>
  </si>
  <si>
    <t>purple shirt</t>
  </si>
  <si>
    <t>grey trench coat</t>
  </si>
  <si>
    <t xml:space="preserve">beige/white top </t>
  </si>
  <si>
    <t>Beige linen cotton SS shirt</t>
  </si>
  <si>
    <t>orange stripe tee</t>
  </si>
  <si>
    <t>white LS tee/sweater</t>
  </si>
  <si>
    <t>mohair cardigan</t>
  </si>
  <si>
    <t>Cotton on</t>
  </si>
  <si>
    <t>long sage dress</t>
  </si>
  <si>
    <t>Courtenay</t>
  </si>
  <si>
    <t>navy leather bag, made in korea</t>
  </si>
  <si>
    <t>Croft and Barrow</t>
  </si>
  <si>
    <t>navy cableknit cardigan</t>
  </si>
  <si>
    <t>Curator</t>
  </si>
  <si>
    <t>100% linen dress</t>
  </si>
  <si>
    <t>blue linen SS top</t>
  </si>
  <si>
    <t>Cuyana</t>
  </si>
  <si>
    <t>cashmere sweater, camel</t>
  </si>
  <si>
    <t>Cynthia Rowley</t>
  </si>
  <si>
    <t>polka dots cashmere sweater</t>
  </si>
  <si>
    <t>Dale of Norway</t>
  </si>
  <si>
    <t>david brooks</t>
  </si>
  <si>
    <t>merino wool wrap</t>
  </si>
  <si>
    <t>https://shop.brooksltd.net/jackets-vests/</t>
  </si>
  <si>
    <t>Day and Mood</t>
  </si>
  <si>
    <t>leather bag</t>
  </si>
  <si>
    <t>https://dayandmood.com/pages/who-are-we</t>
  </si>
  <si>
    <t>Des petits hauts</t>
  </si>
  <si>
    <t>ECHO</t>
  </si>
  <si>
    <t>orange/purple/pink silk scarf</t>
  </si>
  <si>
    <t>Eden Olivia</t>
  </si>
  <si>
    <t>blue stripes shirt</t>
  </si>
  <si>
    <t>Edikted</t>
  </si>
  <si>
    <t>floral crop top</t>
  </si>
  <si>
    <t>teal linen shirt</t>
  </si>
  <si>
    <t>grey wool turtleneck</t>
  </si>
  <si>
    <t>black tunic, 3/4 sleeves</t>
  </si>
  <si>
    <t>vine LS top</t>
  </si>
  <si>
    <t>brown light wool cardigan</t>
  </si>
  <si>
    <t>brown wool/silk/linen cardigan</t>
  </si>
  <si>
    <t xml:space="preserve">cream open cardigan </t>
  </si>
  <si>
    <t>green silk vest</t>
  </si>
  <si>
    <t>white/black LS tunic</t>
  </si>
  <si>
    <t>black silk blouse</t>
  </si>
  <si>
    <t>BW SS linen top</t>
  </si>
  <si>
    <t>beige wool light sweater</t>
  </si>
  <si>
    <t>blue boxy sweater</t>
  </si>
  <si>
    <t>grey wool open cardigan</t>
  </si>
  <si>
    <t>linen pink top</t>
  </si>
  <si>
    <t>coral cardigan</t>
  </si>
  <si>
    <t>https://noihsafbazaar.com/item/qjv46q-coral-pink-hemp-open-front-cardigan</t>
  </si>
  <si>
    <t>blue wool top</t>
  </si>
  <si>
    <t>brown linen open cardigan</t>
  </si>
  <si>
    <t>green linen sweater</t>
  </si>
  <si>
    <t>brown cotton/linen sweater</t>
  </si>
  <si>
    <t>coral shoes</t>
  </si>
  <si>
    <t>grey open jacket</t>
  </si>
  <si>
    <t>Elen Degeneres</t>
  </si>
  <si>
    <t>cat sweater</t>
  </si>
  <si>
    <t>Ellen Tracy</t>
  </si>
  <si>
    <t>ellen tracy</t>
  </si>
  <si>
    <t>elie tahari</t>
  </si>
  <si>
    <t>BW silk blazer</t>
  </si>
  <si>
    <t>Eric Bompard</t>
  </si>
  <si>
    <t>Stripes cashmere top</t>
  </si>
  <si>
    <t>Esprit</t>
  </si>
  <si>
    <t>navy white top</t>
  </si>
  <si>
    <t>Etienne Aigner</t>
  </si>
  <si>
    <t>Floral printed handbag</t>
  </si>
  <si>
    <t>blue denim shirt</t>
  </si>
  <si>
    <t>navy blue linen shirt</t>
  </si>
  <si>
    <t>stripes LS tee w/ turtleneck</t>
  </si>
  <si>
    <t>blue oversized shirt SS</t>
  </si>
  <si>
    <t>Half zip sweater</t>
  </si>
  <si>
    <t>navy button down shirt SS</t>
  </si>
  <si>
    <t>camel/blue wool sweater</t>
  </si>
  <si>
    <t>grey turtleneck top</t>
  </si>
  <si>
    <t>light pink button down jacket</t>
  </si>
  <si>
    <t>green SS shirt</t>
  </si>
  <si>
    <t>cream spekles wool sweater</t>
  </si>
  <si>
    <t>brown sweater, alpaca blend</t>
  </si>
  <si>
    <t xml:space="preserve">everlane </t>
  </si>
  <si>
    <t>black clogs</t>
  </si>
  <si>
    <t>white/grey cashmere turtleneck</t>
  </si>
  <si>
    <t>tan LS blouse</t>
  </si>
  <si>
    <t>stripes LS shirt</t>
  </si>
  <si>
    <t>black cropped cardigan</t>
  </si>
  <si>
    <t>black shirt dress</t>
  </si>
  <si>
    <t>camel wool sweater</t>
  </si>
  <si>
    <t>black lounge pants</t>
  </si>
  <si>
    <t>Green turtleneck</t>
  </si>
  <si>
    <t>black sweater with stripes</t>
  </si>
  <si>
    <t>white/brown stripes top</t>
  </si>
  <si>
    <t>caramel LS top</t>
  </si>
  <si>
    <t>https://www.everlane.com/products/womens-cotton-waffle-crew-ls-tee-black?collection=womens-tees</t>
  </si>
  <si>
    <t>Fab NU</t>
  </si>
  <si>
    <t>blue cottage dress</t>
  </si>
  <si>
    <t>faconnable</t>
  </si>
  <si>
    <t>black cashmere sweater / men</t>
  </si>
  <si>
    <t>Favindia</t>
  </si>
  <si>
    <t>pink/beige scarf</t>
  </si>
  <si>
    <t>black/gold scarf</t>
  </si>
  <si>
    <t>black linen shirt</t>
  </si>
  <si>
    <t>Vine apron dress</t>
  </si>
  <si>
    <t>green pants</t>
  </si>
  <si>
    <t>FOSSIL</t>
  </si>
  <si>
    <t>leather crossbody bag</t>
  </si>
  <si>
    <t>Solano stroll</t>
  </si>
  <si>
    <t>sold 40</t>
  </si>
  <si>
    <t>polka dots shirt</t>
  </si>
  <si>
    <t>Frank Milch</t>
  </si>
  <si>
    <t>vintage hand bag</t>
  </si>
  <si>
    <t>frank &amp; Eileen</t>
  </si>
  <si>
    <t>Free Assembly</t>
  </si>
  <si>
    <t>floral dress / organic cotton</t>
  </si>
  <si>
    <t>free for humanity</t>
  </si>
  <si>
    <t>free people</t>
  </si>
  <si>
    <t>blue LS shirt</t>
  </si>
  <si>
    <t>brown/red SL top/dress</t>
  </si>
  <si>
    <t>mustard knitted sweater</t>
  </si>
  <si>
    <t>colored long skirt</t>
  </si>
  <si>
    <t>French Connexion</t>
  </si>
  <si>
    <t>boxy striped shirt</t>
  </si>
  <si>
    <t>Gap</t>
  </si>
  <si>
    <t>grey cableknit sweater turtleneck</t>
  </si>
  <si>
    <t>tan blouse LS</t>
  </si>
  <si>
    <t>vintage plaid blazer</t>
  </si>
  <si>
    <t>grey quilted jacket</t>
  </si>
  <si>
    <t>lambswool beige sweater</t>
  </si>
  <si>
    <t>bordeaux shirt, boyfriend fit</t>
  </si>
  <si>
    <t>white top with lace</t>
  </si>
  <si>
    <t>black SS knitted top with fringes</t>
  </si>
  <si>
    <t>black sweater vest</t>
  </si>
  <si>
    <t>red/pink/white lamb wool sweater</t>
  </si>
  <si>
    <t>gap for good</t>
  </si>
  <si>
    <t>grey and white long cardigan</t>
  </si>
  <si>
    <t>garage</t>
  </si>
  <si>
    <t>beige crop top</t>
  </si>
  <si>
    <t>zebra top</t>
  </si>
  <si>
    <t>brown/orange dress</t>
  </si>
  <si>
    <t>blue lien LS shirt</t>
  </si>
  <si>
    <t>linen stripe shirt</t>
  </si>
  <si>
    <t>tan blouse</t>
  </si>
  <si>
    <t>glentex</t>
  </si>
  <si>
    <t>vintage jacket</t>
  </si>
  <si>
    <t>grade and gather</t>
  </si>
  <si>
    <t>white wrap</t>
  </si>
  <si>
    <t>Great American Leather Works</t>
  </si>
  <si>
    <t>black leather handbag</t>
  </si>
  <si>
    <t>sold $30</t>
  </si>
  <si>
    <t>Grodins</t>
  </si>
  <si>
    <t>vintage silk shirt</t>
  </si>
  <si>
    <t>guillaume de mons</t>
  </si>
  <si>
    <t>corduroy jacket</t>
  </si>
  <si>
    <t>Helmut Lang</t>
  </si>
  <si>
    <t>white jnitted top</t>
  </si>
  <si>
    <t>Hello Kitty</t>
  </si>
  <si>
    <t>Tee</t>
  </si>
  <si>
    <t>wool turtleneck</t>
  </si>
  <si>
    <t>butterflies top</t>
  </si>
  <si>
    <t>Brooklyn hoodie</t>
  </si>
  <si>
    <t>blue paris shirt</t>
  </si>
  <si>
    <t>hollister</t>
  </si>
  <si>
    <t>bear sweater</t>
  </si>
  <si>
    <t>HOBO the original</t>
  </si>
  <si>
    <t>hugo boss</t>
  </si>
  <si>
    <t>top SL with colored squares</t>
  </si>
  <si>
    <t>Hush Puppies</t>
  </si>
  <si>
    <t>yellow leather flats</t>
  </si>
  <si>
    <t>I love H81</t>
  </si>
  <si>
    <t>linen jacket</t>
  </si>
  <si>
    <t>ICB</t>
  </si>
  <si>
    <t>pink SL turtleneck</t>
  </si>
  <si>
    <t>Indigenous</t>
  </si>
  <si>
    <t>khaki zipper cardigan</t>
  </si>
  <si>
    <t>long black cardigan</t>
  </si>
  <si>
    <t>navy linen midi dress</t>
  </si>
  <si>
    <t>white LS shirt</t>
  </si>
  <si>
    <t>Irelandseye</t>
  </si>
  <si>
    <t>wool cardigan</t>
  </si>
  <si>
    <t>zebra pants</t>
  </si>
  <si>
    <t>flower blouse</t>
  </si>
  <si>
    <t>Isalis</t>
  </si>
  <si>
    <t>Wrap top, white</t>
  </si>
  <si>
    <t>Jack Georges</t>
  </si>
  <si>
    <t>cashmere sweater blue/leopard</t>
  </si>
  <si>
    <t>wool sweater with losanges</t>
  </si>
  <si>
    <t>cream cotton scarf with pompoms</t>
  </si>
  <si>
    <t>cream knit sweater</t>
  </si>
  <si>
    <t>green cashmere sweater</t>
  </si>
  <si>
    <t>white eyelet sweater, cropped</t>
  </si>
  <si>
    <t>denim floral shirt</t>
  </si>
  <si>
    <t>navy cashmere cropped sweater</t>
  </si>
  <si>
    <t>navy cashmere sweater / men</t>
  </si>
  <si>
    <t>kids gingham top</t>
  </si>
  <si>
    <t>vine wool long sweater</t>
  </si>
  <si>
    <t xml:space="preserve">grey wool sweater </t>
  </si>
  <si>
    <t>brown wool zip sweater</t>
  </si>
  <si>
    <t>cotton/cashmere aqua sweater</t>
  </si>
  <si>
    <t>cashmere coral turtleneck</t>
  </si>
  <si>
    <t>coral dress</t>
  </si>
  <si>
    <t>thick long grey cotton cardigan</t>
  </si>
  <si>
    <t>liberty blouse</t>
  </si>
  <si>
    <t>denim shirt with ruffles</t>
  </si>
  <si>
    <t>thick beige cardigan</t>
  </si>
  <si>
    <t>pink dress white flowers</t>
  </si>
  <si>
    <t>jenni Kayne</t>
  </si>
  <si>
    <t>Jerseyettes</t>
  </si>
  <si>
    <t>blue silk top</t>
  </si>
  <si>
    <t>linen SL stripe top</t>
  </si>
  <si>
    <t>white lace LS top</t>
  </si>
  <si>
    <t>BW floral silk blouse</t>
  </si>
  <si>
    <t>joie</t>
  </si>
  <si>
    <t>floral linen top</t>
  </si>
  <si>
    <t>pop-up</t>
  </si>
  <si>
    <t>PM</t>
  </si>
  <si>
    <t>navy wool blazer</t>
  </si>
  <si>
    <t>blue button down shirt</t>
  </si>
  <si>
    <t>KUNA</t>
  </si>
  <si>
    <t>baby alpaca cardigan</t>
  </si>
  <si>
    <t>sold $60</t>
  </si>
  <si>
    <t>red/blue stripe LS top</t>
  </si>
  <si>
    <t>La petite francaise</t>
  </si>
  <si>
    <t>bomber jacket</t>
  </si>
  <si>
    <t>laude the label</t>
  </si>
  <si>
    <t>light blue romper</t>
  </si>
  <si>
    <t>laura bianchi</t>
  </si>
  <si>
    <t>Lauren / Ralph Lauren</t>
  </si>
  <si>
    <t>olive green cardigan</t>
  </si>
  <si>
    <t>tan wool scarf</t>
  </si>
  <si>
    <t>Leroy</t>
  </si>
  <si>
    <t>vintage blue mohair coat</t>
  </si>
  <si>
    <t>sweaters x 2</t>
  </si>
  <si>
    <t>black top grey lace</t>
  </si>
  <si>
    <t>white/pink tee</t>
  </si>
  <si>
    <t>vintage grey jacket</t>
  </si>
  <si>
    <t>navy blue star shirt</t>
  </si>
  <si>
    <t>pink blue plaid shirt</t>
  </si>
  <si>
    <t>red hoody</t>
  </si>
  <si>
    <t xml:space="preserve">levis </t>
  </si>
  <si>
    <t>forest green blouse</t>
  </si>
  <si>
    <t>shorts</t>
  </si>
  <si>
    <t>white jacket</t>
  </si>
  <si>
    <t>blue/white strip blouse LS</t>
  </si>
  <si>
    <t>Liberty London</t>
  </si>
  <si>
    <t>liberty linen shirt</t>
  </si>
  <si>
    <t>black linen top</t>
  </si>
  <si>
    <t>Live in the moment</t>
  </si>
  <si>
    <t>floral top</t>
  </si>
  <si>
    <t>peach/blue gingham top</t>
  </si>
  <si>
    <t>turquoise ligth sweater</t>
  </si>
  <si>
    <t>navy stripe zipper top</t>
  </si>
  <si>
    <t>coral cashmere sweater</t>
  </si>
  <si>
    <t>red/black sweater</t>
  </si>
  <si>
    <t>navy cotton/cashmere sweater</t>
  </si>
  <si>
    <t>turquoise cableknit sweater</t>
  </si>
  <si>
    <t>gray sweater NWT</t>
  </si>
  <si>
    <t>retail: $100</t>
  </si>
  <si>
    <t>mustard sweater</t>
  </si>
  <si>
    <t>LOFT</t>
  </si>
  <si>
    <t>beige open cardigan</t>
  </si>
  <si>
    <t>brown silk cardigan</t>
  </si>
  <si>
    <t>plaid pants</t>
  </si>
  <si>
    <t>navy light sweater</t>
  </si>
  <si>
    <t>lola river</t>
  </si>
  <si>
    <t>linen blend shirt</t>
  </si>
  <si>
    <t>London Fog</t>
  </si>
  <si>
    <t>red purple trench coat</t>
  </si>
  <si>
    <t>10R</t>
  </si>
  <si>
    <t>dark grey cashmere sweater</t>
  </si>
  <si>
    <t>Love Peace</t>
  </si>
  <si>
    <t>California tee</t>
  </si>
  <si>
    <t>kids size</t>
  </si>
  <si>
    <t>purple top</t>
  </si>
  <si>
    <t>grey tank top</t>
  </si>
  <si>
    <t>BW boho vneck tunic</t>
  </si>
  <si>
    <t>navy wrap dress</t>
  </si>
  <si>
    <t>pink SS shirt</t>
  </si>
  <si>
    <t>tan turtleneck, NWT</t>
  </si>
  <si>
    <t>Sadler Turtleneck Sweater</t>
  </si>
  <si>
    <t>neale pants</t>
  </si>
  <si>
    <t>yellow stripes top</t>
  </si>
  <si>
    <t>stripe blouse front knot</t>
  </si>
  <si>
    <t>pink gauze cotton top</t>
  </si>
  <si>
    <t>white/blue/tan wool sweater</t>
  </si>
  <si>
    <t>wool/cotton navy sweater</t>
  </si>
  <si>
    <t>white/navy stripes cardigan</t>
  </si>
  <si>
    <t>peach gingham LS top</t>
  </si>
  <si>
    <t>brown/cream sweater</t>
  </si>
  <si>
    <t>grey sweatshirt cropped</t>
  </si>
  <si>
    <t>red plaid top</t>
  </si>
  <si>
    <t>dark green blouse</t>
  </si>
  <si>
    <t>navy puff jacket</t>
  </si>
  <si>
    <t>blue/white stripes shirt SS</t>
  </si>
  <si>
    <t>beige cropped top v-neck</t>
  </si>
  <si>
    <t>mustard dress</t>
  </si>
  <si>
    <t>P00</t>
  </si>
  <si>
    <t>black waffle crop top</t>
  </si>
  <si>
    <t>pink stripes cardigan</t>
  </si>
  <si>
    <t>purple button down shirt</t>
  </si>
  <si>
    <t>pink stripe wrap top</t>
  </si>
  <si>
    <t>cat tee</t>
  </si>
  <si>
    <t>black leather boots</t>
  </si>
  <si>
    <t>tan stripes tee</t>
  </si>
  <si>
    <t>navy/white stripe wrap top</t>
  </si>
  <si>
    <t>rust floral jacket</t>
  </si>
  <si>
    <t>navy stripes cropped sweater</t>
  </si>
  <si>
    <t>burgundy jacket</t>
  </si>
  <si>
    <t>orange/white SS top</t>
  </si>
  <si>
    <t>tan/pink stripe tee</t>
  </si>
  <si>
    <t>blue/white stripes SS shirt</t>
  </si>
  <si>
    <t>black top SS eyelet</t>
  </si>
  <si>
    <t>pink apron dress</t>
  </si>
  <si>
    <t>rust dress</t>
  </si>
  <si>
    <t>yellow gingham dress</t>
  </si>
  <si>
    <t>rust baby doll dress</t>
  </si>
  <si>
    <t>cream wool blend flufffy sweater</t>
  </si>
  <si>
    <t>vine blouse with embroidery</t>
  </si>
  <si>
    <r>
      <rPr>
        <color rgb="FF1155CC"/>
        <u/>
      </rPr>
      <t>https://www.madewell.com/p/</t>
    </r>
    <r>
      <rPr/>
      <t>womens/featured-shops/the-insiders-event/shirts/embroidered-eyelet-ruffled-popover-top/AF618/</t>
    </r>
  </si>
  <si>
    <t>brown crop wool sweater</t>
  </si>
  <si>
    <t>grey wool jacket</t>
  </si>
  <si>
    <t>chambray dress, low elbows</t>
  </si>
  <si>
    <t>blue floral midi dress</t>
  </si>
  <si>
    <t>ramie blue shirt LS</t>
  </si>
  <si>
    <t>navy eyelet shirt</t>
  </si>
  <si>
    <t>blue plaid blouse</t>
  </si>
  <si>
    <t>pink crop top cotton/hemp/silk</t>
  </si>
  <si>
    <t>purple pink LS top</t>
  </si>
  <si>
    <t>black dress, LS, knee length</t>
  </si>
  <si>
    <t>silk top / BW dots</t>
  </si>
  <si>
    <t>black / copper top SS</t>
  </si>
  <si>
    <t>silk blouse black / white stars</t>
  </si>
  <si>
    <t>brown strap dress</t>
  </si>
  <si>
    <t>stripe pants</t>
  </si>
  <si>
    <t>https://www.madewell.com/p/womens/more-sizes/tall/pants/tall-side-button-huston-pull-on-crop-pants-in-rainbow-stripe/K9967/?srsltid=AfmBOorWptvGY-xkJ4qnfIQXtLJ4zkvUqPvltZ6nDCr9XEDYU5kQR_bQ</t>
  </si>
  <si>
    <t>black relaxed pants</t>
  </si>
  <si>
    <t>light green relaxed pants</t>
  </si>
  <si>
    <t xml:space="preserve">white blouse, SS, </t>
  </si>
  <si>
    <t>chambray dress SS</t>
  </si>
  <si>
    <t>black Alexandra dress</t>
  </si>
  <si>
    <t>gingham dress</t>
  </si>
  <si>
    <t>blue boxy shirt</t>
  </si>
  <si>
    <t>large pants</t>
  </si>
  <si>
    <t>denim skirt</t>
  </si>
  <si>
    <t>long black skirt</t>
  </si>
  <si>
    <t>long blue skirt</t>
  </si>
  <si>
    <t>black floral blouse LS</t>
  </si>
  <si>
    <t>light blue floral dress</t>
  </si>
  <si>
    <t>cream oversized cardigan</t>
  </si>
  <si>
    <t>denim stripes blouse SS</t>
  </si>
  <si>
    <t>BW sweater with buttons</t>
  </si>
  <si>
    <t>light blue pants</t>
  </si>
  <si>
    <t>blouse with blue/red/white squares</t>
  </si>
  <si>
    <t>khaki crop top</t>
  </si>
  <si>
    <t>black SL knit top</t>
  </si>
  <si>
    <t>blue velvet shirt</t>
  </si>
  <si>
    <t>white cotton blouse</t>
  </si>
  <si>
    <t>white shirt</t>
  </si>
  <si>
    <t>Teal blouse</t>
  </si>
  <si>
    <t>blue floral button down shirt vneck</t>
  </si>
  <si>
    <t>blue/white stripe top</t>
  </si>
  <si>
    <t>navy cigarette pants high rise</t>
  </si>
  <si>
    <t>green sleeveless dress</t>
  </si>
  <si>
    <t>red palais royal sweater</t>
  </si>
  <si>
    <t>purple silk dress</t>
  </si>
  <si>
    <t>white nylon top</t>
  </si>
  <si>
    <t>mango</t>
  </si>
  <si>
    <t>red/black coat</t>
  </si>
  <si>
    <t>light green crop sweater</t>
  </si>
  <si>
    <t>beige/gold caraco</t>
  </si>
  <si>
    <t>Margot leather bag</t>
  </si>
  <si>
    <t>Marilyn Anselm</t>
  </si>
  <si>
    <t>marine layer</t>
  </si>
  <si>
    <t>beige eyelet sweater w/ colors</t>
  </si>
  <si>
    <t>Marine Layer</t>
  </si>
  <si>
    <t>red top NWT</t>
  </si>
  <si>
    <t>https://poshmark.com/listing/Marine-Layer-Christiana-Knit-Long-Sleeve-Shirred-Cotton-Top-Holly-Berry-XS-NWT-675875479ceaf7cf01fbc48f</t>
  </si>
  <si>
    <t>marine Layer</t>
  </si>
  <si>
    <t>grey SS shirt</t>
  </si>
  <si>
    <t>Martha Stewart</t>
  </si>
  <si>
    <t>Masai Cpenhagen</t>
  </si>
  <si>
    <t>tunic</t>
  </si>
  <si>
    <t>Mustard sweater</t>
  </si>
  <si>
    <t>max studio</t>
  </si>
  <si>
    <t>blue/white sweater with zipper</t>
  </si>
  <si>
    <t>Monki</t>
  </si>
  <si>
    <t>Monoprix</t>
  </si>
  <si>
    <t>Green shirt</t>
  </si>
  <si>
    <t>Mokuyobi</t>
  </si>
  <si>
    <t>rainbow tee</t>
  </si>
  <si>
    <t>national geographic</t>
  </si>
  <si>
    <t>green hoodie</t>
  </si>
  <si>
    <t>Nautica</t>
  </si>
  <si>
    <t>red puffer</t>
  </si>
  <si>
    <t>Neiman / Anne Klein</t>
  </si>
  <si>
    <t>Vintage silk blouse</t>
  </si>
  <si>
    <t>Neyman Marcus</t>
  </si>
  <si>
    <t>pink cashmere zipper sweater</t>
  </si>
  <si>
    <t>nice things</t>
  </si>
  <si>
    <t>grey sweatpants</t>
  </si>
  <si>
    <t>Nobili</t>
  </si>
  <si>
    <t>blue/white knitted cardigan</t>
  </si>
  <si>
    <t>grey silk shirt</t>
  </si>
  <si>
    <t>novica</t>
  </si>
  <si>
    <t>blue midi dress</t>
  </si>
  <si>
    <t>NS cashmere</t>
  </si>
  <si>
    <t>Oaklandish</t>
  </si>
  <si>
    <t>red tshirt</t>
  </si>
  <si>
    <t>Odille</t>
  </si>
  <si>
    <t>black floral SS blouse</t>
  </si>
  <si>
    <t>old navy</t>
  </si>
  <si>
    <t>blue ruffle skirt</t>
  </si>
  <si>
    <t>One step</t>
  </si>
  <si>
    <t>suit jacket</t>
  </si>
  <si>
    <t>ONZ</t>
  </si>
  <si>
    <t>white linen dress</t>
  </si>
  <si>
    <t>orvis</t>
  </si>
  <si>
    <t>https://www.orvis.com/product/crofter-striped-cardigan/3KAN.html</t>
  </si>
  <si>
    <t>stripe top SL</t>
  </si>
  <si>
    <t>Oscar de la Renta</t>
  </si>
  <si>
    <t>silk scarf</t>
  </si>
  <si>
    <t>Oyun</t>
  </si>
  <si>
    <t>Mustard wool cardigan</t>
  </si>
  <si>
    <t>mom shorts</t>
  </si>
  <si>
    <t>black/red PJ</t>
  </si>
  <si>
    <t>teal crop top</t>
  </si>
  <si>
    <t>grey open cardigan NWT</t>
  </si>
  <si>
    <t>M/L</t>
  </si>
  <si>
    <t>https://wearpact.com/women/apparel/all%20tops/clearance%20airplane%20wrap/wb1-wac-chh</t>
  </si>
  <si>
    <t xml:space="preserve">Panhandle </t>
  </si>
  <si>
    <t>vintage denim overall</t>
  </si>
  <si>
    <t>lambswool sweater</t>
  </si>
  <si>
    <t>dark grey crew neck sweater</t>
  </si>
  <si>
    <t>blue tee, back opening</t>
  </si>
  <si>
    <t>light grey waffle sweater</t>
  </si>
  <si>
    <t>beige men work pants</t>
  </si>
  <si>
    <t>purple stripes shirt</t>
  </si>
  <si>
    <t>green/white yellow top</t>
  </si>
  <si>
    <t>vintage brown/orange skirt</t>
  </si>
  <si>
    <t>red wool coat</t>
  </si>
  <si>
    <t>peruvian connection</t>
  </si>
  <si>
    <t>multicolor sweater</t>
  </si>
  <si>
    <t>multicolor cardigan</t>
  </si>
  <si>
    <t>Petit Bateau</t>
  </si>
  <si>
    <t>teal sweater</t>
  </si>
  <si>
    <t>stripe cardigan</t>
  </si>
  <si>
    <t>Phatee Wear</t>
  </si>
  <si>
    <t>green shirt LS</t>
  </si>
  <si>
    <t>pilcro</t>
  </si>
  <si>
    <t>coral linen shirt</t>
  </si>
  <si>
    <t>beige/purple shirt</t>
  </si>
  <si>
    <t>navy embroidered top</t>
  </si>
  <si>
    <t>cream sweater with zip</t>
  </si>
  <si>
    <t>Prairie Underground</t>
  </si>
  <si>
    <t>red jacket</t>
  </si>
  <si>
    <t>orange fleece jacket</t>
  </si>
  <si>
    <t>pink LS tee</t>
  </si>
  <si>
    <t>purple sweater</t>
  </si>
  <si>
    <t>vine top</t>
  </si>
  <si>
    <t>white organic cotton cardigan</t>
  </si>
  <si>
    <t>forest green cardigan</t>
  </si>
  <si>
    <t>pink sweater</t>
  </si>
  <si>
    <t>sold $22</t>
  </si>
  <si>
    <t>Precious Fibers</t>
  </si>
  <si>
    <t>red cashmere sweater</t>
  </si>
  <si>
    <t>Pringle of scotland</t>
  </si>
  <si>
    <t>vendu $60</t>
  </si>
  <si>
    <t>Pull and bear</t>
  </si>
  <si>
    <t>mustard linen top</t>
  </si>
  <si>
    <t>Pure Collection</t>
  </si>
  <si>
    <t>PureJill</t>
  </si>
  <si>
    <t>green sweater vneck</t>
  </si>
  <si>
    <t>https://www.jjill.com/product/waffle-textured-v-neck-pullover-304651s-1?color=8GI</t>
  </si>
  <si>
    <t>quicksilver</t>
  </si>
  <si>
    <t>BW long open cardigan</t>
  </si>
  <si>
    <t>Quince</t>
  </si>
  <si>
    <t>grey dress v-neck</t>
  </si>
  <si>
    <t>Vneck button down dress, sage green</t>
  </si>
  <si>
    <t>brown knit tank top</t>
  </si>
  <si>
    <t>grey silk skirt</t>
  </si>
  <si>
    <t>white knitted sweater</t>
  </si>
  <si>
    <t>linen beige SS shirt</t>
  </si>
  <si>
    <t>grey cashmere crop</t>
  </si>
  <si>
    <t>rachel Zoe</t>
  </si>
  <si>
    <t>mustard linen shirt</t>
  </si>
  <si>
    <t>Rafaella</t>
  </si>
  <si>
    <t>vintage blue lambswool sweater</t>
  </si>
  <si>
    <t xml:space="preserve">knit sweater </t>
  </si>
  <si>
    <t>Ralf Lauren</t>
  </si>
  <si>
    <t>vintage red silk shirt</t>
  </si>
  <si>
    <t>cream alpaca cardigan</t>
  </si>
  <si>
    <t>stripe romper, NWT</t>
  </si>
  <si>
    <t>leopard print</t>
  </si>
  <si>
    <t>Roxy</t>
  </si>
  <si>
    <t xml:space="preserve">green crop sweater </t>
  </si>
  <si>
    <t>black spider tee</t>
  </si>
  <si>
    <t>c</t>
  </si>
  <si>
    <t>Saffron</t>
  </si>
  <si>
    <t>brown cashmere wrap</t>
  </si>
  <si>
    <t>Sandro</t>
  </si>
  <si>
    <t>vendu 50</t>
  </si>
  <si>
    <t>SANDRO</t>
  </si>
  <si>
    <t>Santa Cruz</t>
  </si>
  <si>
    <t>beige sweater with knot</t>
  </si>
  <si>
    <t>navy jacket</t>
  </si>
  <si>
    <t>Scotch and Soda</t>
  </si>
  <si>
    <t>light purple shirt</t>
  </si>
  <si>
    <t>Segments</t>
  </si>
  <si>
    <t>merino wool LS shirt</t>
  </si>
  <si>
    <t>Sezanne</t>
  </si>
  <si>
    <t>navy L'art de Lire tee</t>
  </si>
  <si>
    <t>mathilda shirt</t>
  </si>
  <si>
    <t>SFERA basic</t>
  </si>
  <si>
    <t>desert color Tshirt</t>
  </si>
  <si>
    <t>Simply silk</t>
  </si>
  <si>
    <t>brown silk top</t>
  </si>
  <si>
    <t>Smartwool</t>
  </si>
  <si>
    <t>grey/white top</t>
  </si>
  <si>
    <t>Sono</t>
  </si>
  <si>
    <t>long grey jacket</t>
  </si>
  <si>
    <t>vendu 75</t>
  </si>
  <si>
    <t>spare parts</t>
  </si>
  <si>
    <t>colorful plaid top</t>
  </si>
  <si>
    <t>beige eyelet sweater SS</t>
  </si>
  <si>
    <t>ST Croix Knits</t>
  </si>
  <si>
    <t>Stateside</t>
  </si>
  <si>
    <t>Stevie Howell</t>
  </si>
  <si>
    <t>wool shawl</t>
  </si>
  <si>
    <t>https://www.steviehowell.com/collections/scarves-1</t>
  </si>
  <si>
    <t>SuitSupply</t>
  </si>
  <si>
    <t>cashmere/cotton vneck sweater</t>
  </si>
  <si>
    <t>sundance</t>
  </si>
  <si>
    <t>red/grey cashmere scarf</t>
  </si>
  <si>
    <t>pink linen shirt</t>
  </si>
  <si>
    <t>PXS</t>
  </si>
  <si>
    <t>blue cashmere turtleneck</t>
  </si>
  <si>
    <t>long beige cardigan</t>
  </si>
  <si>
    <t>palm trees linen pants</t>
  </si>
  <si>
    <t>sage green linen/cotton jacket</t>
  </si>
  <si>
    <t>blue linen dress</t>
  </si>
  <si>
    <t>blue pencil dress</t>
  </si>
  <si>
    <t>S4</t>
  </si>
  <si>
    <t>wool red long dress</t>
  </si>
  <si>
    <t>navy blue open cardigan</t>
  </si>
  <si>
    <t>Tami</t>
  </si>
  <si>
    <t>brown wool cardigan</t>
  </si>
  <si>
    <t>tasc</t>
  </si>
  <si>
    <t>yoga open cardigan</t>
  </si>
  <si>
    <t>Taylor Swift</t>
  </si>
  <si>
    <t>grey sweater 1</t>
  </si>
  <si>
    <t>grey sweater 2</t>
  </si>
  <si>
    <t>The Drop</t>
  </si>
  <si>
    <t>black maxi dress</t>
  </si>
  <si>
    <t>black/beige shirt</t>
  </si>
  <si>
    <t>The Sak</t>
  </si>
  <si>
    <t>crochet bag</t>
  </si>
  <si>
    <t>https://www.thesak.com/collections/sak-totes</t>
  </si>
  <si>
    <t>cotton/silk black blouse</t>
  </si>
  <si>
    <t>blue linen/cotton sweater</t>
  </si>
  <si>
    <t>coral baby alpaca sweater</t>
  </si>
  <si>
    <t>cropped grey hoodie</t>
  </si>
  <si>
    <t>Tignanello</t>
  </si>
  <si>
    <t>yello leather bag</t>
  </si>
  <si>
    <t>Toad and co</t>
  </si>
  <si>
    <t>pink jacket with hood</t>
  </si>
  <si>
    <t>tom tom california</t>
  </si>
  <si>
    <t>vintage shirt</t>
  </si>
  <si>
    <t>stripe top</t>
  </si>
  <si>
    <t>silk blue top</t>
  </si>
  <si>
    <t>black flats</t>
  </si>
  <si>
    <t>Tracy Reese</t>
  </si>
  <si>
    <t>blue cotton cardigan</t>
  </si>
  <si>
    <t>twenty one</t>
  </si>
  <si>
    <t>blue dress with embroidery</t>
  </si>
  <si>
    <t>black mocassins</t>
  </si>
  <si>
    <t>UKU</t>
  </si>
  <si>
    <t>vintage linnen/cotton beige skirt</t>
  </si>
  <si>
    <t>Ulla Johnson</t>
  </si>
  <si>
    <t>Manet blouse</t>
  </si>
  <si>
    <t>Ungaro</t>
  </si>
  <si>
    <t>80s floral suit</t>
  </si>
  <si>
    <t>shirt collection / uniqlo</t>
  </si>
  <si>
    <t>pink blouse</t>
  </si>
  <si>
    <t>Lemaire teal SS top</t>
  </si>
  <si>
    <t>cream wool sweater</t>
  </si>
  <si>
    <t>burgundy wool sweater</t>
  </si>
  <si>
    <t>light pink eyelet sweater</t>
  </si>
  <si>
    <t>grey crop top</t>
  </si>
  <si>
    <t>long grey wool cardigan</t>
  </si>
  <si>
    <t>white blouse, NWT</t>
  </si>
  <si>
    <t>yellow linen shirt</t>
  </si>
  <si>
    <t>light pink linen shirt</t>
  </si>
  <si>
    <t>light blue linen shirt</t>
  </si>
  <si>
    <t>sage green wool sweater</t>
  </si>
  <si>
    <t>mustard wool sweater</t>
  </si>
  <si>
    <t>beige wool turtleneck</t>
  </si>
  <si>
    <t>white eyelet blouse</t>
  </si>
  <si>
    <t>black Tee LS</t>
  </si>
  <si>
    <t>mariniere blue/red</t>
  </si>
  <si>
    <t>long navy skirt</t>
  </si>
  <si>
    <t>long grey cardigan / wool</t>
  </si>
  <si>
    <t>beige linen blouse</t>
  </si>
  <si>
    <t>ines de la fressange BW shirt</t>
  </si>
  <si>
    <t>cotton scarf</t>
  </si>
  <si>
    <t>green cotton cardigan</t>
  </si>
  <si>
    <t>madras maxi dress</t>
  </si>
  <si>
    <t>olive green maxi dress</t>
  </si>
  <si>
    <t>brick top, NWT</t>
  </si>
  <si>
    <t>beige knitted open cardigan</t>
  </si>
  <si>
    <t>pink short dress</t>
  </si>
  <si>
    <t>green dress</t>
  </si>
  <si>
    <t>blue floral maxi dress</t>
  </si>
  <si>
    <t>teal baby doll dress</t>
  </si>
  <si>
    <t>long floral dress</t>
  </si>
  <si>
    <t>red floral scarf</t>
  </si>
  <si>
    <t>blue polka dots scarf</t>
  </si>
  <si>
    <t>grey handmade sweater</t>
  </si>
  <si>
    <t>turquoise/orange scarf</t>
  </si>
  <si>
    <t>navy shawl with flowers</t>
  </si>
  <si>
    <t>BW floral scarf</t>
  </si>
  <si>
    <t>rainbow scarf</t>
  </si>
  <si>
    <t>pink tartan cashmere scarf</t>
  </si>
  <si>
    <t>black cashmere scarf</t>
  </si>
  <si>
    <t>grey/tan wool plaid</t>
  </si>
  <si>
    <t>green lambswool scarf</t>
  </si>
  <si>
    <t>blue floral silk scarf</t>
  </si>
  <si>
    <t>green/orange scarf</t>
  </si>
  <si>
    <t>cashmere scarf</t>
  </si>
  <si>
    <t>dark grey wool cape</t>
  </si>
  <si>
    <t>Purple wool sweater</t>
  </si>
  <si>
    <t>rainbow shawl</t>
  </si>
  <si>
    <t>https://giftsfordifficultmothers.com/products/rainbow-stripe-plaid-cashmere-winter-scarf-shawl?variant=20030770675825</t>
  </si>
  <si>
    <t>beige / black dots Silk blouse</t>
  </si>
  <si>
    <t>blue silk/rayon shirt SS</t>
  </si>
  <si>
    <t>linen LS stripe tee</t>
  </si>
  <si>
    <t>black velvet jacket</t>
  </si>
  <si>
    <t>navy velvet jacket</t>
  </si>
  <si>
    <t>Vince camuto</t>
  </si>
  <si>
    <t>sequin dress</t>
  </si>
  <si>
    <t>BW blouse</t>
  </si>
  <si>
    <t>Viola Castellani</t>
  </si>
  <si>
    <t>black leather wallet</t>
  </si>
  <si>
    <t>Vlas Blomme</t>
  </si>
  <si>
    <t>F</t>
  </si>
  <si>
    <t xml:space="preserve">Wellington </t>
  </si>
  <si>
    <t>blue vintage coat</t>
  </si>
  <si>
    <t>Willi Smith</t>
  </si>
  <si>
    <t>cream cableknit turtleneck</t>
  </si>
  <si>
    <t>Wills classic</t>
  </si>
  <si>
    <t>Wild Fable</t>
  </si>
  <si>
    <t>orange/black dress</t>
  </si>
  <si>
    <t>world market</t>
  </si>
  <si>
    <t>boho blouse</t>
  </si>
  <si>
    <t>knitted poncho</t>
  </si>
  <si>
    <t>one size</t>
  </si>
  <si>
    <t>xirena</t>
  </si>
  <si>
    <t>blue cropped LS shirt</t>
  </si>
  <si>
    <t>Yarnz</t>
  </si>
  <si>
    <t>Know your Power scarf</t>
  </si>
  <si>
    <t>https://www.yarnz.com/collections/cashmere-printed-scarves/products/copy-of-yarnz-100-cashmere-oversize-scarf-optic-zebra-blue-1</t>
  </si>
  <si>
    <t>Yaza</t>
  </si>
  <si>
    <t>jupe salopette</t>
  </si>
  <si>
    <t>blue linen blouse bell sleeves</t>
  </si>
  <si>
    <t>vintage Zara pants</t>
  </si>
  <si>
    <t>electric blue sweater</t>
  </si>
  <si>
    <t>cream maxi dress</t>
  </si>
  <si>
    <t>purple short skirt</t>
  </si>
  <si>
    <t>beige cardigan gold buttons</t>
  </si>
  <si>
    <t>khaki top SS</t>
  </si>
  <si>
    <t>black wool coat</t>
  </si>
  <si>
    <t>angou</t>
  </si>
  <si>
    <t>floral jumpsuit</t>
  </si>
  <si>
    <t>18mo</t>
  </si>
  <si>
    <t>art class</t>
  </si>
  <si>
    <t>black eyelet tank</t>
  </si>
  <si>
    <t>baby organic</t>
  </si>
  <si>
    <t>jumsuit NWT</t>
  </si>
  <si>
    <t>9mo</t>
  </si>
  <si>
    <t>banana republic</t>
  </si>
  <si>
    <t>yellow wool sweater</t>
  </si>
  <si>
    <t>Bonpoint</t>
  </si>
  <si>
    <t>dark blue corduroy</t>
  </si>
  <si>
    <t>bonpoint</t>
  </si>
  <si>
    <t>dark brown skirt</t>
  </si>
  <si>
    <t>Boy + Girl</t>
  </si>
  <si>
    <t>stripe linen dress</t>
  </si>
  <si>
    <t>buttons changed</t>
  </si>
  <si>
    <t>Caramel</t>
  </si>
  <si>
    <t>dress with bloomer</t>
  </si>
  <si>
    <t>Carter's</t>
  </si>
  <si>
    <t>brown jumpsuit</t>
  </si>
  <si>
    <t>white/gold onesie</t>
  </si>
  <si>
    <t>cat and jack</t>
  </si>
  <si>
    <t>yellow cabana striped dress</t>
  </si>
  <si>
    <t>green jumpsuit</t>
  </si>
  <si>
    <t>turquoise dress</t>
  </si>
  <si>
    <t>light green dress</t>
  </si>
  <si>
    <t>BW skirt with bretelles</t>
  </si>
  <si>
    <t>pink jacket</t>
  </si>
  <si>
    <t>CFK</t>
  </si>
  <si>
    <t>navy shorts</t>
  </si>
  <si>
    <t>red stripes sweater</t>
  </si>
  <si>
    <t>denim vest</t>
  </si>
  <si>
    <t>blue/red/white stripes dress</t>
  </si>
  <si>
    <t>club med</t>
  </si>
  <si>
    <t>swimming tee</t>
  </si>
  <si>
    <t>cotton on</t>
  </si>
  <si>
    <t>organic cotton white/grey pyjama</t>
  </si>
  <si>
    <t>crewcuts</t>
  </si>
  <si>
    <t>hot pink embroidery tunic</t>
  </si>
  <si>
    <t>navy/white stripes dress</t>
  </si>
  <si>
    <t>cyrillus</t>
  </si>
  <si>
    <t>polka dots top</t>
  </si>
  <si>
    <t>peach dress</t>
  </si>
  <si>
    <t>18m</t>
  </si>
  <si>
    <t>Destira</t>
  </si>
  <si>
    <t>gymnastics attire</t>
  </si>
  <si>
    <t>du pareil au meme</t>
  </si>
  <si>
    <t>dove sweater</t>
  </si>
  <si>
    <t>denim shorts with flowers</t>
  </si>
  <si>
    <t>Gap kids</t>
  </si>
  <si>
    <t>tee bouées</t>
  </si>
  <si>
    <t>grain de blé</t>
  </si>
  <si>
    <t>grey top</t>
  </si>
  <si>
    <t>grayson mini</t>
  </si>
  <si>
    <t>stripes shorts</t>
  </si>
  <si>
    <t>guess</t>
  </si>
  <si>
    <t>chambray jumpsuit</t>
  </si>
  <si>
    <t>H&amp;M</t>
  </si>
  <si>
    <t>tartan dress</t>
  </si>
  <si>
    <t>blue romper</t>
  </si>
  <si>
    <t>Hannah Anderson</t>
  </si>
  <si>
    <t>cotton hat</t>
  </si>
  <si>
    <t>white turtleneck</t>
  </si>
  <si>
    <t>3mo</t>
  </si>
  <si>
    <t>Hope and henry</t>
  </si>
  <si>
    <t>white sweater dress</t>
  </si>
  <si>
    <t>Jacadi</t>
  </si>
  <si>
    <t>salopette</t>
  </si>
  <si>
    <t>Janie and Jack</t>
  </si>
  <si>
    <t>pumpkin pyjama</t>
  </si>
  <si>
    <t>La queue du chat</t>
  </si>
  <si>
    <t>blue/cream tank top</t>
  </si>
  <si>
    <t>pink dress blue balls</t>
  </si>
  <si>
    <t>Les petits carreaux</t>
  </si>
  <si>
    <t>blue floral top</t>
  </si>
  <si>
    <t>Little co</t>
  </si>
  <si>
    <t>palm trees dress</t>
  </si>
  <si>
    <t>Little Planet</t>
  </si>
  <si>
    <t>light brown onesie</t>
  </si>
  <si>
    <t>Marèse</t>
  </si>
  <si>
    <t>navy blue knit dress</t>
  </si>
  <si>
    <t>bensimon skirt</t>
  </si>
  <si>
    <t>chambray skirt</t>
  </si>
  <si>
    <t>Nohi</t>
  </si>
  <si>
    <t>pink ruffle skirt</t>
  </si>
  <si>
    <t>stripes summer set</t>
  </si>
  <si>
    <t>red pyjama</t>
  </si>
  <si>
    <t>petit bateau</t>
  </si>
  <si>
    <t>strip sweater</t>
  </si>
  <si>
    <t>rebecca</t>
  </si>
  <si>
    <t>blue top</t>
  </si>
  <si>
    <t>sergent major</t>
  </si>
  <si>
    <t>cream flower top</t>
  </si>
  <si>
    <t>polka dots hat</t>
  </si>
  <si>
    <t>sfera girl</t>
  </si>
  <si>
    <t>brown skirt</t>
  </si>
  <si>
    <t>The children's place</t>
  </si>
  <si>
    <t>tudobom</t>
  </si>
  <si>
    <t>united colors of benetton</t>
  </si>
  <si>
    <t>linen/cotton kids shirt</t>
  </si>
  <si>
    <t>chestnut sailor pants</t>
  </si>
  <si>
    <t>abercrombie kids</t>
  </si>
  <si>
    <t>navy ruffle dress</t>
  </si>
  <si>
    <t>STC</t>
  </si>
  <si>
    <t>baby gap</t>
  </si>
  <si>
    <t>pink coat</t>
  </si>
  <si>
    <t>pyjama</t>
  </si>
  <si>
    <t>beige boy sweater with zipper</t>
  </si>
  <si>
    <t>red/blue/white plaid dress</t>
  </si>
  <si>
    <t>Olive pinafore dress</t>
  </si>
  <si>
    <t>rust long dress</t>
  </si>
  <si>
    <t>columbia</t>
  </si>
  <si>
    <t>2 ski pants</t>
  </si>
  <si>
    <t>navy Brooklyn sweater</t>
  </si>
  <si>
    <t>unicorn sweater</t>
  </si>
  <si>
    <t>firsts impressions</t>
  </si>
  <si>
    <t>red sweater</t>
  </si>
  <si>
    <t>floral jeans</t>
  </si>
  <si>
    <t>pink stripes LS tee</t>
  </si>
  <si>
    <t>pink shirt with embroidery</t>
  </si>
  <si>
    <t>pink dress LS</t>
  </si>
  <si>
    <t>pink floral blouse</t>
  </si>
  <si>
    <t>h&amp;M</t>
  </si>
  <si>
    <t>blue stripes top</t>
  </si>
  <si>
    <t>libellules cardigan</t>
  </si>
  <si>
    <t>handmade</t>
  </si>
  <si>
    <t>pink cotton cardigan</t>
  </si>
  <si>
    <t>girls dress checkers</t>
  </si>
  <si>
    <t>fair Isle sweater</t>
  </si>
  <si>
    <t>cat dress</t>
  </si>
  <si>
    <t>jacadi</t>
  </si>
  <si>
    <t>snow suit</t>
  </si>
  <si>
    <t>blue overall</t>
  </si>
  <si>
    <t xml:space="preserve">pink dress </t>
  </si>
  <si>
    <t>M&amp;S</t>
  </si>
  <si>
    <t>bensimon bloomer</t>
  </si>
  <si>
    <t>red stripes overall</t>
  </si>
  <si>
    <t>flower dress LS</t>
  </si>
  <si>
    <t>red skirt</t>
  </si>
  <si>
    <t>pink denim skirt</t>
  </si>
  <si>
    <t>beige floral top</t>
  </si>
  <si>
    <t>jean shorts</t>
  </si>
  <si>
    <t>10yo</t>
  </si>
  <si>
    <t>Osh Kosh</t>
  </si>
  <si>
    <t>sparkle sweater</t>
  </si>
  <si>
    <t>OshKosh</t>
  </si>
  <si>
    <t>blue thick cardigan</t>
  </si>
  <si>
    <t>stripe colorful sweater</t>
  </si>
  <si>
    <t>2 onesies</t>
  </si>
  <si>
    <t>1mo</t>
  </si>
  <si>
    <t>sezanne</t>
  </si>
  <si>
    <t>tan turtleneck</t>
  </si>
  <si>
    <t>stokke</t>
  </si>
  <si>
    <t>kids chair cushion</t>
  </si>
  <si>
    <t>mexican dress</t>
  </si>
  <si>
    <t>Tea collection</t>
  </si>
  <si>
    <t>pink floral skirt</t>
  </si>
  <si>
    <t>Veja</t>
  </si>
  <si>
    <t>snickers</t>
  </si>
  <si>
    <t>Vertbaudet</t>
  </si>
  <si>
    <t>pink peacoat</t>
  </si>
  <si>
    <t>pink sweater dress</t>
  </si>
  <si>
    <t>Wondernation</t>
  </si>
  <si>
    <t>blue/white stripes dress</t>
  </si>
  <si>
    <t>green tunique with birds</t>
  </si>
  <si>
    <t>Aladdin</t>
  </si>
  <si>
    <t>Minuet bowl</t>
  </si>
  <si>
    <t>anri</t>
  </si>
  <si>
    <t>music box</t>
  </si>
  <si>
    <t>avon</t>
  </si>
  <si>
    <t>milk glass creamer</t>
  </si>
  <si>
    <t>aynsley</t>
  </si>
  <si>
    <t>wild tudor trinket</t>
  </si>
  <si>
    <t>baker and cold</t>
  </si>
  <si>
    <t>Old english handpainted / 1930</t>
  </si>
  <si>
    <t>7" plate</t>
  </si>
  <si>
    <r>
      <rPr>
        <color rgb="FF1155CC"/>
        <u/>
      </rPr>
      <t>https://www.ebay.com/itm/</t>
    </r>
    <r>
      <rPr/>
      <t>285534465724</t>
    </r>
  </si>
  <si>
    <t>Old english handpainted / 1930 / 2 bowls</t>
  </si>
  <si>
    <t>baum bros</t>
  </si>
  <si>
    <t>small cream bowl</t>
  </si>
  <si>
    <t>Beatrix Potter</t>
  </si>
  <si>
    <t>peter rabbit mug</t>
  </si>
  <si>
    <t>Boleslawiec</t>
  </si>
  <si>
    <t>gravy sauce pan</t>
  </si>
  <si>
    <t>lidded handled bowl</t>
  </si>
  <si>
    <t>Boop</t>
  </si>
  <si>
    <t>floral plate</t>
  </si>
  <si>
    <t>Boston</t>
  </si>
  <si>
    <t>handmade pot</t>
  </si>
  <si>
    <t>Castleton China</t>
  </si>
  <si>
    <t>gloria plate</t>
  </si>
  <si>
    <t>CBB</t>
  </si>
  <si>
    <t>handmade bowl</t>
  </si>
  <si>
    <t>Ceramiche Tadinate</t>
  </si>
  <si>
    <t>old italian dish</t>
  </si>
  <si>
    <t>https://www.ceramichetadinate.it/</t>
  </si>
  <si>
    <t>Churchill england</t>
  </si>
  <si>
    <t>3 bowls, Fresco collection</t>
  </si>
  <si>
    <t>8"</t>
  </si>
  <si>
    <t>https://www.replacements.com/china-churchill-fresco-blue-coupe-soup-bowl/p/59337491</t>
  </si>
  <si>
    <t>CLG CO</t>
  </si>
  <si>
    <t>milk glass vase</t>
  </si>
  <si>
    <t>Colonial Candle</t>
  </si>
  <si>
    <t>vintage japanese candle holder</t>
  </si>
  <si>
    <t>Corelle by Corning</t>
  </si>
  <si>
    <t>7 cups / Butterfly gold collection</t>
  </si>
  <si>
    <t>3.5"</t>
  </si>
  <si>
    <t>https://www.replacements.com/china-corning-butterfly-gold-corelle/c/16777</t>
  </si>
  <si>
    <t>8 saucers / butterfly gold collection</t>
  </si>
  <si>
    <t>6"</t>
  </si>
  <si>
    <t>corelle by Corning</t>
  </si>
  <si>
    <t>2 saucers - blue pattern</t>
  </si>
  <si>
    <t>corning ware</t>
  </si>
  <si>
    <t>blue cornflower A1B</t>
  </si>
  <si>
    <t>blue cornflower P43B</t>
  </si>
  <si>
    <t>blue cornflower P4B</t>
  </si>
  <si>
    <t>Echalote P322</t>
  </si>
  <si>
    <t>https://www.ebay.com/itm/164033092126</t>
  </si>
  <si>
    <t>3 qt casserole dish L'Echalote A3B</t>
  </si>
  <si>
    <t>https://www.replacements.com/china-corning-spice-of-life-centura-3-quart-square-casserole-no-lid/p/20528411</t>
  </si>
  <si>
    <t>Echalote - A1B, 1 quart dish</t>
  </si>
  <si>
    <t>1.5qt casserole dish</t>
  </si>
  <si>
    <t>https://www.replacements.com/china-corning-spice-of-life-centura-1-5-quart-square-casserole-no-lid/p/60528431</t>
  </si>
  <si>
    <t>Echalote P43B dish</t>
  </si>
  <si>
    <t>wildflower dish A2B</t>
  </si>
  <si>
    <t>https://www.replacements.com/china-corning-wildflower-corelle-2-quart-square-casserole-no-lid/p/22831971</t>
  </si>
  <si>
    <t>F5B round dish with lid</t>
  </si>
  <si>
    <t>https://www.replacements.com/china-corning-french-white-1-5-qt-round-covered-casserole/p/33858561</t>
  </si>
  <si>
    <t>round pie dish french white - F3B</t>
  </si>
  <si>
    <t>Country Harvest</t>
  </si>
  <si>
    <t>Apple pie dish</t>
  </si>
  <si>
    <t>Crate and Barrel</t>
  </si>
  <si>
    <t>golden candle holder, short</t>
  </si>
  <si>
    <t>tokyo small tray</t>
  </si>
  <si>
    <t>4 green bowls</t>
  </si>
  <si>
    <t>4 Winter Gems Appetizer plates</t>
  </si>
  <si>
    <t>white/green deep dish / salad bowl</t>
  </si>
  <si>
    <t>2 coffee cups with red car</t>
  </si>
  <si>
    <t>clover dish</t>
  </si>
  <si>
    <t>apero dish</t>
  </si>
  <si>
    <t>blue tablecloth</t>
  </si>
  <si>
    <t>crown classics</t>
  </si>
  <si>
    <t>salt and pepper shakers</t>
  </si>
  <si>
    <t>crystal</t>
  </si>
  <si>
    <t>bohemian czeh crystal and frosted vase</t>
  </si>
  <si>
    <t>https://www.etsy.com/listing/1633681372/heavy-bohemian-czech-crystal-and-frosted?gpla=1&amp;gao=1&amp;</t>
  </si>
  <si>
    <t>Cristal France</t>
  </si>
  <si>
    <t>snowflake half globe</t>
  </si>
  <si>
    <t>daniel echter</t>
  </si>
  <si>
    <t>sucrier</t>
  </si>
  <si>
    <t>Dinny Myerson</t>
  </si>
  <si>
    <t>blue pitcher</t>
  </si>
  <si>
    <t>Eisenberg Lozano</t>
  </si>
  <si>
    <t>silver wire basket MCM</t>
  </si>
  <si>
    <t>https://www.etsy.com/listing/1633108520/vintage-italian-silver-wine-caddy</t>
  </si>
  <si>
    <t>Franciscan</t>
  </si>
  <si>
    <t>cream oval platter</t>
  </si>
  <si>
    <t>Gien</t>
  </si>
  <si>
    <t>white artichoke plate</t>
  </si>
  <si>
    <t>Filet bleu coffee pot</t>
  </si>
  <si>
    <t>gourmet basics</t>
  </si>
  <si>
    <t>4 cobalt mugs</t>
  </si>
  <si>
    <t>Guo Pei</t>
  </si>
  <si>
    <t>Legion of honor mug</t>
  </si>
  <si>
    <t>https://www.ebay.com/itm/167620832815</t>
  </si>
  <si>
    <t>jars</t>
  </si>
  <si>
    <t>5 blue plates</t>
  </si>
  <si>
    <t>Jeannette</t>
  </si>
  <si>
    <t>2 Chantilly pink glasses</t>
  </si>
  <si>
    <t>Johnson Bros England</t>
  </si>
  <si>
    <t>5 cups and plates sets</t>
  </si>
  <si>
    <t>https://www.replacements.com/china-johnson-brothers-willow-blue-black-and-blue-backstamps-older/c/140474</t>
  </si>
  <si>
    <t>4 salad plates</t>
  </si>
  <si>
    <t>6 small plates</t>
  </si>
  <si>
    <t>Karen Donleavy</t>
  </si>
  <si>
    <t>black dog mug</t>
  </si>
  <si>
    <t>le gourmet chef</t>
  </si>
  <si>
    <t>small blue dish</t>
  </si>
  <si>
    <t>lenox chinastone</t>
  </si>
  <si>
    <t>Harvest small bowl</t>
  </si>
  <si>
    <t>4 blue pinstripe bowls</t>
  </si>
  <si>
    <t>white bowl with gold</t>
  </si>
  <si>
    <t>Limoges</t>
  </si>
  <si>
    <t>square bowl</t>
  </si>
  <si>
    <t>lord nelson potter</t>
  </si>
  <si>
    <t>zebra plate</t>
  </si>
  <si>
    <t>https://craftshero.com/lord-nelson-pottery/</t>
  </si>
  <si>
    <t>mat Ceramica</t>
  </si>
  <si>
    <t>blue bowl</t>
  </si>
  <si>
    <t>Mc Cluskey Pottery</t>
  </si>
  <si>
    <t>small beige vase with navy neck</t>
  </si>
  <si>
    <t>mikasa</t>
  </si>
  <si>
    <t>Terra stone Reims 7115</t>
  </si>
  <si>
    <t>mushie</t>
  </si>
  <si>
    <t>4 plates</t>
  </si>
  <si>
    <t>https://mushie.com/products/square-dinnerware-plates-set-of-2?_pos=5&amp;_fid=81f3369bf&amp;_ss=c</t>
  </si>
  <si>
    <t>4 bowls</t>
  </si>
  <si>
    <t>https://mushie.com/products/square-dinnerware-bowl-set-of-2?_pos=6&amp;_fid=74887450e&amp;_ss=c</t>
  </si>
  <si>
    <t>Noritake</t>
  </si>
  <si>
    <t>4 bowls hello Spring</t>
  </si>
  <si>
    <t>Large dish Hello Spring</t>
  </si>
  <si>
    <t>Viceroy - Vegetable serving bowl</t>
  </si>
  <si>
    <t>10"</t>
  </si>
  <si>
    <t>https://www.replacements.com/china-noritake-viceroy/c/69655?srsltid=AfmBOorAfvgPI4rhjCG5Sb_k6k7B9WqI5OHtS_5d4Tx4jtC0ksxef44F</t>
  </si>
  <si>
    <t>Made in Japan, 1975 - 1986, Ivory, Thin Gold Ring, Wide Gold Trim</t>
  </si>
  <si>
    <t>Viceroy - oval serving platter</t>
  </si>
  <si>
    <t>13"</t>
  </si>
  <si>
    <t>Viceroy - 3 cups</t>
  </si>
  <si>
    <t>Norleans Japan</t>
  </si>
  <si>
    <t>vintage small vase</t>
  </si>
  <si>
    <t>Nymolle Denmark</t>
  </si>
  <si>
    <t>Set of 12 decorations</t>
  </si>
  <si>
    <t>OMC Japan</t>
  </si>
  <si>
    <t>3 small round trinkets</t>
  </si>
  <si>
    <t>Pam Edmondson</t>
  </si>
  <si>
    <t>red handmade tray</t>
  </si>
  <si>
    <t xml:space="preserve">Paul Mantonnet </t>
  </si>
  <si>
    <t>brown pottery</t>
  </si>
  <si>
    <t>Petit collage</t>
  </si>
  <si>
    <t>kids wood wall art</t>
  </si>
  <si>
    <t>Pfaltzgraff</t>
  </si>
  <si>
    <t xml:space="preserve">Yorktowne blue - Small dish </t>
  </si>
  <si>
    <t>Yorktowne blue - Gravy boat</t>
  </si>
  <si>
    <t>Yorktowne blue - Sugar bowl</t>
  </si>
  <si>
    <t>Yorktowne blue - Creamer</t>
  </si>
  <si>
    <t>Pillivuyt</t>
  </si>
  <si>
    <t>white baking dish</t>
  </si>
  <si>
    <t>pyrex</t>
  </si>
  <si>
    <t>vintage deep dish pie plate</t>
  </si>
  <si>
    <t>https://www.replacements.com/china-pyrex-originals-clear-10-pie-baking-plate/p/118343191?utm_source=google_shopping&amp;utm_medium=organic&amp;utm_campaign=shopping_feed&amp;gad_source=1&amp;gclid=CjwKCAiAnKi8BhB0EiwA58DA4YhkmkEmmzxt2oVn3WVIrusShy_BJR8RrhneGkcgZKn1auoUoHQcPxoCMSkQAvD_BwE</t>
  </si>
  <si>
    <t>Rachel zoe</t>
  </si>
  <si>
    <t>6 pumpkin napkins</t>
  </si>
  <si>
    <t>reed &amp; barton</t>
  </si>
  <si>
    <t>shannon silverplate tray 1022</t>
  </si>
  <si>
    <t>3800 sugar with lid - plated silver</t>
  </si>
  <si>
    <t>3800 sugar pot no lid - plated silver</t>
  </si>
  <si>
    <t>Royal copenhagen</t>
  </si>
  <si>
    <t>small white oval dish</t>
  </si>
  <si>
    <t>Royal Crownford</t>
  </si>
  <si>
    <t>1979 Christmas plate</t>
  </si>
  <si>
    <t>https://www.etsy.com/listing/1805907561/royal-crownford-a-happy-holiday-to-you</t>
  </si>
  <si>
    <t>royal doulton</t>
  </si>
  <si>
    <t>2 blue plates, the kirkwood, 8.5", stamped, no chip, no crack</t>
  </si>
  <si>
    <t>https://www.ebay.com/itm/334574052909</t>
  </si>
  <si>
    <t>Made in england, 1950/1963, pattern D6314, Lambethware collection, beautiful blue bone china material with a printed backstamp. Add a touch of Victorian elegance to your table setting with this stunning set by Royal Doulton. Featuring a beautiful blue and white floral pattern. Hand wash only to keep their glossy finish looking beautiful. Each plate in this limited edition set is an original production of Blue and White Pottery from the United Kingdom. The backstamp is printed with the product line name "Kirkwood" and the brand "Royal Doulton." Ideal for collectors and dinner hosts</t>
  </si>
  <si>
    <t>History of Royal Doulton https://www.daltondatabank.org/Chronicles/Royal_Doulton.htm#:~:text=On%20September%2030%2C%202005%2C%20Doulton's,countryside%20south%20of%20the%20Potteries.</t>
  </si>
  <si>
    <t>royal M Japan</t>
  </si>
  <si>
    <t>2 small round dishes</t>
  </si>
  <si>
    <t>Scentsational</t>
  </si>
  <si>
    <t>sage/magnolia candle</t>
  </si>
  <si>
    <t>Schmid</t>
  </si>
  <si>
    <t>small souffle dish</t>
  </si>
  <si>
    <t>Skip Hop</t>
  </si>
  <si>
    <t>changing pad</t>
  </si>
  <si>
    <t>Slant collection</t>
  </si>
  <si>
    <t>trinket tray pineapples</t>
  </si>
  <si>
    <t>small pineapple tray</t>
  </si>
  <si>
    <t>Soule studio</t>
  </si>
  <si>
    <t>small green bowl</t>
  </si>
  <si>
    <t>soule studio</t>
  </si>
  <si>
    <t>large green platter</t>
  </si>
  <si>
    <t>Stenson</t>
  </si>
  <si>
    <t>8 cheese plates</t>
  </si>
  <si>
    <t>Stoneware</t>
  </si>
  <si>
    <t>1 large beige/brown bowl</t>
  </si>
  <si>
    <t>sue Gwin</t>
  </si>
  <si>
    <t>Wyoming Rain art</t>
  </si>
  <si>
    <t>suncraft</t>
  </si>
  <si>
    <t>4 stoneware bowls made in Japan</t>
  </si>
  <si>
    <t>TARGET</t>
  </si>
  <si>
    <t>marble coaster</t>
  </si>
  <si>
    <t>Taste Seller by Sigma</t>
  </si>
  <si>
    <t>french utensils holder</t>
  </si>
  <si>
    <t>Thirsty Stone</t>
  </si>
  <si>
    <t>4 stone coasters</t>
  </si>
  <si>
    <t>need cleaning</t>
  </si>
  <si>
    <t>tokohama studio</t>
  </si>
  <si>
    <t>bowl with lid</t>
  </si>
  <si>
    <t>sage green candle jar</t>
  </si>
  <si>
    <t>beige/black table runner</t>
  </si>
  <si>
    <t>dog kitchen towel</t>
  </si>
  <si>
    <t>brown casserole, mapple leaf</t>
  </si>
  <si>
    <t>signed pottery tea pot</t>
  </si>
  <si>
    <t>2 brass candle holders made in india</t>
  </si>
  <si>
    <t>beige handmade vase signed D</t>
  </si>
  <si>
    <t>small colorful wooden candle holder</t>
  </si>
  <si>
    <t>4 red flowers cotton napkins</t>
  </si>
  <si>
    <t>swedish small tablecloth</t>
  </si>
  <si>
    <t>2 spice jars made in France</t>
  </si>
  <si>
    <t>turkish blue plate</t>
  </si>
  <si>
    <t>1 small handmade grey round ceramic dish</t>
  </si>
  <si>
    <t xml:space="preserve"> 3 japanese sake porcelain glasses</t>
  </si>
  <si>
    <t>handmade blue woven tablecloth</t>
  </si>
  <si>
    <t>small green vase narrow neck</t>
  </si>
  <si>
    <t>brazilian pottery</t>
  </si>
  <si>
    <t>white round crochet tablecloth</t>
  </si>
  <si>
    <t>earth tones bowl, signed Jam</t>
  </si>
  <si>
    <t>blue/brown salad bowl handmade, signed</t>
  </si>
  <si>
    <t>blue/white mug with brown inside</t>
  </si>
  <si>
    <t>red/beige/grey cotton throw</t>
  </si>
  <si>
    <t>4 rattan oval placemats</t>
  </si>
  <si>
    <t>1 round rattan placemat</t>
  </si>
  <si>
    <t>cobalt blue french butter dish pottery</t>
  </si>
  <si>
    <t>2 marble candle holders</t>
  </si>
  <si>
    <t>white/blue cotton curtain</t>
  </si>
  <si>
    <t>vintage tablecloth red/cream gingham</t>
  </si>
  <si>
    <t>set of 4 coasters with vans</t>
  </si>
  <si>
    <t>handmade green square vase</t>
  </si>
  <si>
    <t>frame c'est bon</t>
  </si>
  <si>
    <t>2 peach napkins</t>
  </si>
  <si>
    <t>soliflore vase marked USA 456</t>
  </si>
  <si>
    <t xml:space="preserve">Oven to tableware teapot </t>
  </si>
  <si>
    <t>flat basket pink/green</t>
  </si>
  <si>
    <t>silverplate butter curler</t>
  </si>
  <si>
    <t>https://www.etsy.com/listing/1676344517/vintage-silver-plated-decorative-butter?show_sold_out_detail=1&amp;ref=nla_listing_details</t>
  </si>
  <si>
    <t>murano glass shell center piece 70's</t>
  </si>
  <si>
    <t>https://www.1stdibs.com/furniture/dining-entertaining/centerpieces/murano-glass-archimede-seguso-style-organic-shell-form-center-bowl/id-f_5831983/</t>
  </si>
  <si>
    <t>Vintage Italian Murano glass organic form shell center piece bowl in amethyst, black, white and silver in the style of Archimede Seguso.</t>
  </si>
  <si>
    <t>plant hanger</t>
  </si>
  <si>
    <t>handmade white blanket</t>
  </si>
  <si>
    <t>embroidered pillowcase</t>
  </si>
  <si>
    <t>purple/grey basket</t>
  </si>
  <si>
    <t>Carol Blanchard frame</t>
  </si>
  <si>
    <t>BW tablerunner</t>
  </si>
  <si>
    <t>torchon libellule</t>
  </si>
  <si>
    <t>brass vase</t>
  </si>
  <si>
    <t>white milk glass candle holder</t>
  </si>
  <si>
    <t>blue/grey casserole pottery</t>
  </si>
  <si>
    <t>2 palm trees candle holders</t>
  </si>
  <si>
    <t>small pot / cream with blue/purple</t>
  </si>
  <si>
    <t>vernon kilns</t>
  </si>
  <si>
    <t xml:space="preserve">8 floral saucers </t>
  </si>
  <si>
    <t xml:space="preserve">Vietri </t>
  </si>
  <si>
    <t>art glass bowl</t>
  </si>
  <si>
    <t>villeroy et boch</t>
  </si>
  <si>
    <t>2 white coffee cups</t>
  </si>
  <si>
    <t>wallace</t>
  </si>
  <si>
    <t>silver plated chandelier, Baroque</t>
  </si>
  <si>
    <t xml:space="preserve">westelm </t>
  </si>
  <si>
    <t>dog tray 2</t>
  </si>
  <si>
    <t>2 beige/white pillow cases</t>
  </si>
  <si>
    <t>throw 2</t>
  </si>
  <si>
    <t>blue grey plate</t>
  </si>
  <si>
    <t>beige/yellow pillowcase</t>
  </si>
  <si>
    <t>2 beige dot mugs</t>
  </si>
  <si>
    <t>westwood</t>
  </si>
  <si>
    <t>peanut mug</t>
  </si>
  <si>
    <t>williams sonoma</t>
  </si>
  <si>
    <t>xoxo tray</t>
  </si>
  <si>
    <t>painted wood candle holder</t>
  </si>
  <si>
    <t>rainbow lamp</t>
  </si>
  <si>
    <t>Yokohama studio</t>
  </si>
  <si>
    <t>bowl with purple flowers</t>
  </si>
  <si>
    <t>2 crystal like glasses</t>
  </si>
  <si>
    <t>archana crafts</t>
  </si>
  <si>
    <t>brass vase made in india</t>
  </si>
  <si>
    <t>set of 4 measuring cups</t>
  </si>
  <si>
    <t>Hearth and Hand</t>
  </si>
  <si>
    <t>2 green mugs</t>
  </si>
  <si>
    <t>12" Hostess Bowl</t>
  </si>
  <si>
    <t>12 x 4 3/8</t>
  </si>
  <si>
    <t>https://www.replacements.com/crystal-mikasa-tulips-satin-12-hostess-bowl/p/65052061</t>
  </si>
  <si>
    <t>tulips satin collection - Hostess bowl, frosted and clear glass, made in germany, no chips</t>
  </si>
  <si>
    <t>13.5" x 1"</t>
  </si>
  <si>
    <t>made in portugal</t>
  </si>
  <si>
    <t>no chips, no cracks, excellent condition</t>
  </si>
  <si>
    <t>Brooke</t>
  </si>
  <si>
    <t>white/red vase</t>
  </si>
  <si>
    <t>marble jewel box</t>
  </si>
  <si>
    <t>small jute box</t>
  </si>
  <si>
    <t>set of 6 mugs</t>
  </si>
  <si>
    <t>Popcorn bowl</t>
  </si>
  <si>
    <t>Andrea by Sadek</t>
  </si>
  <si>
    <t>2 saucers with flowers</t>
  </si>
  <si>
    <t>Anthropologie</t>
  </si>
  <si>
    <t>set of 4 green coasters</t>
  </si>
  <si>
    <t>lion mug</t>
  </si>
  <si>
    <t>ceramic french press</t>
  </si>
  <si>
    <t>cat mug</t>
  </si>
  <si>
    <t>At Home</t>
  </si>
  <si>
    <t>pink/yellow mug</t>
  </si>
  <si>
    <t>Aza selection</t>
  </si>
  <si>
    <t>brown soliflore</t>
  </si>
  <si>
    <t>piggybank</t>
  </si>
  <si>
    <t>Benjamin bunny mug</t>
  </si>
  <si>
    <t>Small peter rabbit cup</t>
  </si>
  <si>
    <t>better homes &amp; gardens</t>
  </si>
  <si>
    <t>Jute  tablerunner</t>
  </si>
  <si>
    <t>Bia cordon bleu</t>
  </si>
  <si>
    <t>4 large cheese plates</t>
  </si>
  <si>
    <t>sold 25</t>
  </si>
  <si>
    <t>https://www.etsy.com/listing/1484516007/camembert-depot-paris-four-plate-serving?ga_order=most_relevant&amp;ga_search_type=all&amp;ga_view_type=gallery&amp;ga_search_query=bia+cordon+bleu+camembert&amp;ref=sr_gallery-1-13&amp;content_source=4caf86f05116436909f51f2249291922ec7bc4bb%253A1484516007&amp;search_preloaded_img=1&amp;organic_search_click=1</t>
  </si>
  <si>
    <t>4 small cheese plates</t>
  </si>
  <si>
    <t>Biltons</t>
  </si>
  <si>
    <t>cat mug, made in England</t>
  </si>
  <si>
    <t>Bluelounge</t>
  </si>
  <si>
    <t>desk</t>
  </si>
  <si>
    <t>Bodum</t>
  </si>
  <si>
    <t>columbia french press</t>
  </si>
  <si>
    <t>bodum</t>
  </si>
  <si>
    <t>columbia coffee maker</t>
  </si>
  <si>
    <t>https://www.bodum.com/us/en/1308-16-bodum-columbia</t>
  </si>
  <si>
    <t>Booths China</t>
  </si>
  <si>
    <t>1 round plate</t>
  </si>
  <si>
    <t>1 oval dish</t>
  </si>
  <si>
    <t>gloria small bowl</t>
  </si>
  <si>
    <t>cb2</t>
  </si>
  <si>
    <t>pillowcase</t>
  </si>
  <si>
    <t>Christophe Pichon</t>
  </si>
  <si>
    <t>brown salad bowl</t>
  </si>
  <si>
    <t>colorstax</t>
  </si>
  <si>
    <t>blue gratin dish</t>
  </si>
  <si>
    <t>4 cups / Butterfly gold collection</t>
  </si>
  <si>
    <t>french white cocotte 4L F14B</t>
  </si>
  <si>
    <t>https://www.etsy.com/listing/1182568373/corning-ware-french-white-f-14-b-4-liter?show_sold_out_detail=1&amp;ref=nla_listing_details</t>
  </si>
  <si>
    <t>buffet server B4B, 4qt</t>
  </si>
  <si>
    <t>https://www.moose-r-us.com/shop/vintage-corning-ware-buffet-server-4-quart-white-casserole-stew-usa-cooking-pot/</t>
  </si>
  <si>
    <t>blue/green speckled ombre barrel vase</t>
  </si>
  <si>
    <t>6.25”x 7”</t>
  </si>
  <si>
    <t>https://www.ebay.com/itm/386942557783</t>
  </si>
  <si>
    <t>made in Portugal, stamped, The blue color has an eggshell finish and the green is glossy.</t>
  </si>
  <si>
    <t>set of 4 east coast trays</t>
  </si>
  <si>
    <t>set of 4 mugs</t>
  </si>
  <si>
    <t>white chip &amp; dip</t>
  </si>
  <si>
    <r>
      <rPr>
        <color rgb="FF1155CC"/>
        <u/>
      </rPr>
      <t>https://www.ebay.com/itm/</t>
    </r>
    <r>
      <rPr/>
      <t>313911293815</t>
    </r>
  </si>
  <si>
    <t>2 martini glasses, crafted in mexico, Granada collection</t>
  </si>
  <si>
    <t>5.5 x 6.5</t>
  </si>
  <si>
    <t>https://www.ebay.com/itm/195760494918</t>
  </si>
  <si>
    <t>hand blown in Mexico, color swirl, no chips or cracks</t>
  </si>
  <si>
    <t>golden candle holder</t>
  </si>
  <si>
    <t>ceramic sake bottle</t>
  </si>
  <si>
    <t>6" tall</t>
  </si>
  <si>
    <r>
      <rPr>
        <color rgb="FF1155CC"/>
        <u/>
      </rPr>
      <t>https://poshmark.com/listing/</t>
    </r>
    <r>
      <rPr/>
      <t>Crate-and-Barrel-silver-white-ceramic-sake-bottle-vase-677e7e0f64f5a286526f0d21</t>
    </r>
  </si>
  <si>
    <t>cristal d'arques</t>
  </si>
  <si>
    <t>alexandrite neodymium crystal vase</t>
  </si>
  <si>
    <t>https://www.etsy.com/listing/1689223138/vase-vintage-en-cystal-pae-crystal</t>
  </si>
  <si>
    <t>Crystal clear</t>
  </si>
  <si>
    <t>2 candle holders made in Romania</t>
  </si>
  <si>
    <t>https://www.etsy.com/listing/1520019982/crystal-clear-hand-crafted-crystal?ref=share_v4_lx</t>
  </si>
  <si>
    <t>Darzzi</t>
  </si>
  <si>
    <t>grey/white cotton throw</t>
  </si>
  <si>
    <t>Emile Henry</t>
  </si>
  <si>
    <t>Green Pie dish</t>
  </si>
  <si>
    <t>FAB</t>
  </si>
  <si>
    <t>star wars piggy bank</t>
  </si>
  <si>
    <t>Fitz and floyd</t>
  </si>
  <si>
    <t>1978 owl tea pot + 2 cups</t>
  </si>
  <si>
    <t>gail pittman</t>
  </si>
  <si>
    <t>cream pie dish, hospitality collection</t>
  </si>
  <si>
    <t>George Jones and Sons</t>
  </si>
  <si>
    <t>Crescent Ivory tea pot</t>
  </si>
  <si>
    <t>Goel brass</t>
  </si>
  <si>
    <t>small round box</t>
  </si>
  <si>
    <t>Habitat</t>
  </si>
  <si>
    <t>3 candle holders</t>
  </si>
  <si>
    <t>Halcyon</t>
  </si>
  <si>
    <t>london tea pot</t>
  </si>
  <si>
    <t>Haviland</t>
  </si>
  <si>
    <t>4 Baltimore rose small dishes</t>
  </si>
  <si>
    <r>
      <rPr>
        <color rgb="FF1155CC"/>
        <u/>
      </rPr>
      <t>https://www.replacements.com/</t>
    </r>
    <r>
      <rPr/>
      <t>china-haviland-schleiger-1151a/c/33129</t>
    </r>
  </si>
  <si>
    <t>ikea</t>
  </si>
  <si>
    <t>beige/black tablerunner</t>
  </si>
  <si>
    <t>set of 3 candlesticks</t>
  </si>
  <si>
    <t>Itsuko</t>
  </si>
  <si>
    <t>Itsuko Zenitani Studio bowl</t>
  </si>
  <si>
    <t>Jansport</t>
  </si>
  <si>
    <t>backpack</t>
  </si>
  <si>
    <t>black cat mug</t>
  </si>
  <si>
    <t>Kinbi</t>
  </si>
  <si>
    <t>navy floral fabric</t>
  </si>
  <si>
    <t>rabbit navy fabric</t>
  </si>
  <si>
    <t>laura ashley</t>
  </si>
  <si>
    <t>1976 salad bowl</t>
  </si>
  <si>
    <t xml:space="preserve">le creuset </t>
  </si>
  <si>
    <t>large oval pan #36</t>
  </si>
  <si>
    <t>https://www.ebay.com/itm/126919777906</t>
  </si>
  <si>
    <t>Lego</t>
  </si>
  <si>
    <t>Dumbledore office</t>
  </si>
  <si>
    <t>Chamber of Secrets + bus</t>
  </si>
  <si>
    <t>chess set</t>
  </si>
  <si>
    <t>saucier</t>
  </si>
  <si>
    <t>Margaret Keane</t>
  </si>
  <si>
    <t>polar bear plate 1990</t>
  </si>
  <si>
    <t>https://www.etsy.com/listing/1746243140/vintage-1990-the-franklin-mint-gentle?ga_order=most_relevant&amp;ga_search_type=all&amp;ga_view_type=gallery&amp;ga_search_query=margaret+keane+plate&amp;ref=sr_gallery-1-9&amp;pro=1&amp;frs=1&amp;content_source=95ddcdc73ecc39dc60533fe4412b375fdf7b5a8f%253A1746243140&amp;organic_search_click=1</t>
  </si>
  <si>
    <t>metlox</t>
  </si>
  <si>
    <t>bandero 13" oval serving platter / poppytrail</t>
  </si>
  <si>
    <t>https://www.etsy.com/nz/listing/1761699686/metlox-poppytrail-vernon-porcelain</t>
  </si>
  <si>
    <t>MH</t>
  </si>
  <si>
    <t>handmade MCM vase</t>
  </si>
  <si>
    <t>handmade MC pottery</t>
  </si>
  <si>
    <t>Mikasa</t>
  </si>
  <si>
    <t>4 bowls, Blue Thunder collection</t>
  </si>
  <si>
    <t>stone manor milk pot</t>
  </si>
  <si>
    <t>MSI japan</t>
  </si>
  <si>
    <t>colonial stoneware / 5 cups</t>
  </si>
  <si>
    <t>https://poshmark.com/listing/COLONIAL-Stoneware-CUP-and-SAUCER-Made-in-Japan-Colonial-Stoneware-64fdcbd88634cb7853aaae46?srsltid=AfmBOooefT7AvICZ7U741asjHjArYuzMUuKLRJAWel__2DkG0lgOfgnLDM4#utm_source=gdm_unpaid</t>
  </si>
  <si>
    <t>Ninja</t>
  </si>
  <si>
    <t>air fryer</t>
  </si>
  <si>
    <t>4 misty isle cereal bowls</t>
  </si>
  <si>
    <t>4 tea cups</t>
  </si>
  <si>
    <t>Yorktowne blue - utensils pot</t>
  </si>
  <si>
    <t>Juniper Sugar bowl and lid</t>
  </si>
  <si>
    <t>Vintage, made in the 90'</t>
  </si>
  <si>
    <t>Yorktowne blue - water pot</t>
  </si>
  <si>
    <t>Pickard</t>
  </si>
  <si>
    <t>small bowl, Diplomat collection</t>
  </si>
  <si>
    <t>5"</t>
  </si>
  <si>
    <t>https://www.replacements.com/china-pickard-diplomat/c/75454?srsltid=AfmBOoozHiGz3Fphd7CwNGJcZh42MpYe7ye6iHwt7xXzJPM8iBAIISN_</t>
  </si>
  <si>
    <t>Pickenpaugh pottery</t>
  </si>
  <si>
    <t xml:space="preserve">blue/brown bowl, signed </t>
  </si>
  <si>
    <t>porcelaine de paris</t>
  </si>
  <si>
    <t>floral dutch oven</t>
  </si>
  <si>
    <t>Portmeirion</t>
  </si>
  <si>
    <t>botanic garden dog rose tea pot 1972</t>
  </si>
  <si>
    <t>https://www.etsy.com/listing/1766421259/portmeirion-botanic-garden-dog-rose-1972?show_sold_out_detail=1&amp;ref=nla_listing_details</t>
  </si>
  <si>
    <t>portmeirion</t>
  </si>
  <si>
    <t>peaches large dish</t>
  </si>
  <si>
    <t>Pottery Barn</t>
  </si>
  <si>
    <t>6 Bongo mugs</t>
  </si>
  <si>
    <t>Printemps</t>
  </si>
  <si>
    <t>large yellow platter</t>
  </si>
  <si>
    <t>sold 20</t>
  </si>
  <si>
    <t>Queenwest</t>
  </si>
  <si>
    <t>blue cotton throw</t>
  </si>
  <si>
    <t>Quicksilver</t>
  </si>
  <si>
    <t>blue tray</t>
  </si>
  <si>
    <t>Rae Dunn</t>
  </si>
  <si>
    <t>best nana box</t>
  </si>
  <si>
    <t>Restauration Hardware</t>
  </si>
  <si>
    <t>2 silver platted candlesticks</t>
  </si>
  <si>
    <t>Rosanna</t>
  </si>
  <si>
    <t>Travel tip France trincket</t>
  </si>
  <si>
    <t>patio party / bon voyage</t>
  </si>
  <si>
    <t>patio party / havana</t>
  </si>
  <si>
    <t>patio party / cote d'azur</t>
  </si>
  <si>
    <t>Safi</t>
  </si>
  <si>
    <t>small spice pottery</t>
  </si>
  <si>
    <t>simplystoneware</t>
  </si>
  <si>
    <t>garlic graterq</t>
  </si>
  <si>
    <t>hexagone flower tray</t>
  </si>
  <si>
    <t>large blue bowl</t>
  </si>
  <si>
    <t>large red bowl</t>
  </si>
  <si>
    <t>starbucks</t>
  </si>
  <si>
    <t>2001 talavera mug</t>
  </si>
  <si>
    <t>sold 15</t>
  </si>
  <si>
    <t>4 pink bowls, made in Japan</t>
  </si>
  <si>
    <t>sur la table</t>
  </si>
  <si>
    <t>floral table runner</t>
  </si>
  <si>
    <t>Target</t>
  </si>
  <si>
    <t>baby changing pad</t>
  </si>
  <si>
    <t>CALM large candle</t>
  </si>
  <si>
    <t>Territory</t>
  </si>
  <si>
    <t>blue/white table runner</t>
  </si>
  <si>
    <t>The Bradford exchange</t>
  </si>
  <si>
    <t>deer rectangular tray</t>
  </si>
  <si>
    <t>thomas o'brien</t>
  </si>
  <si>
    <t>white bubble vase</t>
  </si>
  <si>
    <t>https://poshmark.com/listing/Thomas-OBrien-small-round-vase-63487acdc5df6cdfe71fe7b5?srsltid=AfmBOor5Iq1vsbx3TgisZ056LZFWKoZ0YFtXAAzzsRXPIu4PzIE0gQHQ</t>
  </si>
  <si>
    <t>Tonala</t>
  </si>
  <si>
    <t>vintage bottle with cork, made in Mexico</t>
  </si>
  <si>
    <t>4 dessert plates</t>
  </si>
  <si>
    <t>Turi design</t>
  </si>
  <si>
    <t>4 cheese plates, Tor Viking, MCM</t>
  </si>
  <si>
    <t>japanese raspberry pie dish</t>
  </si>
  <si>
    <t>1 pink glass</t>
  </si>
  <si>
    <t>small purple vase</t>
  </si>
  <si>
    <t>4 blue dyed napkins</t>
  </si>
  <si>
    <t>blue fish trinket</t>
  </si>
  <si>
    <t>EGGS arrow</t>
  </si>
  <si>
    <t>blue green small bud vase</t>
  </si>
  <si>
    <t>1 small handmade green round ceramic dish</t>
  </si>
  <si>
    <t>japanese fish trays</t>
  </si>
  <si>
    <t>blue salad bowl, not signed</t>
  </si>
  <si>
    <t>japanese fabric with rabbit</t>
  </si>
  <si>
    <t>blue bowl made in Japan</t>
  </si>
  <si>
    <t>pink/blue bed cover</t>
  </si>
  <si>
    <t>black cat made in Mexico</t>
  </si>
  <si>
    <t>7 blue napkins</t>
  </si>
  <si>
    <t>blue handmade mug</t>
  </si>
  <si>
    <t>chat noir mug</t>
  </si>
  <si>
    <t>Made in Japan blue/white bowl</t>
  </si>
  <si>
    <t>3 herb striper</t>
  </si>
  <si>
    <t>barbara bowl</t>
  </si>
  <si>
    <t>blue sake bottle / 2 glasses</t>
  </si>
  <si>
    <t>universal</t>
  </si>
  <si>
    <t>Harry P cards</t>
  </si>
  <si>
    <t>Ravenclaw mug</t>
  </si>
  <si>
    <t>beige linen tablerunner</t>
  </si>
  <si>
    <t>beige linen tablerunner #2</t>
  </si>
  <si>
    <t>small trinket box with squares</t>
  </si>
  <si>
    <t>small blue handmade vase</t>
  </si>
  <si>
    <t>handmade blue candle holder</t>
  </si>
  <si>
    <t>macaron dish towel</t>
  </si>
  <si>
    <t>blue sake bottle</t>
  </si>
  <si>
    <t>white bear piggy bank</t>
  </si>
  <si>
    <t>small terracotta table runner</t>
  </si>
  <si>
    <t>2 brass candle holders</t>
  </si>
  <si>
    <t>drawing book</t>
  </si>
  <si>
    <t>kids drawing organizer</t>
  </si>
  <si>
    <t xml:space="preserve">large bag of pearls </t>
  </si>
  <si>
    <t>brass vase with red and black designs</t>
  </si>
  <si>
    <t>8" tall / 2.5" diameter</t>
  </si>
  <si>
    <t>https://www.etsy.com/listing/1496611121/indian-made-brass-mini-vases</t>
  </si>
  <si>
    <t xml:space="preserve">solid brass etched vase, made in India, geometric and floral design, red and black hand painted finish. </t>
  </si>
  <si>
    <t>pink vase, made in portugal</t>
  </si>
  <si>
    <t>Assiette a crepes</t>
  </si>
  <si>
    <t>white bread basket</t>
  </si>
  <si>
    <t>green glass candle holder</t>
  </si>
  <si>
    <t>made in wales / soap tray</t>
  </si>
  <si>
    <t>silk purse</t>
  </si>
  <si>
    <t>yellow ratan tray</t>
  </si>
  <si>
    <t>large ratan basket</t>
  </si>
  <si>
    <t>macrame set 1</t>
  </si>
  <si>
    <t>macrame set 2</t>
  </si>
  <si>
    <t>grey tablecloth</t>
  </si>
  <si>
    <t>cotton pink/white/yellow throw</t>
  </si>
  <si>
    <t>set / marriage de Céline</t>
  </si>
  <si>
    <t>2 pairs of earrings / Théa</t>
  </si>
  <si>
    <t>1 pair of earrings / Magali</t>
  </si>
  <si>
    <t>2 japanese rectangular dishes</t>
  </si>
  <si>
    <t>round basket</t>
  </si>
  <si>
    <t>embroidered chemin de table</t>
  </si>
  <si>
    <t>Outdoor lantern</t>
  </si>
  <si>
    <t>hanging wool tapestry</t>
  </si>
  <si>
    <t>https://www.etsy.com/listing/1791235549/woven-wall-hanging-tapestry-black-and</t>
  </si>
  <si>
    <t>https://www.ebay.com/itm/387757388439</t>
  </si>
  <si>
    <t>small grey dish</t>
  </si>
  <si>
    <t>large pasta dish / italy</t>
  </si>
  <si>
    <t>dog tray 1</t>
  </si>
  <si>
    <t>throw 1</t>
  </si>
  <si>
    <t>tan/cream large bowl</t>
  </si>
  <si>
    <t>small dip bowl</t>
  </si>
  <si>
    <t>2 heart dishes</t>
  </si>
  <si>
    <t>heart mug</t>
  </si>
  <si>
    <t>Willow Tree</t>
  </si>
  <si>
    <t>Heart and Soul figurine</t>
  </si>
  <si>
    <t>3 wooden candlesticks</t>
  </si>
  <si>
    <t>yosemite</t>
  </si>
  <si>
    <t>yosemite mug</t>
  </si>
  <si>
    <t>zafferrano</t>
  </si>
  <si>
    <t>blue/green glass bowl</t>
  </si>
  <si>
    <t>https://zafferanoamerica.com/collections/tirache/products/tirache-tumbler?variant=15672016240703</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</si>
</sst>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d"/>
    <numFmt numFmtId="166" formatCode="mm/dd/yy"/>
    <numFmt numFmtId="167" formatCode="mm/dd"/>
    <numFmt numFmtId="168" formatCode="mm/dd/yyyy"/>
  </numFmts>
  <fonts count="27">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sz val="11.0"/>
      <color rgb="FF1F1F1F"/>
      <name val="&quot;Google Sans&quot;"/>
    </font>
    <font>
      <u/>
      <color rgb="FF0000FF"/>
    </font>
    <font>
      <u/>
      <color rgb="FF0000FF"/>
    </font>
    <font>
      <u/>
      <color rgb="FF0000FF"/>
    </font>
    <font>
      <color theme="1"/>
      <name val="Arial"/>
    </font>
    <font>
      <u/>
      <color rgb="FF0000FF"/>
    </font>
    <font>
      <u/>
      <color rgb="FF0000FF"/>
    </font>
    <font>
      <u/>
      <color rgb="FF0000FF"/>
    </font>
    <font>
      <u/>
      <color rgb="FF0000FF"/>
    </font>
    <font>
      <u/>
      <color rgb="FF0000FF"/>
    </font>
    <font>
      <u/>
      <color rgb="FF0000FF"/>
    </font>
    <font>
      <u/>
      <color rgb="FF0000FF"/>
    </font>
    <font>
      <b/>
      <color rgb="FF000000"/>
      <name val="Arial"/>
      <scheme val="minor"/>
    </font>
    <font>
      <u/>
      <color rgb="FF0000FF"/>
    </font>
    <font>
      <sz val="10.0"/>
      <color rgb="FF222222"/>
      <name val="Arial"/>
    </font>
    <font>
      <u/>
      <color rgb="FF0000FF"/>
    </font>
    <font>
      <u/>
      <color rgb="FF0000FF"/>
    </font>
    <font>
      <u/>
      <color rgb="FF0000FF"/>
    </font>
    <font>
      <u/>
      <color rgb="FF0000FF"/>
    </font>
    <font>
      <u/>
      <color rgb="FF0000FF"/>
    </font>
  </fonts>
  <fills count="15">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C27BA0"/>
        <bgColor rgb="FFC27BA0"/>
      </patternFill>
    </fill>
    <fill>
      <patternFill patternType="solid">
        <fgColor rgb="FFD9D2E9"/>
        <bgColor rgb="FFD9D2E9"/>
      </patternFill>
    </fill>
    <fill>
      <patternFill patternType="solid">
        <fgColor rgb="FFF9CB9C"/>
        <bgColor rgb="FFF9CB9C"/>
      </patternFill>
    </fill>
    <fill>
      <patternFill patternType="solid">
        <fgColor rgb="FFD9EAD3"/>
        <bgColor rgb="FFD9EAD3"/>
      </patternFill>
    </fill>
    <fill>
      <patternFill patternType="solid">
        <fgColor rgb="FF00FF00"/>
        <bgColor rgb="FF00FF00"/>
      </patternFill>
    </fill>
    <fill>
      <patternFill patternType="solid">
        <fgColor rgb="FFFF00FF"/>
        <bgColor rgb="FFFF00FF"/>
      </patternFill>
    </fill>
    <fill>
      <patternFill patternType="solid">
        <fgColor rgb="FFFF9900"/>
        <bgColor rgb="FFFF9900"/>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B4A7D6"/>
        <bgColor rgb="FFB4A7D6"/>
      </patternFill>
    </fill>
  </fills>
  <borders count="1">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1" numFmtId="0" xfId="0" applyAlignment="1" applyFont="1">
      <alignment shrinkToFit="0" wrapText="1"/>
    </xf>
    <xf borderId="0" fillId="0" fontId="1" numFmtId="0" xfId="0" applyFont="1"/>
    <xf borderId="0" fillId="0" fontId="2" numFmtId="0" xfId="0" applyAlignment="1" applyFont="1">
      <alignment shrinkToFit="0" wrapText="1"/>
    </xf>
    <xf borderId="0" fillId="2" fontId="2" numFmtId="0" xfId="0" applyAlignment="1" applyFill="1" applyFont="1">
      <alignment readingOrder="0"/>
    </xf>
    <xf borderId="0" fillId="2" fontId="2" numFmtId="0" xfId="0" applyFont="1"/>
    <xf borderId="0" fillId="2" fontId="2" numFmtId="0" xfId="0" applyAlignment="1" applyFont="1">
      <alignment shrinkToFit="0" wrapText="1"/>
    </xf>
    <xf borderId="0" fillId="3" fontId="2" numFmtId="0" xfId="0" applyAlignment="1" applyFill="1" applyFont="1">
      <alignment readingOrder="0"/>
    </xf>
    <xf borderId="0" fillId="3" fontId="2" numFmtId="0" xfId="0" applyFont="1"/>
    <xf borderId="0" fillId="3" fontId="2" numFmtId="0" xfId="0" applyAlignment="1" applyFont="1">
      <alignment shrinkToFit="0" wrapText="1"/>
    </xf>
    <xf borderId="0" fillId="2" fontId="2" numFmtId="164" xfId="0" applyAlignment="1" applyFont="1" applyNumberFormat="1">
      <alignment readingOrder="0"/>
    </xf>
    <xf borderId="0" fillId="4" fontId="2" numFmtId="0" xfId="0" applyAlignment="1" applyFill="1" applyFont="1">
      <alignment readingOrder="0"/>
    </xf>
    <xf borderId="0" fillId="4" fontId="2" numFmtId="0" xfId="0" applyFont="1"/>
    <xf borderId="0" fillId="4" fontId="2" numFmtId="0" xfId="0" applyAlignment="1" applyFont="1">
      <alignment shrinkToFit="0" wrapText="1"/>
    </xf>
    <xf borderId="0" fillId="2" fontId="2" numFmtId="0" xfId="0" applyAlignment="1" applyFont="1">
      <alignment readingOrder="0" shrinkToFit="0" wrapText="1"/>
    </xf>
    <xf borderId="0" fillId="2" fontId="3" numFmtId="0" xfId="0" applyAlignment="1" applyFont="1">
      <alignment readingOrder="0" shrinkToFit="0" wrapText="1"/>
    </xf>
    <xf borderId="0" fillId="5" fontId="2" numFmtId="0" xfId="0" applyAlignment="1" applyFill="1" applyFont="1">
      <alignment readingOrder="0"/>
    </xf>
    <xf borderId="0" fillId="5" fontId="2" numFmtId="0" xfId="0" applyFont="1"/>
    <xf borderId="0" fillId="5" fontId="2" numFmtId="0" xfId="0" applyAlignment="1" applyFont="1">
      <alignment shrinkToFit="0" wrapText="1"/>
    </xf>
    <xf borderId="0" fillId="2" fontId="4" numFmtId="0" xfId="0" applyAlignment="1" applyFont="1">
      <alignment readingOrder="0"/>
    </xf>
    <xf borderId="0" fillId="6" fontId="2" numFmtId="0" xfId="0" applyAlignment="1" applyFill="1" applyFont="1">
      <alignment readingOrder="0"/>
    </xf>
    <xf borderId="0" fillId="6" fontId="2" numFmtId="0" xfId="0" applyFont="1"/>
    <xf borderId="0" fillId="6" fontId="2" numFmtId="0" xfId="0" applyAlignment="1" applyFont="1">
      <alignment shrinkToFit="0" wrapText="1"/>
    </xf>
    <xf borderId="0" fillId="4" fontId="5" numFmtId="0" xfId="0" applyAlignment="1" applyFont="1">
      <alignment readingOrder="0"/>
    </xf>
    <xf borderId="0" fillId="2" fontId="2" numFmtId="165" xfId="0" applyAlignment="1" applyFont="1" applyNumberFormat="1">
      <alignment readingOrder="0"/>
    </xf>
    <xf borderId="0" fillId="2" fontId="2" numFmtId="0" xfId="0" applyAlignment="1" applyFont="1">
      <alignment readingOrder="0"/>
    </xf>
    <xf borderId="0" fillId="2" fontId="2" numFmtId="166" xfId="0" applyAlignment="1" applyFont="1" applyNumberFormat="1">
      <alignment readingOrder="0"/>
    </xf>
    <xf borderId="0" fillId="6" fontId="2" numFmtId="0" xfId="0" applyAlignment="1" applyFont="1">
      <alignment readingOrder="0"/>
    </xf>
    <xf borderId="0" fillId="7" fontId="2" numFmtId="0" xfId="0" applyAlignment="1" applyFill="1" applyFont="1">
      <alignment readingOrder="0"/>
    </xf>
    <xf borderId="0" fillId="7" fontId="1" numFmtId="0" xfId="0" applyAlignment="1" applyFont="1">
      <alignment readingOrder="0"/>
    </xf>
    <xf borderId="0" fillId="7" fontId="1" numFmtId="0" xfId="0" applyFont="1"/>
    <xf borderId="0" fillId="7" fontId="2" numFmtId="0" xfId="0" applyFont="1"/>
    <xf borderId="0" fillId="7" fontId="2" numFmtId="0" xfId="0" applyAlignment="1" applyFont="1">
      <alignment shrinkToFit="0" wrapText="1"/>
    </xf>
    <xf borderId="0" fillId="7" fontId="2" numFmtId="167" xfId="0" applyAlignment="1" applyFont="1" applyNumberFormat="1">
      <alignment readingOrder="0"/>
    </xf>
    <xf borderId="0" fillId="7" fontId="2" numFmtId="166" xfId="0" applyAlignment="1" applyFont="1" applyNumberFormat="1">
      <alignment readingOrder="0"/>
    </xf>
    <xf borderId="0" fillId="8" fontId="2" numFmtId="0" xfId="0" applyAlignment="1" applyFill="1" applyFont="1">
      <alignment readingOrder="0"/>
    </xf>
    <xf borderId="0" fillId="8" fontId="2" numFmtId="0" xfId="0" applyFont="1"/>
    <xf borderId="0" fillId="8" fontId="2" numFmtId="167" xfId="0" applyAlignment="1" applyFont="1" applyNumberFormat="1">
      <alignment readingOrder="0"/>
    </xf>
    <xf borderId="0" fillId="8" fontId="2" numFmtId="0" xfId="0" applyAlignment="1" applyFont="1">
      <alignment shrinkToFit="0" wrapText="1"/>
    </xf>
    <xf borderId="0" fillId="9" fontId="2" numFmtId="0" xfId="0" applyAlignment="1" applyFill="1" applyFont="1">
      <alignment readingOrder="0"/>
    </xf>
    <xf borderId="0" fillId="9" fontId="2" numFmtId="0" xfId="0" applyFont="1"/>
    <xf borderId="0" fillId="9" fontId="2" numFmtId="0" xfId="0" applyAlignment="1" applyFont="1">
      <alignment shrinkToFit="0" wrapText="1"/>
    </xf>
    <xf borderId="0" fillId="10" fontId="2" numFmtId="0" xfId="0" applyAlignment="1" applyFill="1" applyFont="1">
      <alignment readingOrder="0"/>
    </xf>
    <xf borderId="0" fillId="10" fontId="2" numFmtId="0" xfId="0" applyFont="1"/>
    <xf borderId="0" fillId="10" fontId="2" numFmtId="167" xfId="0" applyAlignment="1" applyFont="1" applyNumberFormat="1">
      <alignment readingOrder="0"/>
    </xf>
    <xf borderId="0" fillId="10" fontId="2" numFmtId="0" xfId="0" applyAlignment="1" applyFont="1">
      <alignment shrinkToFit="0" wrapText="1"/>
    </xf>
    <xf borderId="0" fillId="3" fontId="2" numFmtId="165" xfId="0" applyAlignment="1" applyFont="1" applyNumberFormat="1">
      <alignment readingOrder="0"/>
    </xf>
    <xf borderId="0" fillId="7" fontId="2" numFmtId="10" xfId="0" applyFont="1" applyNumberFormat="1"/>
    <xf borderId="0" fillId="11" fontId="2" numFmtId="0" xfId="0" applyAlignment="1" applyFill="1" applyFont="1">
      <alignment readingOrder="0"/>
    </xf>
    <xf borderId="0" fillId="11" fontId="2" numFmtId="0" xfId="0" applyFont="1"/>
    <xf borderId="0" fillId="11" fontId="2" numFmtId="0" xfId="0" applyAlignment="1" applyFont="1">
      <alignment shrinkToFit="0" wrapText="1"/>
    </xf>
    <xf borderId="0" fillId="7" fontId="2" numFmtId="165" xfId="0" applyAlignment="1" applyFont="1" applyNumberFormat="1">
      <alignment readingOrder="0"/>
    </xf>
    <xf borderId="0" fillId="7" fontId="2" numFmtId="164" xfId="0" applyAlignment="1" applyFont="1" applyNumberFormat="1">
      <alignment readingOrder="0"/>
    </xf>
    <xf borderId="0" fillId="3" fontId="2" numFmtId="167" xfId="0" applyAlignment="1" applyFont="1" applyNumberFormat="1">
      <alignment readingOrder="0"/>
    </xf>
    <xf borderId="0" fillId="12" fontId="2" numFmtId="0" xfId="0" applyAlignment="1" applyFill="1" applyFont="1">
      <alignment readingOrder="0"/>
    </xf>
    <xf borderId="0" fillId="12" fontId="2" numFmtId="0" xfId="0" applyFont="1"/>
    <xf borderId="0" fillId="12" fontId="2" numFmtId="0" xfId="0" applyAlignment="1" applyFont="1">
      <alignment shrinkToFit="0" wrapText="1"/>
    </xf>
    <xf borderId="0" fillId="7" fontId="6" numFmtId="0" xfId="0" applyAlignment="1" applyFont="1">
      <alignment readingOrder="0"/>
    </xf>
    <xf borderId="0" fillId="7" fontId="2" numFmtId="0" xfId="0" applyAlignment="1" applyFont="1">
      <alignment readingOrder="0" shrinkToFit="0" wrapText="1"/>
    </xf>
    <xf borderId="0" fillId="7" fontId="7" numFmtId="0" xfId="0" applyAlignment="1" applyFont="1">
      <alignment readingOrder="0"/>
    </xf>
    <xf borderId="0" fillId="3" fontId="2" numFmtId="166" xfId="0" applyAlignment="1" applyFont="1" applyNumberFormat="1">
      <alignment readingOrder="0"/>
    </xf>
    <xf borderId="0" fillId="10" fontId="2" numFmtId="0" xfId="0" applyAlignment="1" applyFont="1">
      <alignment readingOrder="0" shrinkToFit="0" wrapText="1"/>
    </xf>
    <xf borderId="0" fillId="3" fontId="8" numFmtId="0" xfId="0" applyAlignment="1" applyFont="1">
      <alignment readingOrder="0"/>
    </xf>
    <xf borderId="0" fillId="3" fontId="9" numFmtId="0" xfId="0" applyAlignment="1" applyFont="1">
      <alignment readingOrder="0"/>
    </xf>
    <xf borderId="0" fillId="9" fontId="2" numFmtId="0" xfId="0" applyAlignment="1" applyFont="1">
      <alignment readingOrder="0" shrinkToFit="0" wrapText="1"/>
    </xf>
    <xf borderId="0" fillId="3" fontId="2" numFmtId="168" xfId="0" applyAlignment="1" applyFont="1" applyNumberFormat="1">
      <alignment readingOrder="0"/>
    </xf>
    <xf borderId="0" fillId="7" fontId="10" numFmtId="0" xfId="0" applyAlignment="1" applyFont="1">
      <alignment readingOrder="0"/>
    </xf>
    <xf borderId="0" fillId="7" fontId="11" numFmtId="0" xfId="0" applyAlignment="1" applyFont="1">
      <alignment vertical="bottom"/>
    </xf>
    <xf borderId="0" fillId="7" fontId="11" numFmtId="0" xfId="0" applyAlignment="1" applyFont="1">
      <alignment horizontal="right" vertical="bottom"/>
    </xf>
    <xf borderId="0" fillId="7" fontId="11" numFmtId="0" xfId="0" applyAlignment="1" applyFont="1">
      <alignment readingOrder="0" vertical="bottom"/>
    </xf>
    <xf borderId="0" fillId="7" fontId="11" numFmtId="0" xfId="0" applyAlignment="1" applyFont="1">
      <alignment vertical="bottom"/>
    </xf>
    <xf borderId="0" fillId="7" fontId="2" numFmtId="0" xfId="0" applyAlignment="1" applyFont="1">
      <alignment readingOrder="0"/>
    </xf>
    <xf borderId="0" fillId="9" fontId="12" numFmtId="0" xfId="0" applyAlignment="1" applyFont="1">
      <alignment readingOrder="0"/>
    </xf>
    <xf borderId="0" fillId="8" fontId="13" numFmtId="0" xfId="0" applyAlignment="1" applyFont="1">
      <alignment readingOrder="0"/>
    </xf>
    <xf borderId="0" fillId="9" fontId="2" numFmtId="0" xfId="0" applyAlignment="1" applyFont="1">
      <alignment readingOrder="0"/>
    </xf>
    <xf borderId="0" fillId="3" fontId="2" numFmtId="0" xfId="0" applyAlignment="1" applyFont="1">
      <alignment readingOrder="0"/>
    </xf>
    <xf borderId="0" fillId="9" fontId="14" numFmtId="0" xfId="0" applyAlignment="1" applyFont="1">
      <alignment readingOrder="0"/>
    </xf>
    <xf borderId="0" fillId="8" fontId="15" numFmtId="0" xfId="0" applyAlignment="1" applyFont="1">
      <alignment readingOrder="0"/>
    </xf>
    <xf borderId="0" fillId="10" fontId="2" numFmtId="166" xfId="0" applyAlignment="1" applyFont="1" applyNumberFormat="1">
      <alignment readingOrder="0"/>
    </xf>
    <xf borderId="0" fillId="8" fontId="2" numFmtId="166" xfId="0" applyAlignment="1" applyFont="1" applyNumberFormat="1">
      <alignment readingOrder="0"/>
    </xf>
    <xf borderId="0" fillId="13" fontId="7" numFmtId="0" xfId="0" applyAlignment="1" applyFill="1" applyFont="1">
      <alignment readingOrder="0"/>
    </xf>
    <xf borderId="0" fillId="12" fontId="1" numFmtId="0" xfId="0" applyFont="1"/>
    <xf borderId="0" fillId="0" fontId="2" numFmtId="10" xfId="0" applyFont="1" applyNumberFormat="1"/>
    <xf borderId="0" fillId="0" fontId="2" numFmtId="0" xfId="0" applyAlignment="1" applyFont="1">
      <alignment readingOrder="0" shrinkToFit="0" wrapText="1"/>
    </xf>
    <xf borderId="0" fillId="0" fontId="2" numFmtId="164" xfId="0" applyAlignment="1" applyFont="1" applyNumberFormat="1">
      <alignment readingOrder="0"/>
    </xf>
    <xf borderId="0" fillId="14" fontId="2" numFmtId="0" xfId="0" applyAlignment="1" applyFill="1" applyFont="1">
      <alignment readingOrder="0"/>
    </xf>
    <xf borderId="0" fillId="14" fontId="2" numFmtId="0" xfId="0" applyFont="1"/>
    <xf borderId="0" fillId="14" fontId="2" numFmtId="165" xfId="0" applyAlignment="1" applyFont="1" applyNumberFormat="1">
      <alignment readingOrder="0"/>
    </xf>
    <xf borderId="0" fillId="14" fontId="2" numFmtId="0" xfId="0" applyAlignment="1" applyFont="1">
      <alignment shrinkToFit="0" wrapText="1"/>
    </xf>
    <xf borderId="0" fillId="5" fontId="1" numFmtId="0" xfId="0" applyAlignment="1" applyFont="1">
      <alignment readingOrder="0"/>
    </xf>
    <xf borderId="0" fillId="2" fontId="1" numFmtId="0" xfId="0" applyAlignment="1" applyFont="1">
      <alignment readingOrder="0"/>
    </xf>
    <xf borderId="0" fillId="2" fontId="2" numFmtId="0" xfId="0" applyAlignment="1" applyFont="1">
      <alignment readingOrder="0" shrinkToFit="0" wrapText="1"/>
    </xf>
    <xf borderId="0" fillId="2" fontId="16" numFmtId="0" xfId="0" applyAlignment="1" applyFont="1">
      <alignment readingOrder="0" shrinkToFit="0" wrapText="1"/>
    </xf>
    <xf borderId="0" fillId="3" fontId="2" numFmtId="0" xfId="0" applyAlignment="1" applyFont="1">
      <alignment readingOrder="0" shrinkToFit="0" wrapText="1"/>
    </xf>
    <xf borderId="0" fillId="3" fontId="17" numFmtId="0" xfId="0" applyAlignment="1" applyFont="1">
      <alignment readingOrder="0" shrinkToFit="0" wrapText="1"/>
    </xf>
    <xf borderId="0" fillId="2" fontId="18" numFmtId="0" xfId="0" applyAlignment="1" applyFont="1">
      <alignment readingOrder="0"/>
    </xf>
    <xf borderId="0" fillId="2" fontId="19" numFmtId="0" xfId="0" applyAlignment="1" applyFont="1">
      <alignment readingOrder="0"/>
    </xf>
    <xf borderId="0" fillId="3" fontId="2" numFmtId="0" xfId="0" applyAlignment="1" applyFont="1">
      <alignment readingOrder="0" shrinkToFit="0" wrapText="1"/>
    </xf>
    <xf borderId="0" fillId="4" fontId="1" numFmtId="0" xfId="0" applyAlignment="1" applyFont="1">
      <alignment readingOrder="0"/>
    </xf>
    <xf borderId="0" fillId="4" fontId="20" numFmtId="0" xfId="0" applyAlignment="1" applyFont="1">
      <alignment readingOrder="0"/>
    </xf>
    <xf borderId="0" fillId="2" fontId="21" numFmtId="0" xfId="0" applyAlignment="1" applyFont="1">
      <alignment readingOrder="0"/>
    </xf>
    <xf borderId="0" fillId="6" fontId="22" numFmtId="0" xfId="0" applyAlignment="1" applyFont="1">
      <alignment readingOrder="0"/>
    </xf>
    <xf borderId="0" fillId="6" fontId="2" numFmtId="0" xfId="0" applyAlignment="1" applyFont="1">
      <alignment readingOrder="0" shrinkToFit="0" wrapText="1"/>
    </xf>
    <xf borderId="0" fillId="8" fontId="1" numFmtId="0" xfId="0" applyAlignment="1" applyFont="1">
      <alignment readingOrder="0"/>
    </xf>
    <xf borderId="0" fillId="7" fontId="23" numFmtId="0" xfId="0" applyAlignment="1" applyFont="1">
      <alignment readingOrder="0" shrinkToFit="0" wrapText="1"/>
    </xf>
    <xf borderId="0" fillId="3" fontId="1" numFmtId="0" xfId="0" applyAlignment="1" applyFont="1">
      <alignment readingOrder="0"/>
    </xf>
    <xf borderId="0" fillId="8" fontId="2" numFmtId="0" xfId="0" applyAlignment="1" applyFont="1">
      <alignment readingOrder="0"/>
    </xf>
    <xf borderId="0" fillId="12" fontId="1" numFmtId="0" xfId="0" applyAlignment="1" applyFont="1">
      <alignment readingOrder="0"/>
    </xf>
    <xf borderId="0" fillId="12" fontId="19" numFmtId="0" xfId="0" applyAlignment="1" applyFont="1">
      <alignment readingOrder="0"/>
    </xf>
    <xf borderId="0" fillId="11" fontId="1" numFmtId="0" xfId="0" applyAlignment="1" applyFont="1">
      <alignment readingOrder="0"/>
    </xf>
    <xf borderId="0" fillId="7" fontId="24" numFmtId="0" xfId="0" applyAlignment="1" applyFont="1">
      <alignment readingOrder="0" shrinkToFit="0" wrapText="1"/>
    </xf>
    <xf borderId="0" fillId="11" fontId="25" numFmtId="0" xfId="0" applyAlignment="1" applyFont="1">
      <alignment readingOrder="0"/>
    </xf>
    <xf borderId="0" fillId="7" fontId="19" numFmtId="0" xfId="0" applyAlignment="1" applyFont="1">
      <alignment readingOrder="0"/>
    </xf>
    <xf borderId="0" fillId="12" fontId="26" numFmtId="0" xfId="0" applyAlignment="1" applyFont="1">
      <alignment readingOrder="0"/>
    </xf>
    <xf borderId="0" fillId="7" fontId="11" numFmtId="166" xfId="0" applyAlignment="1" applyFont="1" applyNumberFormat="1">
      <alignment vertical="bottom"/>
    </xf>
    <xf borderId="0" fillId="8"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utloose.com/our-story/" TargetMode="External"/><Relationship Id="rId2" Type="http://schemas.openxmlformats.org/officeDocument/2006/relationships/hyperlink" Target="https://usa.frenchconnection.com/collections/womens-sweaters-cardigans" TargetMode="External"/><Relationship Id="rId3" Type="http://schemas.openxmlformats.org/officeDocument/2006/relationships/hyperlink" Target="https://lagence.com/products/margot-high-rise-skinny-jeans-blanc" TargetMode="External"/><Relationship Id="rId4" Type="http://schemas.openxmlformats.org/officeDocument/2006/relationships/hyperlink" Target="https://www.madewell.com/p/womens/sale/plus-basketweave-stitch-sweater/NI620/?ccode=BL5569&amp;size=4X" TargetMode="External"/><Relationship Id="rId5" Type="http://schemas.openxmlformats.org/officeDocument/2006/relationships/hyperlink" Target="https://poshmark.com/listing/Madewell-lace-up-bell-sleeve-gingham-top-63a3824a382db82cdc0a4ae9" TargetMode="External"/><Relationship Id="rId6" Type="http://schemas.openxmlformats.org/officeDocument/2006/relationships/hyperlink" Target="https://paige.com/products/women-high-rise-manhattan-boot-32in-duchess?queryID=9f2f3d6d7c585df917f7afb88861e344&amp;position=12" TargetMode="External"/><Relationship Id="rId7" Type="http://schemas.openxmlformats.org/officeDocument/2006/relationships/hyperlink" Target="https://wenorwegians.us/products/freebird-turleneck-women?variant=46837046116593"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jjill.com/product/waffle-textured-v-neck-pullover-304651s-1?color=8GI" TargetMode="External"/><Relationship Id="rId10" Type="http://schemas.openxmlformats.org/officeDocument/2006/relationships/hyperlink" Target="https://wearpact.com/women/apparel/all%20tops/clearance%20airplane%20wrap/wb1-wac-chh" TargetMode="External"/><Relationship Id="rId13" Type="http://schemas.openxmlformats.org/officeDocument/2006/relationships/hyperlink" Target="https://www.thesak.com/collections/sak-totes" TargetMode="External"/><Relationship Id="rId12" Type="http://schemas.openxmlformats.org/officeDocument/2006/relationships/hyperlink" Target="https://www.steviehowell.com/collections/scarves-1" TargetMode="External"/><Relationship Id="rId1" Type="http://schemas.openxmlformats.org/officeDocument/2006/relationships/hyperlink" Target="https://www.brooksbrothers.com/riding-jacket-in-black-watch-boucle-wool/WJ00494.html?pid=WJ00494&amp;dwvar_WJ00494_Color=NVYL" TargetMode="External"/><Relationship Id="rId2" Type="http://schemas.openxmlformats.org/officeDocument/2006/relationships/hyperlink" Target="https://shop.brooksltd.net/jackets-vests/" TargetMode="External"/><Relationship Id="rId3" Type="http://schemas.openxmlformats.org/officeDocument/2006/relationships/hyperlink" Target="https://dayandmood.com/pages/who-are-we" TargetMode="External"/><Relationship Id="rId4" Type="http://schemas.openxmlformats.org/officeDocument/2006/relationships/hyperlink" Target="https://noihsafbazaar.com/item/qjv46q-coral-pink-hemp-open-front-cardigan" TargetMode="External"/><Relationship Id="rId9" Type="http://schemas.openxmlformats.org/officeDocument/2006/relationships/hyperlink" Target="https://www.orvis.com/product/crofter-striped-cardigan/3KAN.html" TargetMode="External"/><Relationship Id="rId15" Type="http://schemas.openxmlformats.org/officeDocument/2006/relationships/hyperlink" Target="https://www.yarnz.com/collections/cashmere-printed-scarves/products/copy-of-yarnz-100-cashmere-oversize-scarf-optic-zebra-blue-1" TargetMode="External"/><Relationship Id="rId14" Type="http://schemas.openxmlformats.org/officeDocument/2006/relationships/hyperlink" Target="https://giftsfordifficultmothers.com/products/rainbow-stripe-plaid-cashmere-winter-scarf-shawl?variant=20030770675825" TargetMode="External"/><Relationship Id="rId16" Type="http://schemas.openxmlformats.org/officeDocument/2006/relationships/drawing" Target="../drawings/drawing3.xml"/><Relationship Id="rId5" Type="http://schemas.openxmlformats.org/officeDocument/2006/relationships/hyperlink" Target="https://www.everlane.com/products/womens-cotton-waffle-crew-ls-tee-black?collection=womens-tees" TargetMode="External"/><Relationship Id="rId6" Type="http://schemas.openxmlformats.org/officeDocument/2006/relationships/hyperlink" Target="https://www.madewell.com/p/womens/featured-shops/the-insiders-event/shirts/embroidered-eyelet-ruffled-popover-top/AF618/" TargetMode="External"/><Relationship Id="rId7" Type="http://schemas.openxmlformats.org/officeDocument/2006/relationships/hyperlink" Target="https://www.madewell.com/p/womens/more-sizes/tall/pants/tall-side-button-huston-pull-on-crop-pants-in-rainbow-stripe/K9967/?srsltid=AfmBOorWptvGY-xkJ4qnfIQXtLJ4zkvUqPvltZ6nDCr9XEDYU5kQR_bQ" TargetMode="External"/><Relationship Id="rId8" Type="http://schemas.openxmlformats.org/officeDocument/2006/relationships/hyperlink" Target="https://poshmark.com/listing/Marine-Layer-Christiana-Knit-Long-Sleeve-Shirred-Cotton-Top-Holly-Berry-XS-NWT-675875479ceaf7cf01fbc48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replacements.com/china-noritake-viceroy/c/69655?srsltid=AfmBOorAfvgPI4rhjCG5Sb_k6k7B9WqI5OHtS_5d4Tx4jtC0ksxef44F" TargetMode="External"/><Relationship Id="rId22" Type="http://schemas.openxmlformats.org/officeDocument/2006/relationships/hyperlink" Target="https://www.etsy.com/listing/1805907561/royal-crownford-a-happy-holiday-to-you" TargetMode="External"/><Relationship Id="rId21" Type="http://schemas.openxmlformats.org/officeDocument/2006/relationships/hyperlink" Target="https://www.replacements.com/china-pyrex-originals-clear-10-pie-baking-plate/p/118343191?utm_source=google_shopping&amp;utm_medium=organic&amp;utm_campaign=shopping_feed&amp;gad_source=1&amp;gclid=CjwKCAiAnKi8BhB0EiwA58DA4YhkmkEmmzxt2oVn3WVIrusShy_BJR8RrhneGkcgZKn1auoUoHQcPxoCMSkQAvD_BwE" TargetMode="External"/><Relationship Id="rId24" Type="http://schemas.openxmlformats.org/officeDocument/2006/relationships/hyperlink" Target="https://www.daltondatabank.org/Chronicles/Royal_Doulton.htm" TargetMode="External"/><Relationship Id="rId23" Type="http://schemas.openxmlformats.org/officeDocument/2006/relationships/hyperlink" Target="https://www.ebay.com/itm/334574052909" TargetMode="External"/><Relationship Id="rId1" Type="http://schemas.openxmlformats.org/officeDocument/2006/relationships/hyperlink" Target="https://www.ebay.com/itm/285534465724" TargetMode="External"/><Relationship Id="rId2" Type="http://schemas.openxmlformats.org/officeDocument/2006/relationships/hyperlink" Target="https://www.ceramichetadinate.it/" TargetMode="External"/><Relationship Id="rId3" Type="http://schemas.openxmlformats.org/officeDocument/2006/relationships/hyperlink" Target="https://www.replacements.com/china-churchill-fresco-blue-coupe-soup-bowl/p/59337491" TargetMode="External"/><Relationship Id="rId4" Type="http://schemas.openxmlformats.org/officeDocument/2006/relationships/hyperlink" Target="https://www.replacements.com/china-corning-butterfly-gold-corelle/c/16777" TargetMode="External"/><Relationship Id="rId9" Type="http://schemas.openxmlformats.org/officeDocument/2006/relationships/hyperlink" Target="https://www.replacements.com/china-corning-wildflower-corelle-2-quart-square-casserole-no-lid/p/22831971" TargetMode="External"/><Relationship Id="rId26" Type="http://schemas.openxmlformats.org/officeDocument/2006/relationships/hyperlink" Target="https://www.1stdibs.com/furniture/dining-entertaining/centerpieces/murano-glass-archimede-seguso-style-organic-shell-form-center-bowl/id-f_5831983/" TargetMode="External"/><Relationship Id="rId25" Type="http://schemas.openxmlformats.org/officeDocument/2006/relationships/hyperlink" Target="https://www.etsy.com/listing/1676344517/vintage-silver-plated-decorative-butter?show_sold_out_detail=1&amp;ref=nla_listing_details" TargetMode="External"/><Relationship Id="rId28" Type="http://schemas.openxmlformats.org/officeDocument/2006/relationships/drawing" Target="../drawings/drawing6.xml"/><Relationship Id="rId27" Type="http://schemas.openxmlformats.org/officeDocument/2006/relationships/hyperlink" Target="https://www.replacements.com/crystal-mikasa-tulips-satin-12-hostess-bowl/p/65052061" TargetMode="External"/><Relationship Id="rId5" Type="http://schemas.openxmlformats.org/officeDocument/2006/relationships/hyperlink" Target="https://www.replacements.com/china-corning-butterfly-gold-corelle/c/16777" TargetMode="External"/><Relationship Id="rId6" Type="http://schemas.openxmlformats.org/officeDocument/2006/relationships/hyperlink" Target="https://www.ebay.com/itm/164033092126" TargetMode="External"/><Relationship Id="rId7" Type="http://schemas.openxmlformats.org/officeDocument/2006/relationships/hyperlink" Target="https://www.replacements.com/china-corning-spice-of-life-centura-3-quart-square-casserole-no-lid/p/20528411" TargetMode="External"/><Relationship Id="rId8" Type="http://schemas.openxmlformats.org/officeDocument/2006/relationships/hyperlink" Target="https://www.replacements.com/china-corning-spice-of-life-centura-1-5-quart-square-casserole-no-lid/p/60528431" TargetMode="External"/><Relationship Id="rId11" Type="http://schemas.openxmlformats.org/officeDocument/2006/relationships/hyperlink" Target="https://www.etsy.com/listing/1633681372/heavy-bohemian-czech-crystal-and-frosted?gpla=1&amp;gao=1&amp;" TargetMode="External"/><Relationship Id="rId10" Type="http://schemas.openxmlformats.org/officeDocument/2006/relationships/hyperlink" Target="https://www.replacements.com/china-corning-french-white-1-5-qt-round-covered-casserole/p/33858561" TargetMode="External"/><Relationship Id="rId13" Type="http://schemas.openxmlformats.org/officeDocument/2006/relationships/hyperlink" Target="https://www.ebay.com/itm/167620832815" TargetMode="External"/><Relationship Id="rId12" Type="http://schemas.openxmlformats.org/officeDocument/2006/relationships/hyperlink" Target="https://www.etsy.com/listing/1633108520/vintage-italian-silver-wine-caddy" TargetMode="External"/><Relationship Id="rId15" Type="http://schemas.openxmlformats.org/officeDocument/2006/relationships/hyperlink" Target="https://craftshero.com/lord-nelson-pottery/" TargetMode="External"/><Relationship Id="rId14" Type="http://schemas.openxmlformats.org/officeDocument/2006/relationships/hyperlink" Target="https://www.replacements.com/china-johnson-brothers-willow-blue-black-and-blue-backstamps-older/c/140474" TargetMode="External"/><Relationship Id="rId17" Type="http://schemas.openxmlformats.org/officeDocument/2006/relationships/hyperlink" Target="https://mushie.com/products/square-dinnerware-bowl-set-of-2?_pos=6&amp;_fid=74887450e&amp;_ss=c" TargetMode="External"/><Relationship Id="rId16" Type="http://schemas.openxmlformats.org/officeDocument/2006/relationships/hyperlink" Target="https://mushie.com/products/square-dinnerware-plates-set-of-2?_pos=5&amp;_fid=81f3369bf&amp;_ss=c" TargetMode="External"/><Relationship Id="rId19" Type="http://schemas.openxmlformats.org/officeDocument/2006/relationships/hyperlink" Target="https://www.replacements.com/china-noritake-viceroy/c/69655?srsltid=AfmBOorAfvgPI4rhjCG5Sb_k6k7B9WqI5OHtS_5d4Tx4jtC0ksxef44F" TargetMode="External"/><Relationship Id="rId18" Type="http://schemas.openxmlformats.org/officeDocument/2006/relationships/hyperlink" Target="https://www.replacements.com/china-noritake-viceroy/c/69655?srsltid=AfmBOorAfvgPI4rhjCG5Sb_k6k7B9WqI5OHtS_5d4Tx4jtC0ksxef44F"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etsy.com/listing/1791235549/woven-wall-hanging-tapestry-black-and" TargetMode="External"/><Relationship Id="rId22" Type="http://schemas.openxmlformats.org/officeDocument/2006/relationships/hyperlink" Target="https://zafferanoamerica.com/collections/tirache/products/tirache-tumbler?variant=15672016240703" TargetMode="External"/><Relationship Id="rId21" Type="http://schemas.openxmlformats.org/officeDocument/2006/relationships/hyperlink" Target="https://www.ebay.com/itm/387757388439?itmmeta=01JH4RHFM54ZYJ3YGF7RVP6ECE&amp;hash=item5a48243297:g:S9UAAOSw21JnQfSU&amp;itmprp=enc%3AAQAJAAAA4CodCO1vSDjg2xNOt8By6oA7AA0lI%2Fx3KxcWzX%2BKwtVKL1vX4%2BWIJYwVgDfo1TQ6IEo%2F1%2BK1fh59xOiJx55DY6gxK9gbns9DMeQh2soxr8bcNBzUYyGOxs54%2BvwPysjDRg5boHf4b2Q1hUnCLM%2FNzltOrGXRrWV%2FtRynwZq6flOuz7NI0MkM0aq0LMXJb%2FG1Saz1374BonwpA8wC2ZvsCLK1Hp2gmSyjlsIQMboLtXVfqee1yOX0HsTeI%2B5qoVG%2Bt6V1Qiye1vK9siX1W4TAKA4JB3gG4y5lmh1KE%2FwL0XJq%7Ctkp%3ABk9SR5j6xZiJZQ" TargetMode="External"/><Relationship Id="rId23" Type="http://schemas.openxmlformats.org/officeDocument/2006/relationships/drawing" Target="../drawings/drawing7.xml"/><Relationship Id="rId1" Type="http://schemas.openxmlformats.org/officeDocument/2006/relationships/hyperlink" Target="https://www.etsy.com/listing/1484516007/camembert-depot-paris-four-plate-serving?ga_order=most_relevant&amp;ga_search_type=all&amp;ga_view_type=gallery&amp;ga_search_query=bia+cordon+bleu+camembert&amp;ref=sr_gallery-1-13&amp;content_source=4caf86f05116436909f51f2249291922ec7bc4bb%253A1484516007&amp;search_preloaded_img=1&amp;organic_search_click=1" TargetMode="External"/><Relationship Id="rId2" Type="http://schemas.openxmlformats.org/officeDocument/2006/relationships/hyperlink" Target="https://www.bodum.com/us/en/1308-16-bodum-columbia" TargetMode="External"/><Relationship Id="rId3" Type="http://schemas.openxmlformats.org/officeDocument/2006/relationships/hyperlink" Target="https://www.etsy.com/listing/1182568373/corning-ware-french-white-f-14-b-4-liter?show_sold_out_detail=1&amp;ref=nla_listing_details" TargetMode="External"/><Relationship Id="rId4" Type="http://schemas.openxmlformats.org/officeDocument/2006/relationships/hyperlink" Target="https://www.moose-r-us.com/shop/vintage-corning-ware-buffet-server-4-quart-white-casserole-stew-usa-cooking-pot/" TargetMode="External"/><Relationship Id="rId9" Type="http://schemas.openxmlformats.org/officeDocument/2006/relationships/hyperlink" Target="https://www.etsy.com/listing/1689223138/vase-vintage-en-cystal-pae-crystal" TargetMode="External"/><Relationship Id="rId5" Type="http://schemas.openxmlformats.org/officeDocument/2006/relationships/hyperlink" Target="https://www.ebay.com/itm/386942557783" TargetMode="External"/><Relationship Id="rId6" Type="http://schemas.openxmlformats.org/officeDocument/2006/relationships/hyperlink" Target="https://www.ebay.com/itm/313911293815" TargetMode="External"/><Relationship Id="rId7" Type="http://schemas.openxmlformats.org/officeDocument/2006/relationships/hyperlink" Target="https://www.ebay.com/itm/195760494918" TargetMode="External"/><Relationship Id="rId8" Type="http://schemas.openxmlformats.org/officeDocument/2006/relationships/hyperlink" Target="https://poshmark.com/listing/Crate-and-Barrel-silver-white-ceramic-sake-bottle-vase-677e7e0f64f5a286526f0d21" TargetMode="External"/><Relationship Id="rId11" Type="http://schemas.openxmlformats.org/officeDocument/2006/relationships/hyperlink" Target="https://www.replacements.com/china-haviland-schleiger-1151a/c/33129" TargetMode="External"/><Relationship Id="rId10" Type="http://schemas.openxmlformats.org/officeDocument/2006/relationships/hyperlink" Target="https://www.etsy.com/listing/1520019982/crystal-clear-hand-crafted-crystal?ref=share_v4_lx" TargetMode="External"/><Relationship Id="rId13" Type="http://schemas.openxmlformats.org/officeDocument/2006/relationships/hyperlink" Target="https://www.etsy.com/listing/1746243140/vintage-1990-the-franklin-mint-gentle?ga_order=most_relevant&amp;ga_search_type=all&amp;ga_view_type=gallery&amp;ga_search_query=margaret+keane+plate&amp;ref=sr_gallery-1-9&amp;pro=1&amp;frs=1&amp;content_source=95ddcdc73ecc39dc60533fe4412b375fdf7b5a8f%253A1746243140&amp;organic_search_click=1" TargetMode="External"/><Relationship Id="rId12" Type="http://schemas.openxmlformats.org/officeDocument/2006/relationships/hyperlink" Target="https://www.ebay.com/itm/126919777906" TargetMode="External"/><Relationship Id="rId15" Type="http://schemas.openxmlformats.org/officeDocument/2006/relationships/hyperlink" Target="https://poshmark.com/listing/COLONIAL-Stoneware-CUP-and-SAUCER-Made-in-Japan-Colonial-Stoneware-64fdcbd88634cb7853aaae46?srsltid=AfmBOooefT7AvICZ7U741asjHjArYuzMUuKLRJAWel__2DkG0lgOfgnLDM4" TargetMode="External"/><Relationship Id="rId14" Type="http://schemas.openxmlformats.org/officeDocument/2006/relationships/hyperlink" Target="https://www.etsy.com/nz/listing/1761699686/metlox-poppytrail-vernon-porcelain" TargetMode="External"/><Relationship Id="rId17" Type="http://schemas.openxmlformats.org/officeDocument/2006/relationships/hyperlink" Target="https://www.etsy.com/listing/1766421259/portmeirion-botanic-garden-dog-rose-1972?show_sold_out_detail=1&amp;ref=nla_listing_details" TargetMode="External"/><Relationship Id="rId16" Type="http://schemas.openxmlformats.org/officeDocument/2006/relationships/hyperlink" Target="https://www.replacements.com/china-pickard-diplomat/c/75454?srsltid=AfmBOoozHiGz3Fphd7CwNGJcZh42MpYe7ye6iHwt7xXzJPM8iBAIISN_" TargetMode="External"/><Relationship Id="rId19" Type="http://schemas.openxmlformats.org/officeDocument/2006/relationships/hyperlink" Target="https://www.etsy.com/listing/1496611121/indian-made-brass-mini-vases" TargetMode="External"/><Relationship Id="rId18" Type="http://schemas.openxmlformats.org/officeDocument/2006/relationships/hyperlink" Target="https://poshmark.com/listing/Thomas-OBrien-small-round-vase-63487acdc5df6cdfe71fe7b5?srsltid=AfmBOor5Iq1vsbx3TgisZ056LZFWKoZ0YFtXAAzzsRXPIu4PzIE0gQH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s>
  <sheetData>
    <row r="1">
      <c r="A1" s="1" t="s">
        <v>0</v>
      </c>
    </row>
    <row r="3">
      <c r="A3" s="2" t="s">
        <v>1</v>
      </c>
      <c r="B3" s="2"/>
      <c r="C3" s="2"/>
      <c r="D3" s="2" t="s">
        <v>2</v>
      </c>
      <c r="E3" s="2" t="s">
        <v>3</v>
      </c>
      <c r="F3" s="2"/>
      <c r="H3" s="2"/>
    </row>
    <row r="4">
      <c r="A4" s="2" t="s">
        <v>4</v>
      </c>
      <c r="B4" s="2"/>
      <c r="C4" s="2"/>
      <c r="D4" s="2" t="s">
        <v>5</v>
      </c>
      <c r="E4" s="2"/>
      <c r="F4" s="2"/>
      <c r="H4" s="2"/>
    </row>
    <row r="5">
      <c r="A5" s="2" t="s">
        <v>6</v>
      </c>
      <c r="B5" s="2"/>
      <c r="C5" s="2"/>
      <c r="D5" s="2" t="s">
        <v>7</v>
      </c>
      <c r="E5" s="2"/>
      <c r="F5" s="2"/>
      <c r="H5" s="2"/>
    </row>
    <row r="6">
      <c r="A6" s="2" t="s">
        <v>8</v>
      </c>
      <c r="B6" s="2"/>
      <c r="C6" s="2"/>
      <c r="D6" s="2" t="s">
        <v>9</v>
      </c>
      <c r="E6" s="2" t="s">
        <v>10</v>
      </c>
      <c r="F6" s="2"/>
      <c r="H6" s="2" t="s">
        <v>11</v>
      </c>
      <c r="I6" s="3">
        <f>'Women - Sold'!E2 +'Kids - SOLD'!E2+'Home goods - Sold'!E2+C8+C9+C10+C12+C13+C14</f>
        <v>24760.28</v>
      </c>
    </row>
    <row r="7">
      <c r="A7" s="2" t="s">
        <v>12</v>
      </c>
      <c r="B7" s="2"/>
      <c r="C7" s="2"/>
      <c r="D7" s="2" t="s">
        <v>13</v>
      </c>
      <c r="E7" s="2"/>
      <c r="F7" s="2"/>
    </row>
    <row r="8">
      <c r="A8" s="2" t="s">
        <v>14</v>
      </c>
      <c r="B8" s="2" t="s">
        <v>15</v>
      </c>
      <c r="C8" s="2">
        <v>707.0</v>
      </c>
      <c r="D8" s="2" t="s">
        <v>16</v>
      </c>
      <c r="E8" s="2" t="s">
        <v>17</v>
      </c>
      <c r="F8" s="2"/>
    </row>
    <row r="9">
      <c r="A9" s="2" t="s">
        <v>18</v>
      </c>
      <c r="B9" s="2" t="s">
        <v>15</v>
      </c>
      <c r="C9" s="2">
        <v>850.0</v>
      </c>
      <c r="D9" s="2" t="s">
        <v>19</v>
      </c>
      <c r="E9" s="2" t="s">
        <v>20</v>
      </c>
      <c r="F9" s="2"/>
    </row>
    <row r="10">
      <c r="A10" s="2" t="s">
        <v>21</v>
      </c>
      <c r="B10" s="2" t="s">
        <v>15</v>
      </c>
      <c r="C10" s="2">
        <v>1218.0</v>
      </c>
      <c r="D10" s="2" t="s">
        <v>22</v>
      </c>
      <c r="E10" s="2" t="s">
        <v>17</v>
      </c>
      <c r="F10" s="2"/>
    </row>
    <row r="11">
      <c r="A11" s="2" t="s">
        <v>23</v>
      </c>
      <c r="B11" s="2" t="s">
        <v>15</v>
      </c>
      <c r="D11" s="2" t="s">
        <v>24</v>
      </c>
      <c r="F11" s="2" t="s">
        <v>25</v>
      </c>
    </row>
    <row r="12">
      <c r="A12" s="2" t="s">
        <v>26</v>
      </c>
      <c r="B12" s="2" t="s">
        <v>15</v>
      </c>
      <c r="C12" s="2">
        <v>500.0</v>
      </c>
      <c r="D12" s="2" t="s">
        <v>27</v>
      </c>
      <c r="E12" s="2" t="s">
        <v>28</v>
      </c>
    </row>
    <row r="13">
      <c r="A13" s="2" t="s">
        <v>29</v>
      </c>
      <c r="B13" s="2" t="s">
        <v>15</v>
      </c>
      <c r="C13" s="2">
        <v>1090.0</v>
      </c>
      <c r="D13" s="2" t="s">
        <v>22</v>
      </c>
      <c r="E13" s="2" t="s">
        <v>30</v>
      </c>
    </row>
    <row r="14">
      <c r="A14" s="2" t="s">
        <v>31</v>
      </c>
      <c r="B14" s="2" t="s">
        <v>15</v>
      </c>
      <c r="C14" s="2">
        <v>1060.0</v>
      </c>
    </row>
    <row r="15">
      <c r="A15" s="2" t="s">
        <v>32</v>
      </c>
      <c r="B15" s="2" t="s">
        <v>33</v>
      </c>
      <c r="C15" s="3">
        <f>-(Women!D2+'Women - Sold'!D2)</f>
        <v>-10069.04</v>
      </c>
    </row>
    <row r="16">
      <c r="A16" s="2" t="s">
        <v>34</v>
      </c>
      <c r="B16" s="2" t="s">
        <v>15</v>
      </c>
      <c r="C16" s="3">
        <f>'Women - Sold'!E2</f>
        <v>16193.83</v>
      </c>
    </row>
    <row r="17">
      <c r="A17" s="2" t="s">
        <v>35</v>
      </c>
      <c r="B17" s="2" t="s">
        <v>33</v>
      </c>
      <c r="C17" s="3">
        <f>-'Women - Sold'!F2</f>
        <v>-762.51</v>
      </c>
    </row>
    <row r="18">
      <c r="A18" s="2" t="s">
        <v>36</v>
      </c>
      <c r="B18" s="2" t="s">
        <v>33</v>
      </c>
      <c r="C18" s="3">
        <f>-('Home goods'!D2+'Home goods - Sold'!D2)</f>
        <v>-1481.41</v>
      </c>
    </row>
    <row r="19">
      <c r="A19" s="2" t="s">
        <v>37</v>
      </c>
      <c r="B19" s="2" t="s">
        <v>15</v>
      </c>
      <c r="C19" s="3">
        <f>'Home goods - Sold'!E2</f>
        <v>2579.45</v>
      </c>
    </row>
    <row r="20">
      <c r="A20" s="2" t="s">
        <v>38</v>
      </c>
      <c r="B20" s="2" t="s">
        <v>33</v>
      </c>
      <c r="C20" s="3">
        <f>-(Kids!D2+'Kids - SOLD'!D2)</f>
        <v>-176.9</v>
      </c>
    </row>
    <row r="21">
      <c r="A21" s="2" t="s">
        <v>39</v>
      </c>
      <c r="B21" s="2" t="s">
        <v>15</v>
      </c>
      <c r="C21" s="3">
        <f>'Kids - SOLD'!G2</f>
        <v>460.6</v>
      </c>
    </row>
    <row r="23">
      <c r="C23" s="3">
        <f>SUM(C8:C21)</f>
        <v>12169.02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9" max="9" width="25.75"/>
    <col customWidth="1" min="10" max="10" width="57.5"/>
  </cols>
  <sheetData>
    <row r="1">
      <c r="A1" s="1" t="s">
        <v>40</v>
      </c>
      <c r="B1" s="1" t="s">
        <v>41</v>
      </c>
      <c r="C1" s="1" t="s">
        <v>42</v>
      </c>
      <c r="D1" s="1" t="s">
        <v>43</v>
      </c>
      <c r="E1" s="1" t="s">
        <v>44</v>
      </c>
      <c r="F1" s="1" t="s">
        <v>45</v>
      </c>
      <c r="G1" s="1" t="s">
        <v>46</v>
      </c>
      <c r="H1" s="1" t="s">
        <v>47</v>
      </c>
      <c r="I1" s="1" t="s">
        <v>48</v>
      </c>
      <c r="J1" s="4"/>
      <c r="K1" s="5"/>
      <c r="L1" s="5"/>
      <c r="M1" s="5"/>
      <c r="N1" s="5"/>
      <c r="O1" s="5"/>
      <c r="P1" s="5"/>
      <c r="Q1" s="5"/>
      <c r="R1" s="5"/>
      <c r="S1" s="5"/>
      <c r="T1" s="5"/>
      <c r="U1" s="5"/>
      <c r="V1" s="5"/>
      <c r="W1" s="5"/>
      <c r="X1" s="5"/>
      <c r="Y1" s="5"/>
      <c r="Z1" s="5"/>
    </row>
    <row r="2">
      <c r="A2" s="2"/>
      <c r="B2" s="2"/>
      <c r="C2" s="2"/>
      <c r="D2" s="1">
        <f>SUM(D3:D990)</f>
        <v>4985.43</v>
      </c>
      <c r="J2" s="6"/>
    </row>
    <row r="3">
      <c r="A3" s="7" t="s">
        <v>49</v>
      </c>
      <c r="B3" s="7" t="s">
        <v>50</v>
      </c>
      <c r="C3" s="7" t="s">
        <v>51</v>
      </c>
      <c r="D3" s="7">
        <v>10.0</v>
      </c>
      <c r="E3" s="8"/>
      <c r="F3" s="8"/>
      <c r="G3" s="8"/>
      <c r="H3" s="8"/>
      <c r="I3" s="8"/>
      <c r="J3" s="9"/>
      <c r="K3" s="8"/>
      <c r="L3" s="8"/>
      <c r="M3" s="8"/>
      <c r="N3" s="8"/>
      <c r="O3" s="8"/>
      <c r="P3" s="8"/>
      <c r="Q3" s="8"/>
      <c r="R3" s="8"/>
      <c r="S3" s="8"/>
      <c r="T3" s="8"/>
      <c r="U3" s="8"/>
      <c r="V3" s="8"/>
      <c r="W3" s="8"/>
      <c r="X3" s="8"/>
      <c r="Y3" s="8"/>
      <c r="Z3" s="8"/>
    </row>
    <row r="4">
      <c r="A4" s="7" t="s">
        <v>52</v>
      </c>
      <c r="B4" s="7" t="s">
        <v>53</v>
      </c>
      <c r="C4" s="7">
        <v>27.0</v>
      </c>
      <c r="D4" s="7">
        <v>4.0</v>
      </c>
      <c r="E4" s="8"/>
      <c r="F4" s="8"/>
      <c r="G4" s="8"/>
      <c r="H4" s="8"/>
      <c r="I4" s="8"/>
      <c r="J4" s="9"/>
      <c r="K4" s="8"/>
      <c r="L4" s="8"/>
      <c r="M4" s="8"/>
      <c r="N4" s="8"/>
      <c r="O4" s="8"/>
      <c r="P4" s="8"/>
      <c r="Q4" s="8"/>
      <c r="R4" s="8"/>
      <c r="S4" s="8"/>
      <c r="T4" s="8"/>
      <c r="U4" s="8"/>
      <c r="V4" s="8"/>
      <c r="W4" s="8"/>
      <c r="X4" s="8"/>
      <c r="Y4" s="8"/>
      <c r="Z4" s="8"/>
    </row>
    <row r="5">
      <c r="A5" s="7" t="s">
        <v>52</v>
      </c>
      <c r="B5" s="7" t="s">
        <v>54</v>
      </c>
      <c r="C5" s="7">
        <v>29.0</v>
      </c>
      <c r="D5" s="7"/>
      <c r="E5" s="8"/>
      <c r="F5" s="8"/>
      <c r="G5" s="8"/>
      <c r="H5" s="8"/>
      <c r="I5" s="8"/>
      <c r="J5" s="9"/>
      <c r="K5" s="8"/>
      <c r="L5" s="8"/>
      <c r="M5" s="8"/>
      <c r="N5" s="8"/>
      <c r="O5" s="8"/>
      <c r="P5" s="8"/>
      <c r="Q5" s="8"/>
      <c r="R5" s="8"/>
      <c r="S5" s="8"/>
      <c r="T5" s="8"/>
      <c r="U5" s="8"/>
      <c r="V5" s="8"/>
      <c r="W5" s="8"/>
      <c r="X5" s="8"/>
      <c r="Y5" s="8"/>
      <c r="Z5" s="8"/>
    </row>
    <row r="6">
      <c r="A6" s="7" t="s">
        <v>55</v>
      </c>
      <c r="B6" s="7" t="s">
        <v>56</v>
      </c>
      <c r="C6" s="7" t="s">
        <v>57</v>
      </c>
      <c r="D6" s="7">
        <v>9.0</v>
      </c>
      <c r="E6" s="8"/>
      <c r="F6" s="8"/>
      <c r="G6" s="8"/>
      <c r="H6" s="8"/>
      <c r="I6" s="8"/>
      <c r="J6" s="9"/>
      <c r="K6" s="8"/>
      <c r="L6" s="8"/>
      <c r="M6" s="8"/>
      <c r="N6" s="8"/>
      <c r="O6" s="8"/>
      <c r="P6" s="8"/>
      <c r="Q6" s="8"/>
      <c r="R6" s="8"/>
      <c r="S6" s="8"/>
      <c r="T6" s="8"/>
      <c r="U6" s="8"/>
      <c r="V6" s="8"/>
      <c r="W6" s="8"/>
      <c r="X6" s="8"/>
      <c r="Y6" s="8"/>
      <c r="Z6" s="8"/>
    </row>
    <row r="7">
      <c r="A7" s="7" t="s">
        <v>58</v>
      </c>
      <c r="B7" s="7" t="s">
        <v>59</v>
      </c>
      <c r="C7" s="7" t="s">
        <v>57</v>
      </c>
      <c r="D7" s="7">
        <v>2.5</v>
      </c>
      <c r="E7" s="8"/>
      <c r="F7" s="8"/>
      <c r="G7" s="8"/>
      <c r="H7" s="8"/>
      <c r="I7" s="8"/>
      <c r="J7" s="9"/>
      <c r="K7" s="8"/>
      <c r="L7" s="8"/>
      <c r="M7" s="8"/>
      <c r="N7" s="8"/>
      <c r="O7" s="8"/>
      <c r="P7" s="8"/>
      <c r="Q7" s="8"/>
      <c r="R7" s="8"/>
      <c r="S7" s="8"/>
      <c r="T7" s="8"/>
      <c r="U7" s="8"/>
      <c r="V7" s="8"/>
      <c r="W7" s="8"/>
      <c r="X7" s="8"/>
      <c r="Y7" s="8"/>
      <c r="Z7" s="8"/>
    </row>
    <row r="8">
      <c r="A8" s="7" t="s">
        <v>60</v>
      </c>
      <c r="B8" s="7" t="s">
        <v>61</v>
      </c>
      <c r="C8" s="7" t="s">
        <v>51</v>
      </c>
      <c r="D8" s="7">
        <v>6.0</v>
      </c>
      <c r="E8" s="8"/>
      <c r="F8" s="8"/>
      <c r="G8" s="8"/>
      <c r="H8" s="8"/>
      <c r="I8" s="8"/>
      <c r="J8" s="9"/>
      <c r="K8" s="8"/>
      <c r="L8" s="8"/>
      <c r="M8" s="8"/>
      <c r="N8" s="8"/>
      <c r="O8" s="8"/>
      <c r="P8" s="8"/>
      <c r="Q8" s="8"/>
      <c r="R8" s="8"/>
      <c r="S8" s="8"/>
      <c r="T8" s="8"/>
      <c r="U8" s="8"/>
      <c r="V8" s="8"/>
      <c r="W8" s="8"/>
      <c r="X8" s="8"/>
      <c r="Y8" s="8"/>
      <c r="Z8" s="8"/>
    </row>
    <row r="9">
      <c r="A9" s="7" t="s">
        <v>62</v>
      </c>
      <c r="B9" s="7" t="s">
        <v>63</v>
      </c>
      <c r="C9" s="7">
        <v>38.0</v>
      </c>
      <c r="D9" s="7"/>
      <c r="E9" s="8"/>
      <c r="F9" s="8"/>
      <c r="G9" s="8"/>
      <c r="H9" s="8"/>
      <c r="I9" s="8"/>
      <c r="J9" s="9"/>
      <c r="K9" s="8"/>
      <c r="L9" s="8"/>
      <c r="M9" s="8"/>
      <c r="N9" s="8"/>
      <c r="O9" s="8"/>
      <c r="P9" s="8"/>
      <c r="Q9" s="8"/>
      <c r="R9" s="8"/>
      <c r="S9" s="8"/>
      <c r="T9" s="8"/>
      <c r="U9" s="8"/>
      <c r="V9" s="8"/>
      <c r="W9" s="8"/>
      <c r="X9" s="8"/>
      <c r="Y9" s="8"/>
      <c r="Z9" s="8"/>
    </row>
    <row r="10">
      <c r="A10" s="7" t="s">
        <v>64</v>
      </c>
      <c r="B10" s="7" t="s">
        <v>65</v>
      </c>
      <c r="C10" s="7" t="s">
        <v>66</v>
      </c>
      <c r="D10" s="7"/>
      <c r="E10" s="8"/>
      <c r="F10" s="8"/>
      <c r="G10" s="8"/>
      <c r="H10" s="8"/>
      <c r="I10" s="8"/>
      <c r="J10" s="9"/>
      <c r="K10" s="8"/>
      <c r="L10" s="8"/>
      <c r="M10" s="8"/>
      <c r="N10" s="8"/>
      <c r="O10" s="8"/>
      <c r="P10" s="8"/>
      <c r="Q10" s="8"/>
      <c r="R10" s="8"/>
      <c r="S10" s="8"/>
      <c r="T10" s="8"/>
      <c r="U10" s="8"/>
      <c r="V10" s="8"/>
      <c r="W10" s="8"/>
      <c r="X10" s="8"/>
      <c r="Y10" s="8"/>
      <c r="Z10" s="8"/>
    </row>
    <row r="11">
      <c r="A11" s="7" t="s">
        <v>67</v>
      </c>
      <c r="B11" s="7" t="s">
        <v>68</v>
      </c>
      <c r="C11" s="7">
        <v>38.0</v>
      </c>
      <c r="D11" s="7">
        <v>4.5</v>
      </c>
      <c r="E11" s="8"/>
      <c r="F11" s="8"/>
      <c r="G11" s="8"/>
      <c r="H11" s="8"/>
      <c r="I11" s="8"/>
      <c r="J11" s="9"/>
      <c r="K11" s="8"/>
      <c r="L11" s="8"/>
      <c r="M11" s="8"/>
      <c r="N11" s="8"/>
      <c r="O11" s="8"/>
      <c r="P11" s="8"/>
      <c r="Q11" s="8"/>
      <c r="R11" s="8"/>
      <c r="S11" s="8"/>
      <c r="T11" s="8"/>
      <c r="U11" s="8"/>
      <c r="V11" s="8"/>
      <c r="W11" s="8"/>
      <c r="X11" s="8"/>
      <c r="Y11" s="8"/>
      <c r="Z11" s="8"/>
    </row>
    <row r="12">
      <c r="A12" s="7" t="s">
        <v>69</v>
      </c>
      <c r="B12" s="7" t="s">
        <v>70</v>
      </c>
      <c r="C12" s="7"/>
      <c r="D12" s="7">
        <v>6.5</v>
      </c>
      <c r="E12" s="8"/>
      <c r="F12" s="8"/>
      <c r="G12" s="8"/>
      <c r="H12" s="8"/>
      <c r="I12" s="8"/>
      <c r="J12" s="9"/>
      <c r="K12" s="8"/>
      <c r="L12" s="8"/>
      <c r="M12" s="8"/>
      <c r="N12" s="8"/>
      <c r="O12" s="8"/>
      <c r="P12" s="8"/>
      <c r="Q12" s="8"/>
      <c r="R12" s="8"/>
      <c r="S12" s="8"/>
      <c r="T12" s="8"/>
      <c r="U12" s="8"/>
      <c r="V12" s="8"/>
      <c r="W12" s="8"/>
      <c r="X12" s="8"/>
      <c r="Y12" s="8"/>
      <c r="Z12" s="8"/>
    </row>
    <row r="13">
      <c r="A13" s="7" t="s">
        <v>71</v>
      </c>
      <c r="B13" s="7" t="s">
        <v>72</v>
      </c>
      <c r="C13" s="7" t="s">
        <v>51</v>
      </c>
      <c r="D13" s="7">
        <v>10.0</v>
      </c>
      <c r="E13" s="8"/>
      <c r="F13" s="8"/>
      <c r="G13" s="8"/>
      <c r="H13" s="8"/>
      <c r="I13" s="8"/>
      <c r="J13" s="9"/>
      <c r="K13" s="8"/>
      <c r="L13" s="8"/>
      <c r="M13" s="8"/>
      <c r="N13" s="8"/>
      <c r="O13" s="8"/>
      <c r="P13" s="8"/>
      <c r="Q13" s="8"/>
      <c r="R13" s="8"/>
      <c r="S13" s="8"/>
      <c r="T13" s="8"/>
      <c r="U13" s="8"/>
      <c r="V13" s="8"/>
      <c r="W13" s="8"/>
      <c r="X13" s="8"/>
      <c r="Y13" s="8"/>
      <c r="Z13" s="8"/>
    </row>
    <row r="14">
      <c r="A14" s="7" t="s">
        <v>73</v>
      </c>
      <c r="B14" s="7" t="s">
        <v>74</v>
      </c>
      <c r="C14" s="7" t="s">
        <v>51</v>
      </c>
      <c r="D14" s="7">
        <v>5.0</v>
      </c>
      <c r="E14" s="8"/>
      <c r="F14" s="8"/>
      <c r="G14" s="8"/>
      <c r="H14" s="8"/>
      <c r="I14" s="8"/>
      <c r="J14" s="9"/>
      <c r="K14" s="8"/>
      <c r="L14" s="8"/>
      <c r="M14" s="8"/>
      <c r="N14" s="8"/>
      <c r="O14" s="8"/>
      <c r="P14" s="8"/>
      <c r="Q14" s="8"/>
      <c r="R14" s="8"/>
      <c r="S14" s="8"/>
      <c r="T14" s="8"/>
      <c r="U14" s="8"/>
      <c r="V14" s="8"/>
      <c r="W14" s="8"/>
      <c r="X14" s="8"/>
      <c r="Y14" s="8"/>
      <c r="Z14" s="8"/>
    </row>
    <row r="15">
      <c r="A15" s="7" t="s">
        <v>73</v>
      </c>
      <c r="B15" s="7" t="s">
        <v>63</v>
      </c>
      <c r="C15" s="7" t="s">
        <v>66</v>
      </c>
      <c r="D15" s="7">
        <v>5.0</v>
      </c>
      <c r="E15" s="8"/>
      <c r="F15" s="8"/>
      <c r="G15" s="8"/>
      <c r="H15" s="8"/>
      <c r="I15" s="8"/>
      <c r="J15" s="9"/>
      <c r="K15" s="8"/>
      <c r="L15" s="8"/>
      <c r="M15" s="8"/>
      <c r="N15" s="8"/>
      <c r="O15" s="8"/>
      <c r="P15" s="8"/>
      <c r="Q15" s="8"/>
      <c r="R15" s="8"/>
      <c r="S15" s="8"/>
      <c r="T15" s="8"/>
      <c r="U15" s="8"/>
      <c r="V15" s="8"/>
      <c r="W15" s="8"/>
      <c r="X15" s="8"/>
      <c r="Y15" s="8"/>
      <c r="Z15" s="8"/>
    </row>
    <row r="16">
      <c r="A16" s="7" t="s">
        <v>75</v>
      </c>
      <c r="B16" s="7" t="s">
        <v>76</v>
      </c>
      <c r="C16" s="7" t="s">
        <v>51</v>
      </c>
      <c r="D16" s="7">
        <v>6.0</v>
      </c>
      <c r="E16" s="8"/>
      <c r="F16" s="8"/>
      <c r="G16" s="8"/>
      <c r="H16" s="8"/>
      <c r="I16" s="8"/>
      <c r="J16" s="9"/>
      <c r="K16" s="8"/>
      <c r="L16" s="8"/>
      <c r="M16" s="8"/>
      <c r="N16" s="8"/>
      <c r="O16" s="8"/>
      <c r="P16" s="8"/>
      <c r="Q16" s="8"/>
      <c r="R16" s="8"/>
      <c r="S16" s="8"/>
      <c r="T16" s="8"/>
      <c r="U16" s="8"/>
      <c r="V16" s="8"/>
      <c r="W16" s="8"/>
      <c r="X16" s="8"/>
      <c r="Y16" s="8"/>
      <c r="Z16" s="8"/>
    </row>
    <row r="17">
      <c r="A17" s="7" t="s">
        <v>75</v>
      </c>
      <c r="B17" s="7" t="s">
        <v>77</v>
      </c>
      <c r="C17" s="7" t="s">
        <v>51</v>
      </c>
      <c r="D17" s="7">
        <v>6.5</v>
      </c>
      <c r="E17" s="8"/>
      <c r="F17" s="8"/>
      <c r="G17" s="8"/>
      <c r="H17" s="8"/>
      <c r="I17" s="8"/>
      <c r="J17" s="9"/>
      <c r="K17" s="8"/>
      <c r="L17" s="8"/>
      <c r="M17" s="8"/>
      <c r="N17" s="8"/>
      <c r="O17" s="8"/>
      <c r="P17" s="8"/>
      <c r="Q17" s="8"/>
      <c r="R17" s="8"/>
      <c r="S17" s="8"/>
      <c r="T17" s="8"/>
      <c r="U17" s="8"/>
      <c r="V17" s="8"/>
      <c r="W17" s="8"/>
      <c r="X17" s="8"/>
      <c r="Y17" s="8"/>
      <c r="Z17" s="8"/>
    </row>
    <row r="18">
      <c r="A18" s="7" t="s">
        <v>78</v>
      </c>
      <c r="B18" s="7" t="s">
        <v>79</v>
      </c>
      <c r="C18" s="7">
        <v>6.0</v>
      </c>
      <c r="D18" s="7">
        <v>3.0</v>
      </c>
      <c r="E18" s="8"/>
      <c r="F18" s="8"/>
      <c r="G18" s="8"/>
      <c r="H18" s="8"/>
      <c r="I18" s="8"/>
      <c r="J18" s="9"/>
      <c r="K18" s="8"/>
      <c r="L18" s="8"/>
      <c r="M18" s="8"/>
      <c r="N18" s="8"/>
      <c r="O18" s="8"/>
      <c r="P18" s="8"/>
      <c r="Q18" s="8"/>
      <c r="R18" s="8"/>
      <c r="S18" s="8"/>
      <c r="T18" s="8"/>
      <c r="U18" s="8"/>
      <c r="V18" s="8"/>
      <c r="W18" s="8"/>
      <c r="X18" s="8"/>
      <c r="Y18" s="8"/>
      <c r="Z18" s="8"/>
    </row>
    <row r="19">
      <c r="A19" s="7" t="s">
        <v>80</v>
      </c>
      <c r="B19" s="7" t="s">
        <v>81</v>
      </c>
      <c r="C19" s="7">
        <v>9.0</v>
      </c>
      <c r="D19" s="7">
        <v>2.5</v>
      </c>
      <c r="E19" s="8"/>
      <c r="F19" s="8"/>
      <c r="G19" s="8"/>
      <c r="H19" s="8"/>
      <c r="I19" s="8"/>
      <c r="J19" s="9"/>
      <c r="K19" s="8"/>
      <c r="L19" s="8"/>
      <c r="M19" s="8"/>
      <c r="N19" s="8"/>
      <c r="O19" s="8"/>
      <c r="P19" s="8"/>
      <c r="Q19" s="8"/>
      <c r="R19" s="8"/>
      <c r="S19" s="8"/>
      <c r="T19" s="8"/>
      <c r="U19" s="8"/>
      <c r="V19" s="8"/>
      <c r="W19" s="8"/>
      <c r="X19" s="8"/>
      <c r="Y19" s="8"/>
      <c r="Z19" s="8"/>
    </row>
    <row r="20">
      <c r="A20" s="10" t="s">
        <v>82</v>
      </c>
      <c r="B20" s="10" t="s">
        <v>83</v>
      </c>
      <c r="C20" s="10" t="s">
        <v>51</v>
      </c>
      <c r="D20" s="10">
        <v>6.0</v>
      </c>
      <c r="E20" s="11"/>
      <c r="F20" s="11"/>
      <c r="G20" s="11"/>
      <c r="H20" s="10" t="s">
        <v>84</v>
      </c>
      <c r="I20" s="10"/>
      <c r="J20" s="12"/>
      <c r="K20" s="11"/>
      <c r="L20" s="11"/>
      <c r="M20" s="11"/>
      <c r="N20" s="11"/>
      <c r="O20" s="11"/>
      <c r="P20" s="11"/>
      <c r="Q20" s="11"/>
      <c r="R20" s="11"/>
      <c r="S20" s="11"/>
      <c r="T20" s="11"/>
      <c r="U20" s="11"/>
      <c r="V20" s="11"/>
      <c r="W20" s="11"/>
      <c r="X20" s="11"/>
      <c r="Y20" s="11"/>
      <c r="Z20" s="11"/>
    </row>
    <row r="21">
      <c r="A21" s="7" t="s">
        <v>82</v>
      </c>
      <c r="B21" s="7" t="s">
        <v>85</v>
      </c>
      <c r="C21" s="7">
        <v>2.0</v>
      </c>
      <c r="D21" s="7"/>
      <c r="E21" s="8"/>
      <c r="F21" s="8"/>
      <c r="G21" s="8"/>
      <c r="H21" s="8"/>
      <c r="I21" s="8"/>
      <c r="J21" s="9"/>
      <c r="K21" s="8"/>
      <c r="L21" s="8"/>
      <c r="M21" s="8"/>
      <c r="N21" s="8"/>
      <c r="O21" s="8"/>
      <c r="P21" s="8"/>
      <c r="Q21" s="8"/>
      <c r="R21" s="8"/>
      <c r="S21" s="8"/>
      <c r="T21" s="8"/>
      <c r="U21" s="8"/>
      <c r="V21" s="8"/>
      <c r="W21" s="8"/>
      <c r="X21" s="8"/>
      <c r="Y21" s="8"/>
      <c r="Z21" s="8"/>
    </row>
    <row r="22">
      <c r="A22" s="7" t="s">
        <v>86</v>
      </c>
      <c r="B22" s="7" t="s">
        <v>87</v>
      </c>
      <c r="C22" s="7" t="s">
        <v>66</v>
      </c>
      <c r="D22" s="7">
        <v>5.0</v>
      </c>
      <c r="E22" s="8"/>
      <c r="F22" s="8"/>
      <c r="G22" s="8"/>
      <c r="H22" s="7"/>
      <c r="I22" s="7"/>
      <c r="J22" s="9"/>
      <c r="K22" s="8"/>
      <c r="L22" s="8"/>
      <c r="M22" s="8"/>
      <c r="N22" s="8"/>
      <c r="O22" s="8"/>
      <c r="P22" s="8"/>
      <c r="Q22" s="8"/>
      <c r="R22" s="8"/>
      <c r="S22" s="8"/>
      <c r="T22" s="8"/>
      <c r="U22" s="8"/>
      <c r="V22" s="8"/>
      <c r="W22" s="8"/>
      <c r="X22" s="8"/>
      <c r="Y22" s="8"/>
      <c r="Z22" s="8"/>
    </row>
    <row r="23">
      <c r="A23" s="7" t="s">
        <v>88</v>
      </c>
      <c r="B23" s="7" t="s">
        <v>89</v>
      </c>
      <c r="C23" s="7" t="s">
        <v>51</v>
      </c>
      <c r="D23" s="7">
        <v>5.0</v>
      </c>
      <c r="E23" s="8"/>
      <c r="F23" s="8"/>
      <c r="G23" s="8"/>
      <c r="H23" s="7"/>
      <c r="I23" s="7"/>
      <c r="J23" s="9"/>
      <c r="K23" s="8"/>
      <c r="L23" s="8"/>
      <c r="M23" s="8"/>
      <c r="N23" s="8"/>
      <c r="O23" s="8"/>
      <c r="P23" s="8"/>
      <c r="Q23" s="8"/>
      <c r="R23" s="8"/>
      <c r="S23" s="8"/>
      <c r="T23" s="8"/>
      <c r="U23" s="8"/>
      <c r="V23" s="8"/>
      <c r="W23" s="8"/>
      <c r="X23" s="8"/>
      <c r="Y23" s="8"/>
      <c r="Z23" s="8"/>
    </row>
    <row r="24">
      <c r="A24" s="7" t="s">
        <v>88</v>
      </c>
      <c r="B24" s="7" t="s">
        <v>90</v>
      </c>
      <c r="C24" s="7" t="s">
        <v>66</v>
      </c>
      <c r="D24" s="7">
        <v>6.0</v>
      </c>
      <c r="E24" s="8"/>
      <c r="F24" s="8"/>
      <c r="G24" s="8"/>
      <c r="H24" s="7"/>
      <c r="I24" s="7"/>
      <c r="J24" s="9"/>
      <c r="K24" s="8"/>
      <c r="L24" s="8"/>
      <c r="M24" s="8"/>
      <c r="N24" s="8"/>
      <c r="O24" s="8"/>
      <c r="P24" s="8"/>
      <c r="Q24" s="8"/>
      <c r="R24" s="8"/>
      <c r="S24" s="8"/>
      <c r="T24" s="8"/>
      <c r="U24" s="8"/>
      <c r="V24" s="8"/>
      <c r="W24" s="8"/>
      <c r="X24" s="8"/>
      <c r="Y24" s="8"/>
      <c r="Z24" s="8"/>
    </row>
    <row r="25">
      <c r="A25" s="7" t="s">
        <v>88</v>
      </c>
      <c r="B25" s="7" t="s">
        <v>91</v>
      </c>
      <c r="C25" s="7" t="s">
        <v>51</v>
      </c>
      <c r="D25" s="7">
        <v>9.0</v>
      </c>
      <c r="E25" s="8"/>
      <c r="F25" s="8"/>
      <c r="G25" s="8"/>
      <c r="H25" s="7"/>
      <c r="I25" s="7"/>
      <c r="J25" s="9"/>
      <c r="K25" s="8"/>
      <c r="L25" s="8"/>
      <c r="M25" s="8"/>
      <c r="N25" s="8"/>
      <c r="O25" s="8"/>
      <c r="P25" s="8"/>
      <c r="Q25" s="8"/>
      <c r="R25" s="8"/>
      <c r="S25" s="8"/>
      <c r="T25" s="8"/>
      <c r="U25" s="8"/>
      <c r="V25" s="8"/>
      <c r="W25" s="8"/>
      <c r="X25" s="8"/>
      <c r="Y25" s="8"/>
      <c r="Z25" s="8"/>
    </row>
    <row r="26">
      <c r="A26" s="7" t="s">
        <v>88</v>
      </c>
      <c r="B26" s="7" t="s">
        <v>92</v>
      </c>
      <c r="C26" s="7" t="s">
        <v>51</v>
      </c>
      <c r="D26" s="7">
        <v>6.5</v>
      </c>
      <c r="E26" s="8"/>
      <c r="F26" s="8"/>
      <c r="G26" s="8"/>
      <c r="H26" s="7"/>
      <c r="I26" s="7"/>
      <c r="J26" s="9"/>
      <c r="K26" s="8"/>
      <c r="L26" s="8"/>
      <c r="M26" s="8"/>
      <c r="N26" s="8"/>
      <c r="O26" s="8"/>
      <c r="P26" s="8"/>
      <c r="Q26" s="8"/>
      <c r="R26" s="8"/>
      <c r="S26" s="8"/>
      <c r="T26" s="8"/>
      <c r="U26" s="8"/>
      <c r="V26" s="8"/>
      <c r="W26" s="8"/>
      <c r="X26" s="8"/>
      <c r="Y26" s="8"/>
      <c r="Z26" s="8"/>
    </row>
    <row r="27">
      <c r="A27" s="7" t="s">
        <v>88</v>
      </c>
      <c r="B27" s="7" t="s">
        <v>93</v>
      </c>
      <c r="C27" s="7" t="s">
        <v>51</v>
      </c>
      <c r="D27" s="7">
        <v>3.0</v>
      </c>
      <c r="E27" s="8"/>
      <c r="F27" s="8"/>
      <c r="G27" s="8"/>
      <c r="H27" s="7"/>
      <c r="I27" s="7"/>
      <c r="J27" s="9"/>
      <c r="K27" s="8"/>
      <c r="L27" s="8"/>
      <c r="M27" s="8"/>
      <c r="N27" s="8"/>
      <c r="O27" s="8"/>
      <c r="P27" s="8"/>
      <c r="Q27" s="8"/>
      <c r="R27" s="8"/>
      <c r="S27" s="8"/>
      <c r="T27" s="8"/>
      <c r="U27" s="8"/>
      <c r="V27" s="8"/>
      <c r="W27" s="8"/>
      <c r="X27" s="8"/>
      <c r="Y27" s="8"/>
      <c r="Z27" s="8"/>
    </row>
    <row r="28">
      <c r="A28" s="7" t="s">
        <v>88</v>
      </c>
      <c r="B28" s="7" t="s">
        <v>94</v>
      </c>
      <c r="C28" s="7" t="s">
        <v>95</v>
      </c>
      <c r="D28" s="7">
        <v>3.0</v>
      </c>
      <c r="E28" s="8"/>
      <c r="F28" s="8"/>
      <c r="G28" s="8"/>
      <c r="H28" s="7"/>
      <c r="I28" s="7"/>
      <c r="J28" s="9"/>
      <c r="K28" s="8"/>
      <c r="L28" s="8"/>
      <c r="M28" s="8"/>
      <c r="N28" s="8"/>
      <c r="O28" s="8"/>
      <c r="P28" s="8"/>
      <c r="Q28" s="8"/>
      <c r="R28" s="8"/>
      <c r="S28" s="8"/>
      <c r="T28" s="8"/>
      <c r="U28" s="8"/>
      <c r="V28" s="8"/>
      <c r="W28" s="8"/>
      <c r="X28" s="8"/>
      <c r="Y28" s="8"/>
      <c r="Z28" s="8"/>
    </row>
    <row r="29">
      <c r="A29" s="7" t="s">
        <v>88</v>
      </c>
      <c r="B29" s="7" t="s">
        <v>96</v>
      </c>
      <c r="C29" s="7" t="s">
        <v>66</v>
      </c>
      <c r="D29" s="7">
        <v>5.0</v>
      </c>
      <c r="E29" s="8"/>
      <c r="F29" s="8"/>
      <c r="G29" s="8"/>
      <c r="H29" s="7"/>
      <c r="I29" s="7"/>
      <c r="J29" s="9"/>
      <c r="K29" s="8"/>
      <c r="L29" s="8"/>
      <c r="M29" s="8"/>
      <c r="N29" s="8"/>
      <c r="O29" s="8"/>
      <c r="P29" s="8"/>
      <c r="Q29" s="8"/>
      <c r="R29" s="8"/>
      <c r="S29" s="8"/>
      <c r="T29" s="8"/>
      <c r="U29" s="8"/>
      <c r="V29" s="8"/>
      <c r="W29" s="8"/>
      <c r="X29" s="8"/>
      <c r="Y29" s="8"/>
      <c r="Z29" s="8"/>
    </row>
    <row r="30">
      <c r="A30" s="7" t="s">
        <v>88</v>
      </c>
      <c r="B30" s="7" t="s">
        <v>97</v>
      </c>
      <c r="C30" s="7" t="s">
        <v>51</v>
      </c>
      <c r="D30" s="7">
        <v>5.0</v>
      </c>
      <c r="E30" s="8"/>
      <c r="F30" s="8"/>
      <c r="G30" s="8"/>
      <c r="H30" s="7"/>
      <c r="I30" s="7"/>
      <c r="J30" s="9"/>
      <c r="K30" s="8"/>
      <c r="L30" s="8"/>
      <c r="M30" s="8"/>
      <c r="N30" s="8"/>
      <c r="O30" s="8"/>
      <c r="P30" s="8"/>
      <c r="Q30" s="8"/>
      <c r="R30" s="8"/>
      <c r="S30" s="8"/>
      <c r="T30" s="8"/>
      <c r="U30" s="8"/>
      <c r="V30" s="8"/>
      <c r="W30" s="8"/>
      <c r="X30" s="8"/>
      <c r="Y30" s="8"/>
      <c r="Z30" s="8"/>
    </row>
    <row r="31">
      <c r="A31" s="7" t="s">
        <v>88</v>
      </c>
      <c r="B31" s="7" t="s">
        <v>98</v>
      </c>
      <c r="C31" s="7" t="s">
        <v>66</v>
      </c>
      <c r="D31" s="7">
        <v>10.0</v>
      </c>
      <c r="E31" s="8"/>
      <c r="F31" s="8"/>
      <c r="G31" s="8"/>
      <c r="H31" s="7"/>
      <c r="I31" s="7"/>
      <c r="J31" s="9"/>
      <c r="K31" s="8"/>
      <c r="L31" s="8"/>
      <c r="M31" s="8"/>
      <c r="N31" s="8"/>
      <c r="O31" s="8"/>
      <c r="P31" s="8"/>
      <c r="Q31" s="8"/>
      <c r="R31" s="8"/>
      <c r="S31" s="8"/>
      <c r="T31" s="8"/>
      <c r="U31" s="8"/>
      <c r="V31" s="8"/>
      <c r="W31" s="8"/>
      <c r="X31" s="8"/>
      <c r="Y31" s="8"/>
      <c r="Z31" s="8"/>
    </row>
    <row r="32">
      <c r="A32" s="7" t="s">
        <v>88</v>
      </c>
      <c r="B32" s="7" t="s">
        <v>99</v>
      </c>
      <c r="C32" s="7" t="s">
        <v>66</v>
      </c>
      <c r="D32" s="7">
        <v>7.3</v>
      </c>
      <c r="E32" s="8"/>
      <c r="F32" s="8"/>
      <c r="G32" s="8"/>
      <c r="H32" s="7"/>
      <c r="I32" s="7"/>
      <c r="J32" s="9"/>
      <c r="K32" s="8"/>
      <c r="L32" s="8"/>
      <c r="M32" s="8"/>
      <c r="N32" s="8"/>
      <c r="O32" s="8"/>
      <c r="P32" s="8"/>
      <c r="Q32" s="8"/>
      <c r="R32" s="8"/>
      <c r="S32" s="8"/>
      <c r="T32" s="8"/>
      <c r="U32" s="8"/>
      <c r="V32" s="8"/>
      <c r="W32" s="8"/>
      <c r="X32" s="8"/>
      <c r="Y32" s="8"/>
      <c r="Z32" s="8"/>
    </row>
    <row r="33">
      <c r="A33" s="7" t="s">
        <v>88</v>
      </c>
      <c r="B33" s="7" t="s">
        <v>100</v>
      </c>
      <c r="C33" s="7" t="s">
        <v>57</v>
      </c>
      <c r="D33" s="7">
        <v>10.0</v>
      </c>
      <c r="E33" s="8"/>
      <c r="F33" s="8"/>
      <c r="G33" s="8"/>
      <c r="H33" s="7"/>
      <c r="I33" s="7"/>
      <c r="J33" s="9"/>
      <c r="K33" s="8"/>
      <c r="L33" s="8"/>
      <c r="M33" s="8"/>
      <c r="N33" s="8"/>
      <c r="O33" s="8"/>
      <c r="P33" s="8"/>
      <c r="Q33" s="8"/>
      <c r="R33" s="8"/>
      <c r="S33" s="8"/>
      <c r="T33" s="8"/>
      <c r="U33" s="8"/>
      <c r="V33" s="8"/>
      <c r="W33" s="8"/>
      <c r="X33" s="8"/>
      <c r="Y33" s="8"/>
      <c r="Z33" s="8"/>
    </row>
    <row r="34">
      <c r="A34" s="7" t="s">
        <v>88</v>
      </c>
      <c r="B34" s="7" t="s">
        <v>101</v>
      </c>
      <c r="C34" s="7" t="s">
        <v>51</v>
      </c>
      <c r="D34" s="7">
        <v>15.0</v>
      </c>
      <c r="E34" s="8"/>
      <c r="F34" s="8"/>
      <c r="G34" s="8"/>
      <c r="H34" s="7"/>
      <c r="I34" s="7"/>
      <c r="J34" s="9"/>
      <c r="K34" s="8"/>
      <c r="L34" s="8"/>
      <c r="M34" s="8"/>
      <c r="N34" s="8"/>
      <c r="O34" s="8"/>
      <c r="P34" s="8"/>
      <c r="Q34" s="8"/>
      <c r="R34" s="8"/>
      <c r="S34" s="8"/>
      <c r="T34" s="8"/>
      <c r="U34" s="8"/>
      <c r="V34" s="8"/>
      <c r="W34" s="8"/>
      <c r="X34" s="8"/>
      <c r="Y34" s="8"/>
      <c r="Z34" s="8"/>
    </row>
    <row r="35">
      <c r="A35" s="7" t="s">
        <v>88</v>
      </c>
      <c r="B35" s="7" t="s">
        <v>102</v>
      </c>
      <c r="C35" s="7" t="s">
        <v>66</v>
      </c>
      <c r="D35" s="7">
        <v>20.0</v>
      </c>
      <c r="E35" s="8"/>
      <c r="F35" s="8"/>
      <c r="G35" s="8"/>
      <c r="H35" s="7"/>
      <c r="I35" s="7"/>
      <c r="J35" s="9"/>
      <c r="K35" s="8"/>
      <c r="L35" s="8"/>
      <c r="M35" s="8"/>
      <c r="N35" s="8"/>
      <c r="O35" s="8"/>
      <c r="P35" s="8"/>
      <c r="Q35" s="8"/>
      <c r="R35" s="8"/>
      <c r="S35" s="8"/>
      <c r="T35" s="8"/>
      <c r="U35" s="8"/>
      <c r="V35" s="8"/>
      <c r="W35" s="8"/>
      <c r="X35" s="8"/>
      <c r="Y35" s="8"/>
      <c r="Z35" s="8"/>
    </row>
    <row r="36">
      <c r="A36" s="7" t="s">
        <v>88</v>
      </c>
      <c r="B36" s="7" t="s">
        <v>103</v>
      </c>
      <c r="C36" s="7" t="s">
        <v>51</v>
      </c>
      <c r="D36" s="7"/>
      <c r="E36" s="8"/>
      <c r="F36" s="8"/>
      <c r="G36" s="8"/>
      <c r="H36" s="7"/>
      <c r="I36" s="7"/>
      <c r="J36" s="9"/>
      <c r="K36" s="8"/>
      <c r="L36" s="8"/>
      <c r="M36" s="8"/>
      <c r="N36" s="8"/>
      <c r="O36" s="8"/>
      <c r="P36" s="8"/>
      <c r="Q36" s="8"/>
      <c r="R36" s="8"/>
      <c r="S36" s="8"/>
      <c r="T36" s="8"/>
      <c r="U36" s="8"/>
      <c r="V36" s="8"/>
      <c r="W36" s="8"/>
      <c r="X36" s="8"/>
      <c r="Y36" s="8"/>
      <c r="Z36" s="8"/>
    </row>
    <row r="37">
      <c r="A37" s="7" t="s">
        <v>88</v>
      </c>
      <c r="B37" s="7" t="s">
        <v>104</v>
      </c>
      <c r="C37" s="7" t="s">
        <v>66</v>
      </c>
      <c r="D37" s="7">
        <v>8.1</v>
      </c>
      <c r="E37" s="8"/>
      <c r="F37" s="8"/>
      <c r="G37" s="8"/>
      <c r="H37" s="7"/>
      <c r="I37" s="7"/>
      <c r="J37" s="9"/>
      <c r="K37" s="8"/>
      <c r="L37" s="8"/>
      <c r="M37" s="8"/>
      <c r="N37" s="8"/>
      <c r="O37" s="8"/>
      <c r="P37" s="8"/>
      <c r="Q37" s="8"/>
      <c r="R37" s="8"/>
      <c r="S37" s="8"/>
      <c r="T37" s="8"/>
      <c r="U37" s="8"/>
      <c r="V37" s="8"/>
      <c r="W37" s="8"/>
      <c r="X37" s="8"/>
      <c r="Y37" s="8"/>
      <c r="Z37" s="8"/>
    </row>
    <row r="38">
      <c r="A38" s="7" t="s">
        <v>105</v>
      </c>
      <c r="B38" s="7" t="s">
        <v>106</v>
      </c>
      <c r="C38" s="7" t="s">
        <v>57</v>
      </c>
      <c r="D38" s="7">
        <v>7.3</v>
      </c>
      <c r="E38" s="8"/>
      <c r="F38" s="8"/>
      <c r="G38" s="8"/>
      <c r="H38" s="7"/>
      <c r="I38" s="7"/>
      <c r="J38" s="9"/>
      <c r="K38" s="8"/>
      <c r="L38" s="8"/>
      <c r="M38" s="8"/>
      <c r="N38" s="8"/>
      <c r="O38" s="8"/>
      <c r="P38" s="8"/>
      <c r="Q38" s="8"/>
      <c r="R38" s="8"/>
      <c r="S38" s="8"/>
      <c r="T38" s="8"/>
      <c r="U38" s="8"/>
      <c r="V38" s="8"/>
      <c r="W38" s="8"/>
      <c r="X38" s="8"/>
      <c r="Y38" s="8"/>
      <c r="Z38" s="8"/>
    </row>
    <row r="39">
      <c r="A39" s="7" t="s">
        <v>107</v>
      </c>
      <c r="B39" s="7" t="s">
        <v>108</v>
      </c>
      <c r="C39" s="7"/>
      <c r="D39" s="7">
        <v>15.0</v>
      </c>
      <c r="E39" s="8"/>
      <c r="F39" s="8"/>
      <c r="G39" s="8"/>
      <c r="H39" s="7"/>
      <c r="I39" s="7"/>
      <c r="J39" s="9"/>
      <c r="K39" s="8"/>
      <c r="L39" s="8"/>
      <c r="M39" s="8"/>
      <c r="N39" s="8"/>
      <c r="O39" s="8"/>
      <c r="P39" s="8"/>
      <c r="Q39" s="8"/>
      <c r="R39" s="8"/>
      <c r="S39" s="8"/>
      <c r="T39" s="8"/>
      <c r="U39" s="8"/>
      <c r="V39" s="8"/>
      <c r="W39" s="8"/>
      <c r="X39" s="8"/>
      <c r="Y39" s="8"/>
      <c r="Z39" s="8"/>
    </row>
    <row r="40">
      <c r="A40" s="7" t="s">
        <v>109</v>
      </c>
      <c r="B40" s="7" t="s">
        <v>110</v>
      </c>
      <c r="C40" s="7" t="s">
        <v>66</v>
      </c>
      <c r="D40" s="7">
        <v>12.5</v>
      </c>
      <c r="E40" s="8"/>
      <c r="F40" s="8"/>
      <c r="G40" s="8"/>
      <c r="H40" s="7"/>
      <c r="I40" s="7"/>
      <c r="J40" s="9"/>
      <c r="K40" s="8"/>
      <c r="L40" s="8"/>
      <c r="M40" s="8"/>
      <c r="N40" s="8"/>
      <c r="O40" s="8"/>
      <c r="P40" s="8"/>
      <c r="Q40" s="8"/>
      <c r="R40" s="8"/>
      <c r="S40" s="8"/>
      <c r="T40" s="8"/>
      <c r="U40" s="8"/>
      <c r="V40" s="8"/>
      <c r="W40" s="8"/>
      <c r="X40" s="8"/>
      <c r="Y40" s="8"/>
      <c r="Z40" s="8"/>
    </row>
    <row r="41">
      <c r="A41" s="7" t="s">
        <v>111</v>
      </c>
      <c r="B41" s="7" t="s">
        <v>112</v>
      </c>
      <c r="C41" s="7" t="s">
        <v>113</v>
      </c>
      <c r="D41" s="7">
        <v>6.0</v>
      </c>
      <c r="E41" s="7"/>
      <c r="F41" s="8"/>
      <c r="G41" s="8"/>
      <c r="H41" s="8"/>
      <c r="I41" s="8"/>
      <c r="J41" s="9"/>
      <c r="K41" s="8"/>
      <c r="L41" s="8"/>
      <c r="M41" s="8"/>
      <c r="N41" s="8"/>
      <c r="O41" s="8"/>
      <c r="P41" s="8"/>
      <c r="Q41" s="8"/>
      <c r="R41" s="8"/>
      <c r="S41" s="8"/>
      <c r="T41" s="8"/>
      <c r="U41" s="8"/>
      <c r="V41" s="8"/>
      <c r="W41" s="8"/>
      <c r="X41" s="8"/>
      <c r="Y41" s="8"/>
      <c r="Z41" s="8"/>
    </row>
    <row r="42">
      <c r="A42" s="7" t="s">
        <v>114</v>
      </c>
      <c r="B42" s="7" t="s">
        <v>115</v>
      </c>
      <c r="C42" s="7" t="s">
        <v>57</v>
      </c>
      <c r="D42" s="7">
        <v>5.0</v>
      </c>
      <c r="E42" s="7"/>
      <c r="F42" s="8"/>
      <c r="G42" s="8"/>
      <c r="H42" s="8"/>
      <c r="I42" s="8"/>
      <c r="J42" s="9"/>
      <c r="K42" s="8"/>
      <c r="L42" s="8"/>
      <c r="M42" s="8"/>
      <c r="N42" s="8"/>
      <c r="O42" s="8"/>
      <c r="P42" s="8"/>
      <c r="Q42" s="8"/>
      <c r="R42" s="8"/>
      <c r="S42" s="8"/>
      <c r="T42" s="8"/>
      <c r="U42" s="8"/>
      <c r="V42" s="8"/>
      <c r="W42" s="8"/>
      <c r="X42" s="8"/>
      <c r="Y42" s="8"/>
      <c r="Z42" s="8"/>
    </row>
    <row r="43">
      <c r="A43" s="7" t="s">
        <v>114</v>
      </c>
      <c r="B43" s="7" t="s">
        <v>116</v>
      </c>
      <c r="C43" s="7">
        <v>4.0</v>
      </c>
      <c r="D43" s="7">
        <v>8.5</v>
      </c>
      <c r="E43" s="7"/>
      <c r="F43" s="8"/>
      <c r="G43" s="8"/>
      <c r="H43" s="8"/>
      <c r="I43" s="8"/>
      <c r="J43" s="9"/>
      <c r="K43" s="8"/>
      <c r="L43" s="8"/>
      <c r="M43" s="8"/>
      <c r="N43" s="8"/>
      <c r="O43" s="8"/>
      <c r="P43" s="8"/>
      <c r="Q43" s="8"/>
      <c r="R43" s="8"/>
      <c r="S43" s="8"/>
      <c r="T43" s="8"/>
      <c r="U43" s="8"/>
      <c r="V43" s="8"/>
      <c r="W43" s="8"/>
      <c r="X43" s="8"/>
      <c r="Y43" s="8"/>
      <c r="Z43" s="8"/>
    </row>
    <row r="44">
      <c r="A44" s="7" t="s">
        <v>114</v>
      </c>
      <c r="B44" s="7" t="s">
        <v>117</v>
      </c>
      <c r="C44" s="7" t="s">
        <v>66</v>
      </c>
      <c r="D44" s="7">
        <v>20.0</v>
      </c>
      <c r="E44" s="7"/>
      <c r="F44" s="8"/>
      <c r="G44" s="8"/>
      <c r="H44" s="7"/>
      <c r="I44" s="8"/>
      <c r="J44" s="9"/>
      <c r="K44" s="8"/>
      <c r="L44" s="8"/>
      <c r="M44" s="8"/>
      <c r="N44" s="8"/>
      <c r="O44" s="8"/>
      <c r="P44" s="8"/>
      <c r="Q44" s="8"/>
      <c r="R44" s="8"/>
      <c r="S44" s="8"/>
      <c r="T44" s="8"/>
      <c r="U44" s="8"/>
      <c r="V44" s="8"/>
      <c r="W44" s="8"/>
      <c r="X44" s="8"/>
      <c r="Y44" s="8"/>
      <c r="Z44" s="8"/>
    </row>
    <row r="45">
      <c r="A45" s="7" t="s">
        <v>114</v>
      </c>
      <c r="B45" s="7" t="s">
        <v>118</v>
      </c>
      <c r="C45" s="7" t="s">
        <v>51</v>
      </c>
      <c r="D45" s="7">
        <v>6.0</v>
      </c>
      <c r="E45" s="7"/>
      <c r="F45" s="8"/>
      <c r="G45" s="8"/>
      <c r="H45" s="8"/>
      <c r="I45" s="8"/>
      <c r="J45" s="9"/>
      <c r="K45" s="8"/>
      <c r="L45" s="8"/>
      <c r="M45" s="8"/>
      <c r="N45" s="8"/>
      <c r="O45" s="8"/>
      <c r="P45" s="8"/>
      <c r="Q45" s="8"/>
      <c r="R45" s="8"/>
      <c r="S45" s="8"/>
      <c r="T45" s="8"/>
      <c r="U45" s="8"/>
      <c r="V45" s="8"/>
      <c r="W45" s="8"/>
      <c r="X45" s="8"/>
      <c r="Y45" s="8"/>
      <c r="Z45" s="8"/>
    </row>
    <row r="46">
      <c r="A46" s="7" t="s">
        <v>114</v>
      </c>
      <c r="B46" s="7" t="s">
        <v>119</v>
      </c>
      <c r="C46" s="7" t="s">
        <v>120</v>
      </c>
      <c r="D46" s="7">
        <v>6.0</v>
      </c>
      <c r="E46" s="7"/>
      <c r="F46" s="8"/>
      <c r="G46" s="8"/>
      <c r="H46" s="8"/>
      <c r="I46" s="8"/>
      <c r="J46" s="9"/>
      <c r="K46" s="8"/>
      <c r="L46" s="8"/>
      <c r="M46" s="8"/>
      <c r="N46" s="8"/>
      <c r="O46" s="8"/>
      <c r="P46" s="8"/>
      <c r="Q46" s="8"/>
      <c r="R46" s="8"/>
      <c r="S46" s="8"/>
      <c r="T46" s="8"/>
      <c r="U46" s="8"/>
      <c r="V46" s="8"/>
      <c r="W46" s="8"/>
      <c r="X46" s="8"/>
      <c r="Y46" s="8"/>
      <c r="Z46" s="8"/>
    </row>
    <row r="47">
      <c r="A47" s="7" t="s">
        <v>114</v>
      </c>
      <c r="B47" s="7" t="s">
        <v>121</v>
      </c>
      <c r="C47" s="7" t="s">
        <v>66</v>
      </c>
      <c r="D47" s="7">
        <v>7.5</v>
      </c>
      <c r="E47" s="7"/>
      <c r="F47" s="8"/>
      <c r="G47" s="8"/>
      <c r="H47" s="8"/>
      <c r="I47" s="8"/>
      <c r="J47" s="9"/>
      <c r="K47" s="8"/>
      <c r="L47" s="8"/>
      <c r="M47" s="8"/>
      <c r="N47" s="8"/>
      <c r="O47" s="8"/>
      <c r="P47" s="8"/>
      <c r="Q47" s="8"/>
      <c r="R47" s="8"/>
      <c r="S47" s="8"/>
      <c r="T47" s="8"/>
      <c r="U47" s="8"/>
      <c r="V47" s="8"/>
      <c r="W47" s="8"/>
      <c r="X47" s="8"/>
      <c r="Y47" s="8"/>
      <c r="Z47" s="8"/>
    </row>
    <row r="48">
      <c r="A48" s="7" t="s">
        <v>122</v>
      </c>
      <c r="B48" s="7" t="s">
        <v>123</v>
      </c>
      <c r="C48" s="7" t="s">
        <v>66</v>
      </c>
      <c r="D48" s="7">
        <v>4.25</v>
      </c>
      <c r="E48" s="8"/>
      <c r="F48" s="8"/>
      <c r="G48" s="8"/>
      <c r="H48" s="8"/>
      <c r="I48" s="8"/>
      <c r="J48" s="9"/>
      <c r="K48" s="8"/>
      <c r="L48" s="8"/>
      <c r="M48" s="8"/>
      <c r="N48" s="8"/>
      <c r="O48" s="8"/>
      <c r="P48" s="8"/>
      <c r="Q48" s="8"/>
      <c r="R48" s="8"/>
      <c r="S48" s="8"/>
      <c r="T48" s="8"/>
      <c r="U48" s="8"/>
      <c r="V48" s="8"/>
      <c r="W48" s="8"/>
      <c r="X48" s="8"/>
      <c r="Y48" s="8"/>
      <c r="Z48" s="8"/>
    </row>
    <row r="49">
      <c r="A49" s="7" t="s">
        <v>122</v>
      </c>
      <c r="B49" s="7" t="s">
        <v>124</v>
      </c>
      <c r="C49" s="7" t="s">
        <v>57</v>
      </c>
      <c r="D49" s="7">
        <v>9.0</v>
      </c>
      <c r="E49" s="8"/>
      <c r="F49" s="8"/>
      <c r="G49" s="8"/>
      <c r="H49" s="8"/>
      <c r="I49" s="8"/>
      <c r="J49" s="9"/>
      <c r="K49" s="8"/>
      <c r="L49" s="8"/>
      <c r="M49" s="8"/>
      <c r="N49" s="8"/>
      <c r="O49" s="8"/>
      <c r="P49" s="8"/>
      <c r="Q49" s="8"/>
      <c r="R49" s="8"/>
      <c r="S49" s="8"/>
      <c r="T49" s="8"/>
      <c r="U49" s="8"/>
      <c r="V49" s="8"/>
      <c r="W49" s="8"/>
      <c r="X49" s="8"/>
      <c r="Y49" s="8"/>
      <c r="Z49" s="8"/>
    </row>
    <row r="50">
      <c r="A50" s="7" t="s">
        <v>125</v>
      </c>
      <c r="B50" s="7" t="s">
        <v>126</v>
      </c>
      <c r="C50" s="7" t="s">
        <v>57</v>
      </c>
      <c r="D50" s="7">
        <v>4.25</v>
      </c>
      <c r="E50" s="8"/>
      <c r="F50" s="8"/>
      <c r="G50" s="8"/>
      <c r="H50" s="8"/>
      <c r="I50" s="8"/>
      <c r="J50" s="9"/>
      <c r="K50" s="8"/>
      <c r="L50" s="8"/>
      <c r="M50" s="8"/>
      <c r="N50" s="8"/>
      <c r="O50" s="8"/>
      <c r="P50" s="8"/>
      <c r="Q50" s="8"/>
      <c r="R50" s="8"/>
      <c r="S50" s="8"/>
      <c r="T50" s="8"/>
      <c r="U50" s="8"/>
      <c r="V50" s="8"/>
      <c r="W50" s="8"/>
      <c r="X50" s="8"/>
      <c r="Y50" s="8"/>
      <c r="Z50" s="8"/>
    </row>
    <row r="51">
      <c r="A51" s="7" t="s">
        <v>127</v>
      </c>
      <c r="B51" s="7" t="s">
        <v>128</v>
      </c>
      <c r="C51" s="7" t="s">
        <v>120</v>
      </c>
      <c r="D51" s="7">
        <v>8.5</v>
      </c>
      <c r="E51" s="8"/>
      <c r="F51" s="8"/>
      <c r="G51" s="8"/>
      <c r="H51" s="8"/>
      <c r="I51" s="8"/>
      <c r="J51" s="9"/>
      <c r="K51" s="8"/>
      <c r="L51" s="8"/>
      <c r="M51" s="8"/>
      <c r="N51" s="8"/>
      <c r="O51" s="8"/>
      <c r="P51" s="8"/>
      <c r="Q51" s="8"/>
      <c r="R51" s="8"/>
      <c r="S51" s="8"/>
      <c r="T51" s="8"/>
      <c r="U51" s="8"/>
      <c r="V51" s="8"/>
      <c r="W51" s="8"/>
      <c r="X51" s="8"/>
      <c r="Y51" s="8"/>
      <c r="Z51" s="8"/>
    </row>
    <row r="52">
      <c r="A52" s="7" t="s">
        <v>129</v>
      </c>
      <c r="B52" s="7" t="s">
        <v>130</v>
      </c>
      <c r="C52" s="7">
        <v>8.0</v>
      </c>
      <c r="D52" s="7">
        <v>9.0</v>
      </c>
      <c r="E52" s="8"/>
      <c r="F52" s="8"/>
      <c r="G52" s="8"/>
      <c r="H52" s="8"/>
      <c r="I52" s="8"/>
      <c r="J52" s="9"/>
      <c r="K52" s="8"/>
      <c r="L52" s="8"/>
      <c r="M52" s="8"/>
      <c r="N52" s="8"/>
      <c r="O52" s="8"/>
      <c r="P52" s="8"/>
      <c r="Q52" s="8"/>
      <c r="R52" s="8"/>
      <c r="S52" s="8"/>
      <c r="T52" s="8"/>
      <c r="U52" s="8"/>
      <c r="V52" s="8"/>
      <c r="W52" s="8"/>
      <c r="X52" s="8"/>
      <c r="Y52" s="8"/>
      <c r="Z52" s="8"/>
    </row>
    <row r="53">
      <c r="A53" s="7" t="s">
        <v>131</v>
      </c>
      <c r="B53" s="7" t="s">
        <v>132</v>
      </c>
      <c r="C53" s="7">
        <v>0.0</v>
      </c>
      <c r="D53" s="7">
        <v>10.0</v>
      </c>
      <c r="E53" s="8"/>
      <c r="F53" s="8"/>
      <c r="G53" s="8"/>
      <c r="H53" s="8"/>
      <c r="I53" s="8"/>
      <c r="J53" s="9"/>
      <c r="K53" s="8"/>
      <c r="L53" s="8"/>
      <c r="M53" s="8"/>
      <c r="N53" s="8"/>
      <c r="O53" s="8"/>
      <c r="P53" s="8"/>
      <c r="Q53" s="8"/>
      <c r="R53" s="8"/>
      <c r="S53" s="8"/>
      <c r="T53" s="8"/>
      <c r="U53" s="8"/>
      <c r="V53" s="8"/>
      <c r="W53" s="8"/>
      <c r="X53" s="8"/>
      <c r="Y53" s="8"/>
      <c r="Z53" s="8"/>
    </row>
    <row r="54">
      <c r="A54" s="7" t="s">
        <v>133</v>
      </c>
      <c r="B54" s="7" t="s">
        <v>59</v>
      </c>
      <c r="C54" s="7" t="s">
        <v>134</v>
      </c>
      <c r="D54" s="8"/>
      <c r="E54" s="8"/>
      <c r="F54" s="8"/>
      <c r="G54" s="8"/>
      <c r="H54" s="8"/>
      <c r="I54" s="8"/>
      <c r="J54" s="8"/>
      <c r="K54" s="8"/>
      <c r="L54" s="8"/>
      <c r="M54" s="8"/>
      <c r="N54" s="8"/>
      <c r="O54" s="8"/>
      <c r="P54" s="8"/>
      <c r="Q54" s="8"/>
      <c r="R54" s="8"/>
      <c r="S54" s="8"/>
      <c r="T54" s="8"/>
      <c r="U54" s="8"/>
      <c r="V54" s="8"/>
      <c r="W54" s="8"/>
      <c r="X54" s="8"/>
      <c r="Y54" s="8"/>
      <c r="Z54" s="8"/>
    </row>
    <row r="55">
      <c r="A55" s="7" t="s">
        <v>135</v>
      </c>
      <c r="B55" s="7" t="s">
        <v>136</v>
      </c>
      <c r="C55" s="7"/>
      <c r="D55" s="7">
        <v>3.5</v>
      </c>
      <c r="E55" s="8"/>
      <c r="F55" s="8"/>
      <c r="G55" s="8"/>
      <c r="H55" s="8"/>
      <c r="I55" s="8"/>
      <c r="J55" s="9"/>
      <c r="K55" s="8"/>
      <c r="L55" s="8"/>
      <c r="M55" s="8"/>
      <c r="N55" s="8"/>
      <c r="O55" s="8"/>
      <c r="P55" s="8"/>
      <c r="Q55" s="8"/>
      <c r="R55" s="8"/>
      <c r="S55" s="8"/>
      <c r="T55" s="8"/>
      <c r="U55" s="8"/>
      <c r="V55" s="8"/>
      <c r="W55" s="8"/>
      <c r="X55" s="8"/>
      <c r="Y55" s="8"/>
      <c r="Z55" s="8"/>
    </row>
    <row r="56">
      <c r="A56" s="10" t="s">
        <v>137</v>
      </c>
      <c r="B56" s="10" t="s">
        <v>138</v>
      </c>
      <c r="C56" s="10" t="s">
        <v>51</v>
      </c>
      <c r="D56" s="10">
        <v>5.0</v>
      </c>
      <c r="E56" s="11"/>
      <c r="F56" s="11"/>
      <c r="G56" s="10" t="s">
        <v>139</v>
      </c>
      <c r="H56" s="11"/>
      <c r="I56" s="11"/>
      <c r="J56" s="12"/>
      <c r="K56" s="11"/>
      <c r="L56" s="11"/>
      <c r="M56" s="11"/>
      <c r="N56" s="11"/>
      <c r="O56" s="11"/>
      <c r="P56" s="11"/>
      <c r="Q56" s="11"/>
      <c r="R56" s="11"/>
      <c r="S56" s="11"/>
      <c r="T56" s="11"/>
      <c r="U56" s="11"/>
      <c r="V56" s="11"/>
      <c r="W56" s="11"/>
      <c r="X56" s="11"/>
      <c r="Y56" s="11"/>
      <c r="Z56" s="11"/>
    </row>
    <row r="57">
      <c r="A57" s="7" t="s">
        <v>137</v>
      </c>
      <c r="B57" s="7" t="s">
        <v>140</v>
      </c>
      <c r="C57" s="7" t="s">
        <v>57</v>
      </c>
      <c r="D57" s="7">
        <v>5.5</v>
      </c>
      <c r="E57" s="8"/>
      <c r="F57" s="8"/>
      <c r="G57" s="7"/>
      <c r="H57" s="8"/>
      <c r="I57" s="8"/>
      <c r="J57" s="9"/>
      <c r="K57" s="8"/>
      <c r="L57" s="8"/>
      <c r="M57" s="8"/>
      <c r="N57" s="8"/>
      <c r="O57" s="8"/>
      <c r="P57" s="8"/>
      <c r="Q57" s="8"/>
      <c r="R57" s="8"/>
      <c r="S57" s="8"/>
      <c r="T57" s="8"/>
      <c r="U57" s="8"/>
      <c r="V57" s="8"/>
      <c r="W57" s="8"/>
      <c r="X57" s="8"/>
      <c r="Y57" s="8"/>
      <c r="Z57" s="8"/>
    </row>
    <row r="58">
      <c r="A58" s="7" t="s">
        <v>137</v>
      </c>
      <c r="B58" s="7" t="s">
        <v>141</v>
      </c>
      <c r="C58" s="7" t="s">
        <v>66</v>
      </c>
      <c r="D58" s="7">
        <v>6.0</v>
      </c>
      <c r="E58" s="8"/>
      <c r="F58" s="8"/>
      <c r="G58" s="8"/>
      <c r="H58" s="8"/>
      <c r="I58" s="8"/>
      <c r="J58" s="9"/>
      <c r="K58" s="8"/>
      <c r="L58" s="8"/>
      <c r="M58" s="8"/>
      <c r="N58" s="8"/>
      <c r="O58" s="8"/>
      <c r="P58" s="8"/>
      <c r="Q58" s="8"/>
      <c r="R58" s="8"/>
      <c r="S58" s="8"/>
      <c r="T58" s="8"/>
      <c r="U58" s="8"/>
      <c r="V58" s="8"/>
      <c r="W58" s="8"/>
      <c r="X58" s="8"/>
      <c r="Y58" s="8"/>
      <c r="Z58" s="8"/>
    </row>
    <row r="59">
      <c r="A59" s="7" t="s">
        <v>137</v>
      </c>
      <c r="B59" s="7" t="s">
        <v>142</v>
      </c>
      <c r="C59" s="7" t="s">
        <v>51</v>
      </c>
      <c r="D59" s="7">
        <v>10.0</v>
      </c>
      <c r="E59" s="8"/>
      <c r="F59" s="8"/>
      <c r="G59" s="8"/>
      <c r="H59" s="8"/>
      <c r="I59" s="8"/>
      <c r="J59" s="9"/>
      <c r="K59" s="8"/>
      <c r="L59" s="8"/>
      <c r="M59" s="8"/>
      <c r="N59" s="8"/>
      <c r="O59" s="8"/>
      <c r="P59" s="8"/>
      <c r="Q59" s="8"/>
      <c r="R59" s="8"/>
      <c r="S59" s="8"/>
      <c r="T59" s="8"/>
      <c r="U59" s="8"/>
      <c r="V59" s="8"/>
      <c r="W59" s="8"/>
      <c r="X59" s="8"/>
      <c r="Y59" s="8"/>
      <c r="Z59" s="8"/>
    </row>
    <row r="60">
      <c r="A60" s="7" t="s">
        <v>137</v>
      </c>
      <c r="B60" s="7" t="s">
        <v>143</v>
      </c>
      <c r="C60" s="7" t="s">
        <v>51</v>
      </c>
      <c r="D60" s="7">
        <v>7.3</v>
      </c>
      <c r="E60" s="8"/>
      <c r="F60" s="8"/>
      <c r="G60" s="8"/>
      <c r="H60" s="8"/>
      <c r="I60" s="8"/>
      <c r="J60" s="9"/>
      <c r="K60" s="8"/>
      <c r="L60" s="8"/>
      <c r="M60" s="8"/>
      <c r="N60" s="8"/>
      <c r="O60" s="8"/>
      <c r="P60" s="8"/>
      <c r="Q60" s="8"/>
      <c r="R60" s="8"/>
      <c r="S60" s="8"/>
      <c r="T60" s="8"/>
      <c r="U60" s="8"/>
      <c r="V60" s="8"/>
      <c r="W60" s="8"/>
      <c r="X60" s="8"/>
      <c r="Y60" s="8"/>
      <c r="Z60" s="8"/>
    </row>
    <row r="61">
      <c r="A61" s="7" t="s">
        <v>137</v>
      </c>
      <c r="B61" s="7" t="s">
        <v>144</v>
      </c>
      <c r="C61" s="13">
        <v>45879.0</v>
      </c>
      <c r="D61" s="7">
        <v>5.0</v>
      </c>
      <c r="E61" s="8"/>
      <c r="F61" s="8"/>
      <c r="G61" s="8"/>
      <c r="H61" s="8"/>
      <c r="I61" s="8"/>
      <c r="J61" s="9"/>
      <c r="K61" s="8"/>
      <c r="L61" s="8"/>
      <c r="M61" s="8"/>
      <c r="N61" s="8"/>
      <c r="O61" s="8"/>
      <c r="P61" s="8"/>
      <c r="Q61" s="8"/>
      <c r="R61" s="8"/>
      <c r="S61" s="8"/>
      <c r="T61" s="8"/>
      <c r="U61" s="8"/>
      <c r="V61" s="8"/>
      <c r="W61" s="8"/>
      <c r="X61" s="8"/>
      <c r="Y61" s="8"/>
      <c r="Z61" s="8"/>
    </row>
    <row r="62">
      <c r="A62" s="7" t="s">
        <v>137</v>
      </c>
      <c r="B62" s="7" t="s">
        <v>145</v>
      </c>
      <c r="C62" s="7" t="s">
        <v>51</v>
      </c>
      <c r="D62" s="7">
        <v>10.0</v>
      </c>
      <c r="E62" s="8"/>
      <c r="F62" s="8"/>
      <c r="G62" s="8"/>
      <c r="H62" s="8"/>
      <c r="I62" s="8"/>
      <c r="J62" s="9"/>
      <c r="K62" s="8"/>
      <c r="L62" s="8"/>
      <c r="M62" s="8"/>
      <c r="N62" s="8"/>
      <c r="O62" s="8"/>
      <c r="P62" s="8"/>
      <c r="Q62" s="8"/>
      <c r="R62" s="8"/>
      <c r="S62" s="8"/>
      <c r="T62" s="8"/>
      <c r="U62" s="8"/>
      <c r="V62" s="8"/>
      <c r="W62" s="8"/>
      <c r="X62" s="8"/>
      <c r="Y62" s="8"/>
      <c r="Z62" s="8"/>
    </row>
    <row r="63">
      <c r="A63" s="7" t="s">
        <v>137</v>
      </c>
      <c r="B63" s="7" t="s">
        <v>146</v>
      </c>
      <c r="C63" s="7" t="s">
        <v>66</v>
      </c>
      <c r="D63" s="7">
        <v>4.0</v>
      </c>
      <c r="E63" s="8"/>
      <c r="F63" s="8"/>
      <c r="G63" s="8"/>
      <c r="H63" s="8"/>
      <c r="I63" s="8"/>
      <c r="J63" s="9"/>
      <c r="K63" s="8"/>
      <c r="L63" s="8"/>
      <c r="M63" s="8"/>
      <c r="N63" s="8"/>
      <c r="O63" s="8"/>
      <c r="P63" s="8"/>
      <c r="Q63" s="8"/>
      <c r="R63" s="8"/>
      <c r="S63" s="8"/>
      <c r="T63" s="8"/>
      <c r="U63" s="8"/>
      <c r="V63" s="8"/>
      <c r="W63" s="8"/>
      <c r="X63" s="8"/>
      <c r="Y63" s="8"/>
      <c r="Z63" s="8"/>
    </row>
    <row r="64">
      <c r="A64" s="7" t="s">
        <v>147</v>
      </c>
      <c r="B64" s="7" t="s">
        <v>148</v>
      </c>
      <c r="C64" s="7">
        <v>8.0</v>
      </c>
      <c r="D64" s="7">
        <v>9.0</v>
      </c>
      <c r="E64" s="8"/>
      <c r="F64" s="8"/>
      <c r="G64" s="8"/>
      <c r="H64" s="8"/>
      <c r="I64" s="8"/>
      <c r="J64" s="9"/>
      <c r="K64" s="8"/>
      <c r="L64" s="8"/>
      <c r="M64" s="8"/>
      <c r="N64" s="8"/>
      <c r="O64" s="8"/>
      <c r="P64" s="8"/>
      <c r="Q64" s="8"/>
      <c r="R64" s="8"/>
      <c r="S64" s="8"/>
      <c r="T64" s="8"/>
      <c r="U64" s="8"/>
      <c r="V64" s="8"/>
      <c r="W64" s="8"/>
      <c r="X64" s="8"/>
      <c r="Y64" s="8"/>
      <c r="Z64" s="8"/>
    </row>
    <row r="65">
      <c r="A65" s="7" t="s">
        <v>149</v>
      </c>
      <c r="B65" s="7" t="s">
        <v>150</v>
      </c>
      <c r="C65" s="7"/>
      <c r="D65" s="7">
        <v>9.0</v>
      </c>
      <c r="E65" s="8"/>
      <c r="F65" s="8"/>
      <c r="G65" s="8"/>
      <c r="H65" s="8"/>
      <c r="I65" s="8"/>
      <c r="J65" s="9"/>
      <c r="K65" s="8"/>
      <c r="L65" s="8"/>
      <c r="M65" s="8"/>
      <c r="N65" s="8"/>
      <c r="O65" s="8"/>
      <c r="P65" s="8"/>
      <c r="Q65" s="8"/>
      <c r="R65" s="8"/>
      <c r="S65" s="8"/>
      <c r="T65" s="8"/>
      <c r="U65" s="8"/>
      <c r="V65" s="8"/>
      <c r="W65" s="8"/>
      <c r="X65" s="8"/>
      <c r="Y65" s="8"/>
      <c r="Z65" s="8"/>
    </row>
    <row r="66">
      <c r="A66" s="7" t="s">
        <v>151</v>
      </c>
      <c r="B66" s="7" t="s">
        <v>152</v>
      </c>
      <c r="C66" s="7"/>
      <c r="D66" s="7">
        <v>3.25</v>
      </c>
      <c r="E66" s="8"/>
      <c r="F66" s="8"/>
      <c r="G66" s="8"/>
      <c r="H66" s="8"/>
      <c r="I66" s="8"/>
      <c r="J66" s="9"/>
      <c r="K66" s="8"/>
      <c r="L66" s="8"/>
      <c r="M66" s="8"/>
      <c r="N66" s="8"/>
      <c r="O66" s="8"/>
      <c r="P66" s="8"/>
      <c r="Q66" s="8"/>
      <c r="R66" s="8"/>
      <c r="S66" s="8"/>
      <c r="T66" s="8"/>
      <c r="U66" s="8"/>
      <c r="V66" s="8"/>
      <c r="W66" s="8"/>
      <c r="X66" s="8"/>
      <c r="Y66" s="8"/>
      <c r="Z66" s="8"/>
    </row>
    <row r="67">
      <c r="A67" s="10" t="s">
        <v>153</v>
      </c>
      <c r="B67" s="10" t="s">
        <v>154</v>
      </c>
      <c r="C67" s="10" t="s">
        <v>51</v>
      </c>
      <c r="D67" s="10">
        <v>6.0</v>
      </c>
      <c r="E67" s="10"/>
      <c r="F67" s="10"/>
      <c r="G67" s="11"/>
      <c r="H67" s="10" t="s">
        <v>155</v>
      </c>
      <c r="I67" s="11"/>
      <c r="J67" s="12"/>
      <c r="K67" s="11"/>
      <c r="L67" s="11"/>
      <c r="M67" s="11"/>
      <c r="N67" s="11"/>
      <c r="O67" s="11"/>
      <c r="P67" s="11"/>
      <c r="Q67" s="11"/>
      <c r="R67" s="11"/>
      <c r="S67" s="11"/>
      <c r="T67" s="11"/>
      <c r="U67" s="11"/>
      <c r="V67" s="11"/>
      <c r="W67" s="11"/>
      <c r="X67" s="11"/>
      <c r="Y67" s="11"/>
      <c r="Z67" s="11"/>
    </row>
    <row r="68">
      <c r="A68" s="7" t="s">
        <v>153</v>
      </c>
      <c r="B68" s="7" t="s">
        <v>156</v>
      </c>
      <c r="C68" s="7" t="s">
        <v>66</v>
      </c>
      <c r="D68" s="7">
        <v>11.0</v>
      </c>
      <c r="E68" s="7"/>
      <c r="F68" s="7"/>
      <c r="G68" s="8"/>
      <c r="H68" s="8"/>
      <c r="I68" s="8"/>
      <c r="J68" s="9"/>
      <c r="K68" s="8"/>
      <c r="L68" s="8"/>
      <c r="M68" s="8"/>
      <c r="N68" s="8"/>
      <c r="O68" s="8"/>
      <c r="P68" s="8"/>
      <c r="Q68" s="8"/>
      <c r="R68" s="8"/>
      <c r="S68" s="8"/>
      <c r="T68" s="8"/>
      <c r="U68" s="8"/>
      <c r="V68" s="8"/>
      <c r="W68" s="8"/>
      <c r="X68" s="8"/>
      <c r="Y68" s="8"/>
      <c r="Z68" s="8"/>
    </row>
    <row r="69">
      <c r="A69" s="7" t="s">
        <v>153</v>
      </c>
      <c r="B69" s="7" t="s">
        <v>157</v>
      </c>
      <c r="C69" s="7" t="s">
        <v>51</v>
      </c>
      <c r="D69" s="7">
        <v>5.0</v>
      </c>
      <c r="E69" s="7"/>
      <c r="F69" s="7"/>
      <c r="G69" s="8"/>
      <c r="H69" s="8"/>
      <c r="I69" s="8"/>
      <c r="J69" s="9"/>
      <c r="K69" s="8"/>
      <c r="L69" s="8"/>
      <c r="M69" s="8"/>
      <c r="N69" s="8"/>
      <c r="O69" s="8"/>
      <c r="P69" s="8"/>
      <c r="Q69" s="8"/>
      <c r="R69" s="8"/>
      <c r="S69" s="8"/>
      <c r="T69" s="8"/>
      <c r="U69" s="8"/>
      <c r="V69" s="8"/>
      <c r="W69" s="8"/>
      <c r="X69" s="8"/>
      <c r="Y69" s="8"/>
      <c r="Z69" s="8"/>
    </row>
    <row r="70">
      <c r="A70" s="7" t="s">
        <v>153</v>
      </c>
      <c r="B70" s="7" t="s">
        <v>158</v>
      </c>
      <c r="C70" s="7" t="s">
        <v>66</v>
      </c>
      <c r="D70" s="7">
        <v>3.25</v>
      </c>
      <c r="E70" s="7"/>
      <c r="F70" s="7"/>
      <c r="G70" s="8"/>
      <c r="H70" s="8"/>
      <c r="I70" s="8"/>
      <c r="J70" s="9"/>
      <c r="K70" s="8"/>
      <c r="L70" s="8"/>
      <c r="M70" s="8"/>
      <c r="N70" s="8"/>
      <c r="O70" s="8"/>
      <c r="P70" s="8"/>
      <c r="Q70" s="8"/>
      <c r="R70" s="8"/>
      <c r="S70" s="8"/>
      <c r="T70" s="8"/>
      <c r="U70" s="8"/>
      <c r="V70" s="8"/>
      <c r="W70" s="8"/>
      <c r="X70" s="8"/>
      <c r="Y70" s="8"/>
      <c r="Z70" s="8"/>
    </row>
    <row r="71">
      <c r="A71" s="7" t="s">
        <v>153</v>
      </c>
      <c r="B71" s="7" t="s">
        <v>159</v>
      </c>
      <c r="C71" s="7" t="s">
        <v>51</v>
      </c>
      <c r="D71" s="7">
        <v>5.0</v>
      </c>
      <c r="E71" s="7"/>
      <c r="F71" s="7"/>
      <c r="G71" s="8"/>
      <c r="H71" s="8"/>
      <c r="I71" s="8"/>
      <c r="J71" s="9"/>
      <c r="K71" s="8"/>
      <c r="L71" s="8"/>
      <c r="M71" s="8"/>
      <c r="N71" s="8"/>
      <c r="O71" s="8"/>
      <c r="P71" s="8"/>
      <c r="Q71" s="8"/>
      <c r="R71" s="8"/>
      <c r="S71" s="8"/>
      <c r="T71" s="8"/>
      <c r="U71" s="8"/>
      <c r="V71" s="8"/>
      <c r="W71" s="8"/>
      <c r="X71" s="8"/>
      <c r="Y71" s="8"/>
      <c r="Z71" s="8"/>
    </row>
    <row r="72">
      <c r="A72" s="7" t="s">
        <v>153</v>
      </c>
      <c r="B72" s="7" t="s">
        <v>160</v>
      </c>
      <c r="C72" s="7" t="s">
        <v>57</v>
      </c>
      <c r="D72" s="7">
        <v>8.5</v>
      </c>
      <c r="E72" s="7"/>
      <c r="F72" s="7"/>
      <c r="G72" s="8"/>
      <c r="H72" s="8"/>
      <c r="I72" s="8"/>
      <c r="J72" s="9"/>
      <c r="K72" s="8"/>
      <c r="L72" s="8"/>
      <c r="M72" s="8"/>
      <c r="N72" s="8"/>
      <c r="O72" s="8"/>
      <c r="P72" s="8"/>
      <c r="Q72" s="8"/>
      <c r="R72" s="8"/>
      <c r="S72" s="8"/>
      <c r="T72" s="8"/>
      <c r="U72" s="8"/>
      <c r="V72" s="8"/>
      <c r="W72" s="8"/>
      <c r="X72" s="8"/>
      <c r="Y72" s="8"/>
      <c r="Z72" s="8"/>
    </row>
    <row r="73">
      <c r="A73" s="7" t="s">
        <v>153</v>
      </c>
      <c r="B73" s="7" t="s">
        <v>161</v>
      </c>
      <c r="C73" s="7" t="s">
        <v>57</v>
      </c>
      <c r="D73" s="7">
        <v>7.5</v>
      </c>
      <c r="E73" s="7"/>
      <c r="F73" s="7"/>
      <c r="G73" s="8"/>
      <c r="H73" s="8"/>
      <c r="I73" s="8"/>
      <c r="J73" s="9"/>
      <c r="K73" s="8"/>
      <c r="L73" s="8"/>
      <c r="M73" s="8"/>
      <c r="N73" s="8"/>
      <c r="O73" s="8"/>
      <c r="P73" s="8"/>
      <c r="Q73" s="8"/>
      <c r="R73" s="8"/>
      <c r="S73" s="8"/>
      <c r="T73" s="8"/>
      <c r="U73" s="8"/>
      <c r="V73" s="8"/>
      <c r="W73" s="8"/>
      <c r="X73" s="8"/>
      <c r="Y73" s="8"/>
      <c r="Z73" s="8"/>
    </row>
    <row r="74">
      <c r="A74" s="7" t="s">
        <v>153</v>
      </c>
      <c r="B74" s="7" t="s">
        <v>162</v>
      </c>
      <c r="C74" s="7" t="s">
        <v>57</v>
      </c>
      <c r="D74" s="7">
        <v>10.0</v>
      </c>
      <c r="E74" s="7"/>
      <c r="F74" s="7"/>
      <c r="G74" s="8"/>
      <c r="H74" s="8"/>
      <c r="I74" s="8"/>
      <c r="J74" s="9"/>
      <c r="K74" s="8"/>
      <c r="L74" s="8"/>
      <c r="M74" s="8"/>
      <c r="N74" s="8"/>
      <c r="O74" s="8"/>
      <c r="P74" s="8"/>
      <c r="Q74" s="8"/>
      <c r="R74" s="8"/>
      <c r="S74" s="8"/>
      <c r="T74" s="8"/>
      <c r="U74" s="8"/>
      <c r="V74" s="8"/>
      <c r="W74" s="8"/>
      <c r="X74" s="8"/>
      <c r="Y74" s="8"/>
      <c r="Z74" s="8"/>
    </row>
    <row r="75">
      <c r="A75" s="7" t="s">
        <v>153</v>
      </c>
      <c r="B75" s="7" t="s">
        <v>163</v>
      </c>
      <c r="C75" s="7" t="s">
        <v>95</v>
      </c>
      <c r="D75" s="7">
        <v>11.0</v>
      </c>
      <c r="E75" s="7"/>
      <c r="F75" s="7"/>
      <c r="G75" s="8"/>
      <c r="H75" s="8"/>
      <c r="I75" s="8"/>
      <c r="J75" s="9"/>
      <c r="K75" s="8"/>
      <c r="L75" s="8"/>
      <c r="M75" s="8"/>
      <c r="N75" s="8"/>
      <c r="O75" s="8"/>
      <c r="P75" s="8"/>
      <c r="Q75" s="8"/>
      <c r="R75" s="8"/>
      <c r="S75" s="8"/>
      <c r="T75" s="8"/>
      <c r="U75" s="8"/>
      <c r="V75" s="8"/>
      <c r="W75" s="8"/>
      <c r="X75" s="8"/>
      <c r="Y75" s="8"/>
      <c r="Z75" s="8"/>
    </row>
    <row r="76">
      <c r="A76" s="7" t="s">
        <v>153</v>
      </c>
      <c r="B76" s="7" t="s">
        <v>164</v>
      </c>
      <c r="C76" s="7" t="s">
        <v>57</v>
      </c>
      <c r="D76" s="7">
        <v>6.49</v>
      </c>
      <c r="E76" s="7"/>
      <c r="F76" s="7"/>
      <c r="G76" s="8"/>
      <c r="H76" s="8"/>
      <c r="I76" s="8"/>
      <c r="J76" s="9"/>
      <c r="K76" s="8"/>
      <c r="L76" s="8"/>
      <c r="M76" s="8"/>
      <c r="N76" s="8"/>
      <c r="O76" s="8"/>
      <c r="P76" s="8"/>
      <c r="Q76" s="8"/>
      <c r="R76" s="8"/>
      <c r="S76" s="8"/>
      <c r="T76" s="8"/>
      <c r="U76" s="8"/>
      <c r="V76" s="8"/>
      <c r="W76" s="8"/>
      <c r="X76" s="8"/>
      <c r="Y76" s="8"/>
      <c r="Z76" s="8"/>
    </row>
    <row r="77">
      <c r="A77" s="7" t="s">
        <v>153</v>
      </c>
      <c r="B77" s="7" t="s">
        <v>165</v>
      </c>
      <c r="C77" s="7" t="s">
        <v>66</v>
      </c>
      <c r="D77" s="7">
        <v>6.5</v>
      </c>
      <c r="E77" s="7"/>
      <c r="F77" s="7"/>
      <c r="G77" s="8"/>
      <c r="H77" s="8"/>
      <c r="I77" s="8"/>
      <c r="J77" s="9"/>
      <c r="K77" s="8"/>
      <c r="L77" s="8"/>
      <c r="M77" s="8"/>
      <c r="N77" s="8"/>
      <c r="O77" s="8"/>
      <c r="P77" s="8"/>
      <c r="Q77" s="8"/>
      <c r="R77" s="8"/>
      <c r="S77" s="8"/>
      <c r="T77" s="8"/>
      <c r="U77" s="8"/>
      <c r="V77" s="8"/>
      <c r="W77" s="8"/>
      <c r="X77" s="8"/>
      <c r="Y77" s="8"/>
      <c r="Z77" s="8"/>
    </row>
    <row r="78">
      <c r="A78" s="7" t="s">
        <v>153</v>
      </c>
      <c r="B78" s="7" t="s">
        <v>166</v>
      </c>
      <c r="C78" s="7" t="s">
        <v>57</v>
      </c>
      <c r="D78" s="7">
        <v>5.0</v>
      </c>
      <c r="E78" s="7"/>
      <c r="F78" s="7"/>
      <c r="G78" s="8"/>
      <c r="H78" s="8"/>
      <c r="I78" s="8"/>
      <c r="J78" s="9"/>
      <c r="K78" s="8"/>
      <c r="L78" s="8"/>
      <c r="M78" s="8"/>
      <c r="N78" s="8"/>
      <c r="O78" s="8"/>
      <c r="P78" s="8"/>
      <c r="Q78" s="8"/>
      <c r="R78" s="8"/>
      <c r="S78" s="8"/>
      <c r="T78" s="8"/>
      <c r="U78" s="8"/>
      <c r="V78" s="8"/>
      <c r="W78" s="8"/>
      <c r="X78" s="8"/>
      <c r="Y78" s="8"/>
      <c r="Z78" s="8"/>
    </row>
    <row r="79">
      <c r="A79" s="7" t="s">
        <v>153</v>
      </c>
      <c r="B79" s="7" t="s">
        <v>167</v>
      </c>
      <c r="C79" s="7" t="s">
        <v>66</v>
      </c>
      <c r="D79" s="7">
        <v>6.0</v>
      </c>
      <c r="E79" s="7"/>
      <c r="F79" s="7"/>
      <c r="G79" s="8"/>
      <c r="H79" s="8"/>
      <c r="I79" s="8"/>
      <c r="J79" s="9"/>
      <c r="K79" s="8"/>
      <c r="L79" s="8"/>
      <c r="M79" s="8"/>
      <c r="N79" s="8"/>
      <c r="O79" s="8"/>
      <c r="P79" s="8"/>
      <c r="Q79" s="8"/>
      <c r="R79" s="8"/>
      <c r="S79" s="8"/>
      <c r="T79" s="8"/>
      <c r="U79" s="8"/>
      <c r="V79" s="8"/>
      <c r="W79" s="8"/>
      <c r="X79" s="8"/>
      <c r="Y79" s="8"/>
      <c r="Z79" s="8"/>
    </row>
    <row r="80">
      <c r="A80" s="7" t="s">
        <v>153</v>
      </c>
      <c r="B80" s="7" t="s">
        <v>168</v>
      </c>
      <c r="C80" s="7" t="s">
        <v>57</v>
      </c>
      <c r="D80" s="7">
        <v>7.0</v>
      </c>
      <c r="E80" s="7"/>
      <c r="F80" s="7"/>
      <c r="G80" s="8"/>
      <c r="H80" s="8"/>
      <c r="I80" s="8"/>
      <c r="J80" s="9"/>
      <c r="K80" s="8"/>
      <c r="L80" s="8"/>
      <c r="M80" s="8"/>
      <c r="N80" s="8"/>
      <c r="O80" s="8"/>
      <c r="P80" s="8"/>
      <c r="Q80" s="8"/>
      <c r="R80" s="8"/>
      <c r="S80" s="8"/>
      <c r="T80" s="8"/>
      <c r="U80" s="8"/>
      <c r="V80" s="8"/>
      <c r="W80" s="8"/>
      <c r="X80" s="8"/>
      <c r="Y80" s="8"/>
      <c r="Z80" s="8"/>
    </row>
    <row r="81">
      <c r="A81" s="7" t="s">
        <v>153</v>
      </c>
      <c r="B81" s="7" t="s">
        <v>169</v>
      </c>
      <c r="C81" s="7" t="s">
        <v>170</v>
      </c>
      <c r="D81" s="7">
        <v>9.0</v>
      </c>
      <c r="E81" s="7"/>
      <c r="F81" s="7"/>
      <c r="G81" s="8"/>
      <c r="H81" s="8"/>
      <c r="I81" s="8"/>
      <c r="J81" s="9"/>
      <c r="K81" s="8"/>
      <c r="L81" s="8"/>
      <c r="M81" s="8"/>
      <c r="N81" s="8"/>
      <c r="O81" s="8"/>
      <c r="P81" s="8"/>
      <c r="Q81" s="8"/>
      <c r="R81" s="8"/>
      <c r="S81" s="8"/>
      <c r="T81" s="8"/>
      <c r="U81" s="8"/>
      <c r="V81" s="8"/>
      <c r="W81" s="8"/>
      <c r="X81" s="8"/>
      <c r="Y81" s="8"/>
      <c r="Z81" s="8"/>
    </row>
    <row r="82">
      <c r="A82" s="7" t="s">
        <v>153</v>
      </c>
      <c r="B82" s="7" t="s">
        <v>171</v>
      </c>
      <c r="C82" s="7" t="s">
        <v>51</v>
      </c>
      <c r="D82" s="7">
        <v>3.65</v>
      </c>
      <c r="E82" s="7"/>
      <c r="F82" s="7"/>
      <c r="G82" s="8"/>
      <c r="H82" s="8"/>
      <c r="I82" s="8"/>
      <c r="J82" s="9"/>
      <c r="K82" s="8"/>
      <c r="L82" s="8"/>
      <c r="M82" s="8"/>
      <c r="N82" s="8"/>
      <c r="O82" s="8"/>
      <c r="P82" s="8"/>
      <c r="Q82" s="8"/>
      <c r="R82" s="8"/>
      <c r="S82" s="8"/>
      <c r="T82" s="8"/>
      <c r="U82" s="8"/>
      <c r="V82" s="8"/>
      <c r="W82" s="8"/>
      <c r="X82" s="8"/>
      <c r="Y82" s="8"/>
      <c r="Z82" s="8"/>
    </row>
    <row r="83">
      <c r="A83" s="7" t="s">
        <v>153</v>
      </c>
      <c r="B83" s="7" t="s">
        <v>172</v>
      </c>
      <c r="C83" s="7">
        <v>6.0</v>
      </c>
      <c r="D83" s="7">
        <v>4.0</v>
      </c>
      <c r="E83" s="7"/>
      <c r="F83" s="7"/>
      <c r="G83" s="8"/>
      <c r="H83" s="8"/>
      <c r="I83" s="8"/>
      <c r="J83" s="9"/>
      <c r="K83" s="8"/>
      <c r="L83" s="8"/>
      <c r="M83" s="8"/>
      <c r="N83" s="8"/>
      <c r="O83" s="8"/>
      <c r="P83" s="8"/>
      <c r="Q83" s="8"/>
      <c r="R83" s="8"/>
      <c r="S83" s="8"/>
      <c r="T83" s="8"/>
      <c r="U83" s="8"/>
      <c r="V83" s="8"/>
      <c r="W83" s="8"/>
      <c r="X83" s="8"/>
      <c r="Y83" s="8"/>
      <c r="Z83" s="8"/>
    </row>
    <row r="84">
      <c r="A84" s="7" t="s">
        <v>153</v>
      </c>
      <c r="B84" s="7" t="s">
        <v>173</v>
      </c>
      <c r="C84" s="7" t="s">
        <v>51</v>
      </c>
      <c r="D84" s="7">
        <v>3.0</v>
      </c>
      <c r="E84" s="7"/>
      <c r="F84" s="7"/>
      <c r="G84" s="8"/>
      <c r="H84" s="8"/>
      <c r="I84" s="8"/>
      <c r="J84" s="9"/>
      <c r="K84" s="8"/>
      <c r="L84" s="8"/>
      <c r="M84" s="8"/>
      <c r="N84" s="8"/>
      <c r="O84" s="8"/>
      <c r="P84" s="8"/>
      <c r="Q84" s="8"/>
      <c r="R84" s="8"/>
      <c r="S84" s="8"/>
      <c r="T84" s="8"/>
      <c r="U84" s="8"/>
      <c r="V84" s="8"/>
      <c r="W84" s="8"/>
      <c r="X84" s="8"/>
      <c r="Y84" s="8"/>
      <c r="Z84" s="8"/>
    </row>
    <row r="85">
      <c r="A85" s="7" t="s">
        <v>153</v>
      </c>
      <c r="B85" s="7" t="s">
        <v>174</v>
      </c>
      <c r="C85" s="7" t="s">
        <v>51</v>
      </c>
      <c r="D85" s="7">
        <v>8.5</v>
      </c>
      <c r="E85" s="7"/>
      <c r="F85" s="7"/>
      <c r="G85" s="8"/>
      <c r="H85" s="8"/>
      <c r="I85" s="8"/>
      <c r="J85" s="9"/>
      <c r="K85" s="8"/>
      <c r="L85" s="8"/>
      <c r="M85" s="8"/>
      <c r="N85" s="8"/>
      <c r="O85" s="8"/>
      <c r="P85" s="8"/>
      <c r="Q85" s="8"/>
      <c r="R85" s="8"/>
      <c r="S85" s="8"/>
      <c r="T85" s="8"/>
      <c r="U85" s="8"/>
      <c r="V85" s="8"/>
      <c r="W85" s="8"/>
      <c r="X85" s="8"/>
      <c r="Y85" s="8"/>
      <c r="Z85" s="8"/>
    </row>
    <row r="86">
      <c r="A86" s="7" t="s">
        <v>153</v>
      </c>
      <c r="B86" s="7" t="s">
        <v>175</v>
      </c>
      <c r="C86" s="7" t="s">
        <v>57</v>
      </c>
      <c r="D86" s="7">
        <v>7.3</v>
      </c>
      <c r="E86" s="7"/>
      <c r="F86" s="7"/>
      <c r="G86" s="8"/>
      <c r="H86" s="8"/>
      <c r="I86" s="8"/>
      <c r="J86" s="9"/>
      <c r="K86" s="8"/>
      <c r="L86" s="8"/>
      <c r="M86" s="8"/>
      <c r="N86" s="8"/>
      <c r="O86" s="8"/>
      <c r="P86" s="8"/>
      <c r="Q86" s="8"/>
      <c r="R86" s="8"/>
      <c r="S86" s="8"/>
      <c r="T86" s="8"/>
      <c r="U86" s="8"/>
      <c r="V86" s="8"/>
      <c r="W86" s="8"/>
      <c r="X86" s="8"/>
      <c r="Y86" s="8"/>
      <c r="Z86" s="8"/>
    </row>
    <row r="87">
      <c r="A87" s="7" t="s">
        <v>153</v>
      </c>
      <c r="B87" s="7" t="s">
        <v>176</v>
      </c>
      <c r="C87" s="7" t="s">
        <v>66</v>
      </c>
      <c r="D87" s="7">
        <v>10.0</v>
      </c>
      <c r="E87" s="8"/>
      <c r="F87" s="8"/>
      <c r="G87" s="8"/>
      <c r="H87" s="8"/>
      <c r="I87" s="8"/>
      <c r="J87" s="9"/>
      <c r="K87" s="8"/>
      <c r="L87" s="8"/>
      <c r="M87" s="8"/>
      <c r="N87" s="8"/>
      <c r="O87" s="8"/>
      <c r="P87" s="8"/>
      <c r="Q87" s="8"/>
      <c r="R87" s="8"/>
      <c r="S87" s="8"/>
      <c r="T87" s="8"/>
      <c r="U87" s="8"/>
      <c r="V87" s="8"/>
      <c r="W87" s="8"/>
      <c r="X87" s="8"/>
      <c r="Y87" s="8"/>
      <c r="Z87" s="8"/>
    </row>
    <row r="88">
      <c r="A88" s="7" t="s">
        <v>153</v>
      </c>
      <c r="B88" s="7" t="s">
        <v>177</v>
      </c>
      <c r="C88" s="7" t="s">
        <v>51</v>
      </c>
      <c r="D88" s="7">
        <v>10.0</v>
      </c>
      <c r="E88" s="8"/>
      <c r="F88" s="8"/>
      <c r="G88" s="8"/>
      <c r="H88" s="8"/>
      <c r="I88" s="8"/>
      <c r="J88" s="9"/>
      <c r="K88" s="8"/>
      <c r="L88" s="8"/>
      <c r="M88" s="8"/>
      <c r="N88" s="8"/>
      <c r="O88" s="8"/>
      <c r="P88" s="8"/>
      <c r="Q88" s="8"/>
      <c r="R88" s="8"/>
      <c r="S88" s="8"/>
      <c r="T88" s="8"/>
      <c r="U88" s="8"/>
      <c r="V88" s="8"/>
      <c r="W88" s="8"/>
      <c r="X88" s="8"/>
      <c r="Y88" s="8"/>
      <c r="Z88" s="8"/>
    </row>
    <row r="89">
      <c r="A89" s="7" t="s">
        <v>153</v>
      </c>
      <c r="B89" s="7" t="s">
        <v>178</v>
      </c>
      <c r="C89" s="7" t="s">
        <v>51</v>
      </c>
      <c r="D89" s="7">
        <v>10.0</v>
      </c>
      <c r="E89" s="8"/>
      <c r="F89" s="8"/>
      <c r="G89" s="8"/>
      <c r="H89" s="8"/>
      <c r="I89" s="8"/>
      <c r="J89" s="9"/>
      <c r="K89" s="8"/>
      <c r="L89" s="8"/>
      <c r="M89" s="8"/>
      <c r="N89" s="8"/>
      <c r="O89" s="8"/>
      <c r="P89" s="8"/>
      <c r="Q89" s="8"/>
      <c r="R89" s="8"/>
      <c r="S89" s="8"/>
      <c r="T89" s="8"/>
      <c r="U89" s="8"/>
      <c r="V89" s="8"/>
      <c r="W89" s="8"/>
      <c r="X89" s="8"/>
      <c r="Y89" s="8"/>
      <c r="Z89" s="8"/>
    </row>
    <row r="90">
      <c r="A90" s="7" t="s">
        <v>153</v>
      </c>
      <c r="B90" s="7" t="s">
        <v>179</v>
      </c>
      <c r="C90" s="7" t="s">
        <v>51</v>
      </c>
      <c r="D90" s="7">
        <v>9.0</v>
      </c>
      <c r="E90" s="8"/>
      <c r="F90" s="8"/>
      <c r="G90" s="8"/>
      <c r="H90" s="8"/>
      <c r="I90" s="8"/>
      <c r="J90" s="9"/>
      <c r="K90" s="8"/>
      <c r="L90" s="8"/>
      <c r="M90" s="8"/>
      <c r="N90" s="8"/>
      <c r="O90" s="8"/>
      <c r="P90" s="8"/>
      <c r="Q90" s="8"/>
      <c r="R90" s="8"/>
      <c r="S90" s="8"/>
      <c r="T90" s="8"/>
      <c r="U90" s="8"/>
      <c r="V90" s="8"/>
      <c r="W90" s="8"/>
      <c r="X90" s="8"/>
      <c r="Y90" s="8"/>
      <c r="Z90" s="8"/>
    </row>
    <row r="91">
      <c r="A91" s="7" t="s">
        <v>153</v>
      </c>
      <c r="B91" s="7" t="s">
        <v>180</v>
      </c>
      <c r="C91" s="7" t="s">
        <v>51</v>
      </c>
      <c r="D91" s="7">
        <v>7.0</v>
      </c>
      <c r="E91" s="8"/>
      <c r="F91" s="8"/>
      <c r="G91" s="8"/>
      <c r="H91" s="8"/>
      <c r="I91" s="8"/>
      <c r="J91" s="9"/>
      <c r="K91" s="8"/>
      <c r="L91" s="8"/>
      <c r="M91" s="8"/>
      <c r="N91" s="8"/>
      <c r="O91" s="8"/>
      <c r="P91" s="8"/>
      <c r="Q91" s="8"/>
      <c r="R91" s="8"/>
      <c r="S91" s="8"/>
      <c r="T91" s="8"/>
      <c r="U91" s="8"/>
      <c r="V91" s="8"/>
      <c r="W91" s="8"/>
      <c r="X91" s="8"/>
      <c r="Y91" s="8"/>
      <c r="Z91" s="8"/>
    </row>
    <row r="92">
      <c r="A92" s="7" t="s">
        <v>153</v>
      </c>
      <c r="B92" s="7" t="s">
        <v>181</v>
      </c>
      <c r="C92" s="7">
        <v>4.0</v>
      </c>
      <c r="D92" s="7">
        <v>6.0</v>
      </c>
      <c r="E92" s="8"/>
      <c r="F92" s="8"/>
      <c r="G92" s="8"/>
      <c r="H92" s="8"/>
      <c r="I92" s="8"/>
      <c r="J92" s="9"/>
      <c r="K92" s="8"/>
      <c r="L92" s="8"/>
      <c r="M92" s="8"/>
      <c r="N92" s="8"/>
      <c r="O92" s="8"/>
      <c r="P92" s="8"/>
      <c r="Q92" s="8"/>
      <c r="R92" s="8"/>
      <c r="S92" s="8"/>
      <c r="T92" s="8"/>
      <c r="U92" s="8"/>
      <c r="V92" s="8"/>
      <c r="W92" s="8"/>
      <c r="X92" s="8"/>
      <c r="Y92" s="8"/>
      <c r="Z92" s="8"/>
    </row>
    <row r="93">
      <c r="A93" s="7" t="s">
        <v>153</v>
      </c>
      <c r="B93" s="7" t="s">
        <v>182</v>
      </c>
      <c r="C93" s="7" t="s">
        <v>183</v>
      </c>
      <c r="D93" s="7"/>
      <c r="E93" s="8"/>
      <c r="F93" s="7" t="s">
        <v>184</v>
      </c>
      <c r="G93" s="8"/>
      <c r="H93" s="8"/>
      <c r="I93" s="8"/>
      <c r="J93" s="9"/>
      <c r="K93" s="8"/>
      <c r="L93" s="8"/>
      <c r="M93" s="8"/>
      <c r="N93" s="8"/>
      <c r="O93" s="8"/>
      <c r="P93" s="8"/>
      <c r="Q93" s="8"/>
      <c r="R93" s="8"/>
      <c r="S93" s="8"/>
      <c r="T93" s="8"/>
      <c r="U93" s="8"/>
      <c r="V93" s="8"/>
      <c r="W93" s="8"/>
      <c r="X93" s="8"/>
      <c r="Y93" s="8"/>
      <c r="Z93" s="8"/>
    </row>
    <row r="94">
      <c r="A94" s="7" t="s">
        <v>153</v>
      </c>
      <c r="B94" s="7" t="s">
        <v>185</v>
      </c>
      <c r="C94" s="7" t="s">
        <v>66</v>
      </c>
      <c r="D94" s="7">
        <v>8.5</v>
      </c>
      <c r="E94" s="8"/>
      <c r="F94" s="8"/>
      <c r="G94" s="8"/>
      <c r="H94" s="8"/>
      <c r="I94" s="8"/>
      <c r="J94" s="9"/>
      <c r="K94" s="8"/>
      <c r="L94" s="8"/>
      <c r="M94" s="8"/>
      <c r="N94" s="8"/>
      <c r="O94" s="8"/>
      <c r="P94" s="8"/>
      <c r="Q94" s="8"/>
      <c r="R94" s="8"/>
      <c r="S94" s="8"/>
      <c r="T94" s="8"/>
      <c r="U94" s="8"/>
      <c r="V94" s="8"/>
      <c r="W94" s="8"/>
      <c r="X94" s="8"/>
      <c r="Y94" s="8"/>
      <c r="Z94" s="8"/>
    </row>
    <row r="95">
      <c r="A95" s="7" t="s">
        <v>153</v>
      </c>
      <c r="B95" s="7" t="s">
        <v>186</v>
      </c>
      <c r="C95" s="7" t="s">
        <v>51</v>
      </c>
      <c r="D95" s="7">
        <v>5.0</v>
      </c>
      <c r="E95" s="8"/>
      <c r="F95" s="8"/>
      <c r="G95" s="8"/>
      <c r="H95" s="8"/>
      <c r="I95" s="8"/>
      <c r="J95" s="9"/>
      <c r="K95" s="8"/>
      <c r="L95" s="8"/>
      <c r="M95" s="8"/>
      <c r="N95" s="8"/>
      <c r="O95" s="8"/>
      <c r="P95" s="8"/>
      <c r="Q95" s="8"/>
      <c r="R95" s="8"/>
      <c r="S95" s="8"/>
      <c r="T95" s="8"/>
      <c r="U95" s="8"/>
      <c r="V95" s="8"/>
      <c r="W95" s="8"/>
      <c r="X95" s="8"/>
      <c r="Y95" s="8"/>
      <c r="Z95" s="8"/>
    </row>
    <row r="96">
      <c r="A96" s="10" t="s">
        <v>187</v>
      </c>
      <c r="B96" s="10" t="s">
        <v>188</v>
      </c>
      <c r="C96" s="10">
        <v>2.0</v>
      </c>
      <c r="D96" s="10"/>
      <c r="E96" s="11"/>
      <c r="F96" s="11"/>
      <c r="G96" s="11"/>
      <c r="H96" s="10" t="s">
        <v>189</v>
      </c>
      <c r="I96" s="11"/>
      <c r="J96" s="12"/>
      <c r="K96" s="11"/>
      <c r="L96" s="11"/>
      <c r="M96" s="11"/>
      <c r="N96" s="11"/>
      <c r="O96" s="11"/>
      <c r="P96" s="11"/>
      <c r="Q96" s="11"/>
      <c r="R96" s="11"/>
      <c r="S96" s="11"/>
      <c r="T96" s="11"/>
      <c r="U96" s="11"/>
      <c r="V96" s="11"/>
      <c r="W96" s="11"/>
      <c r="X96" s="11"/>
      <c r="Y96" s="11"/>
      <c r="Z96" s="11"/>
    </row>
    <row r="97">
      <c r="A97" s="7" t="s">
        <v>187</v>
      </c>
      <c r="B97" s="7" t="s">
        <v>190</v>
      </c>
      <c r="C97" s="7" t="s">
        <v>51</v>
      </c>
      <c r="D97" s="7">
        <v>10.0</v>
      </c>
      <c r="E97" s="8"/>
      <c r="F97" s="8"/>
      <c r="G97" s="8"/>
      <c r="H97" s="7"/>
      <c r="I97" s="8"/>
      <c r="J97" s="9"/>
      <c r="K97" s="8"/>
      <c r="L97" s="8"/>
      <c r="M97" s="8"/>
      <c r="N97" s="8"/>
      <c r="O97" s="8"/>
      <c r="P97" s="8"/>
      <c r="Q97" s="8"/>
      <c r="R97" s="8"/>
      <c r="S97" s="8"/>
      <c r="T97" s="8"/>
      <c r="U97" s="8"/>
      <c r="V97" s="8"/>
      <c r="W97" s="8"/>
      <c r="X97" s="8"/>
      <c r="Y97" s="8"/>
      <c r="Z97" s="8"/>
    </row>
    <row r="98">
      <c r="A98" s="7" t="s">
        <v>187</v>
      </c>
      <c r="B98" s="7" t="s">
        <v>191</v>
      </c>
      <c r="C98" s="7" t="s">
        <v>66</v>
      </c>
      <c r="D98" s="7">
        <v>9.0</v>
      </c>
      <c r="E98" s="8"/>
      <c r="F98" s="8"/>
      <c r="G98" s="8"/>
      <c r="H98" s="8"/>
      <c r="I98" s="8"/>
      <c r="J98" s="9"/>
      <c r="K98" s="8"/>
      <c r="L98" s="8"/>
      <c r="M98" s="8"/>
      <c r="N98" s="8"/>
      <c r="O98" s="8"/>
      <c r="P98" s="8"/>
      <c r="Q98" s="8"/>
      <c r="R98" s="8"/>
      <c r="S98" s="8"/>
      <c r="T98" s="8"/>
      <c r="U98" s="8"/>
      <c r="V98" s="8"/>
      <c r="W98" s="8"/>
      <c r="X98" s="8"/>
      <c r="Y98" s="8"/>
      <c r="Z98" s="8"/>
    </row>
    <row r="99">
      <c r="A99" s="10" t="s">
        <v>187</v>
      </c>
      <c r="B99" s="10" t="s">
        <v>192</v>
      </c>
      <c r="C99" s="10" t="s">
        <v>51</v>
      </c>
      <c r="D99" s="10"/>
      <c r="E99" s="11"/>
      <c r="F99" s="11"/>
      <c r="G99" s="11"/>
      <c r="H99" s="10" t="s">
        <v>155</v>
      </c>
      <c r="I99" s="11"/>
      <c r="J99" s="12"/>
      <c r="K99" s="11"/>
      <c r="L99" s="11"/>
      <c r="M99" s="11"/>
      <c r="N99" s="11"/>
      <c r="O99" s="11"/>
      <c r="P99" s="11"/>
      <c r="Q99" s="11"/>
      <c r="R99" s="11"/>
      <c r="S99" s="11"/>
      <c r="T99" s="11"/>
      <c r="U99" s="11"/>
      <c r="V99" s="11"/>
      <c r="W99" s="11"/>
      <c r="X99" s="11"/>
      <c r="Y99" s="11"/>
      <c r="Z99" s="11"/>
    </row>
    <row r="100">
      <c r="A100" s="14" t="s">
        <v>187</v>
      </c>
      <c r="B100" s="14" t="s">
        <v>193</v>
      </c>
      <c r="C100" s="14">
        <v>4.0</v>
      </c>
      <c r="D100" s="14"/>
      <c r="E100" s="15"/>
      <c r="F100" s="15"/>
      <c r="G100" s="15"/>
      <c r="H100" s="15"/>
      <c r="I100" s="15"/>
      <c r="J100" s="16"/>
      <c r="K100" s="15"/>
      <c r="L100" s="15"/>
      <c r="M100" s="15"/>
      <c r="N100" s="15"/>
      <c r="O100" s="15"/>
      <c r="P100" s="15"/>
      <c r="Q100" s="15"/>
      <c r="R100" s="15"/>
      <c r="S100" s="15"/>
      <c r="T100" s="15"/>
      <c r="U100" s="15"/>
      <c r="V100" s="15"/>
      <c r="W100" s="15"/>
      <c r="X100" s="15"/>
      <c r="Y100" s="15"/>
      <c r="Z100" s="15"/>
    </row>
    <row r="101">
      <c r="A101" s="14" t="s">
        <v>187</v>
      </c>
      <c r="B101" s="14" t="s">
        <v>194</v>
      </c>
      <c r="C101" s="14">
        <v>28.0</v>
      </c>
      <c r="D101" s="14"/>
      <c r="E101" s="15"/>
      <c r="F101" s="15"/>
      <c r="G101" s="15"/>
      <c r="H101" s="15"/>
      <c r="I101" s="15"/>
      <c r="J101" s="16"/>
      <c r="K101" s="15"/>
      <c r="L101" s="15"/>
      <c r="M101" s="15"/>
      <c r="N101" s="15"/>
      <c r="O101" s="15"/>
      <c r="P101" s="15"/>
      <c r="Q101" s="15"/>
      <c r="R101" s="15"/>
      <c r="S101" s="15"/>
      <c r="T101" s="15"/>
      <c r="U101" s="15"/>
      <c r="V101" s="15"/>
      <c r="W101" s="15"/>
      <c r="X101" s="15"/>
      <c r="Y101" s="15"/>
      <c r="Z101" s="15"/>
    </row>
    <row r="102">
      <c r="A102" s="7" t="s">
        <v>195</v>
      </c>
      <c r="B102" s="7" t="s">
        <v>196</v>
      </c>
      <c r="C102" s="7" t="s">
        <v>51</v>
      </c>
      <c r="D102" s="7">
        <v>5.5</v>
      </c>
      <c r="E102" s="8"/>
      <c r="F102" s="8"/>
      <c r="G102" s="8"/>
      <c r="H102" s="7"/>
      <c r="I102" s="8"/>
      <c r="J102" s="9"/>
      <c r="K102" s="8"/>
      <c r="L102" s="8"/>
      <c r="M102" s="8"/>
      <c r="N102" s="8"/>
      <c r="O102" s="8"/>
      <c r="P102" s="8"/>
      <c r="Q102" s="8"/>
      <c r="R102" s="8"/>
      <c r="S102" s="8"/>
      <c r="T102" s="8"/>
      <c r="U102" s="8"/>
      <c r="V102" s="8"/>
      <c r="W102" s="8"/>
      <c r="X102" s="8"/>
      <c r="Y102" s="8"/>
      <c r="Z102" s="8"/>
    </row>
    <row r="103">
      <c r="A103" s="10" t="s">
        <v>197</v>
      </c>
      <c r="B103" s="10" t="s">
        <v>198</v>
      </c>
      <c r="C103" s="10" t="s">
        <v>120</v>
      </c>
      <c r="D103" s="10">
        <v>6.5</v>
      </c>
      <c r="E103" s="11"/>
      <c r="F103" s="11"/>
      <c r="G103" s="10" t="s">
        <v>199</v>
      </c>
      <c r="H103" s="10"/>
      <c r="I103" s="11"/>
      <c r="J103" s="12"/>
      <c r="K103" s="11"/>
      <c r="L103" s="11"/>
      <c r="M103" s="11"/>
      <c r="N103" s="11"/>
      <c r="O103" s="11"/>
      <c r="P103" s="11"/>
      <c r="Q103" s="11"/>
      <c r="R103" s="11"/>
      <c r="S103" s="11"/>
      <c r="T103" s="11"/>
      <c r="U103" s="11"/>
      <c r="V103" s="11"/>
      <c r="W103" s="11"/>
      <c r="X103" s="11"/>
      <c r="Y103" s="11"/>
      <c r="Z103" s="11"/>
    </row>
    <row r="104">
      <c r="A104" s="7" t="s">
        <v>197</v>
      </c>
      <c r="B104" s="7" t="s">
        <v>200</v>
      </c>
      <c r="C104" s="7" t="s">
        <v>51</v>
      </c>
      <c r="D104" s="7">
        <v>7.0</v>
      </c>
      <c r="E104" s="8"/>
      <c r="F104" s="8"/>
      <c r="G104" s="8"/>
      <c r="H104" s="7"/>
      <c r="I104" s="8"/>
      <c r="J104" s="9"/>
      <c r="K104" s="8"/>
      <c r="L104" s="8"/>
      <c r="M104" s="8"/>
      <c r="N104" s="8"/>
      <c r="O104" s="8"/>
      <c r="P104" s="8"/>
      <c r="Q104" s="8"/>
      <c r="R104" s="8"/>
      <c r="S104" s="8"/>
      <c r="T104" s="8"/>
      <c r="U104" s="8"/>
      <c r="V104" s="8"/>
      <c r="W104" s="8"/>
      <c r="X104" s="8"/>
      <c r="Y104" s="8"/>
      <c r="Z104" s="8"/>
    </row>
    <row r="105">
      <c r="A105" s="7" t="s">
        <v>197</v>
      </c>
      <c r="B105" s="7" t="s">
        <v>201</v>
      </c>
      <c r="C105" s="7" t="s">
        <v>57</v>
      </c>
      <c r="D105" s="7">
        <v>8.0</v>
      </c>
      <c r="E105" s="8"/>
      <c r="F105" s="8"/>
      <c r="G105" s="8"/>
      <c r="H105" s="7"/>
      <c r="I105" s="8"/>
      <c r="J105" s="9"/>
      <c r="K105" s="8"/>
      <c r="L105" s="8"/>
      <c r="M105" s="8"/>
      <c r="N105" s="8"/>
      <c r="O105" s="8"/>
      <c r="P105" s="8"/>
      <c r="Q105" s="8"/>
      <c r="R105" s="8"/>
      <c r="S105" s="8"/>
      <c r="T105" s="8"/>
      <c r="U105" s="8"/>
      <c r="V105" s="8"/>
      <c r="W105" s="8"/>
      <c r="X105" s="8"/>
      <c r="Y105" s="8"/>
      <c r="Z105" s="8"/>
    </row>
    <row r="106">
      <c r="A106" s="7" t="s">
        <v>197</v>
      </c>
      <c r="B106" s="7" t="s">
        <v>202</v>
      </c>
      <c r="C106" s="7" t="s">
        <v>51</v>
      </c>
      <c r="D106" s="7">
        <v>3.15</v>
      </c>
      <c r="E106" s="8"/>
      <c r="F106" s="8"/>
      <c r="G106" s="8"/>
      <c r="H106" s="7"/>
      <c r="I106" s="8"/>
      <c r="J106" s="9"/>
      <c r="K106" s="8"/>
      <c r="L106" s="8"/>
      <c r="M106" s="8"/>
      <c r="N106" s="8"/>
      <c r="O106" s="8"/>
      <c r="P106" s="8"/>
      <c r="Q106" s="8"/>
      <c r="R106" s="8"/>
      <c r="S106" s="8"/>
      <c r="T106" s="8"/>
      <c r="U106" s="8"/>
      <c r="V106" s="8"/>
      <c r="W106" s="8"/>
      <c r="X106" s="8"/>
      <c r="Y106" s="8"/>
      <c r="Z106" s="8"/>
    </row>
    <row r="107">
      <c r="A107" s="7" t="s">
        <v>197</v>
      </c>
      <c r="B107" s="7" t="s">
        <v>203</v>
      </c>
      <c r="C107" s="7" t="s">
        <v>66</v>
      </c>
      <c r="D107" s="7">
        <v>10.0</v>
      </c>
      <c r="E107" s="8"/>
      <c r="F107" s="8"/>
      <c r="G107" s="8"/>
      <c r="H107" s="7"/>
      <c r="I107" s="8"/>
      <c r="J107" s="9"/>
      <c r="K107" s="8"/>
      <c r="L107" s="8"/>
      <c r="M107" s="8"/>
      <c r="N107" s="8"/>
      <c r="O107" s="8"/>
      <c r="P107" s="8"/>
      <c r="Q107" s="8"/>
      <c r="R107" s="8"/>
      <c r="S107" s="8"/>
      <c r="T107" s="8"/>
      <c r="U107" s="8"/>
      <c r="V107" s="8"/>
      <c r="W107" s="8"/>
      <c r="X107" s="8"/>
      <c r="Y107" s="8"/>
      <c r="Z107" s="8"/>
    </row>
    <row r="108">
      <c r="A108" s="7" t="s">
        <v>204</v>
      </c>
      <c r="B108" s="7" t="s">
        <v>205</v>
      </c>
      <c r="C108" s="7" t="s">
        <v>95</v>
      </c>
      <c r="D108" s="7">
        <v>7.5</v>
      </c>
      <c r="E108" s="8"/>
      <c r="F108" s="8"/>
      <c r="G108" s="8"/>
      <c r="H108" s="8"/>
      <c r="I108" s="8"/>
      <c r="J108" s="9"/>
      <c r="K108" s="8"/>
      <c r="L108" s="8"/>
      <c r="M108" s="8"/>
      <c r="N108" s="8"/>
      <c r="O108" s="8"/>
      <c r="P108" s="8"/>
      <c r="Q108" s="8"/>
      <c r="R108" s="8"/>
      <c r="S108" s="8"/>
      <c r="T108" s="8"/>
      <c r="U108" s="8"/>
      <c r="V108" s="8"/>
      <c r="W108" s="8"/>
      <c r="X108" s="8"/>
      <c r="Y108" s="8"/>
      <c r="Z108" s="8"/>
    </row>
    <row r="109">
      <c r="A109" s="7" t="s">
        <v>206</v>
      </c>
      <c r="B109" s="7" t="s">
        <v>207</v>
      </c>
      <c r="C109" s="7" t="s">
        <v>51</v>
      </c>
      <c r="D109" s="7">
        <v>7.3</v>
      </c>
      <c r="E109" s="8"/>
      <c r="F109" s="8"/>
      <c r="G109" s="8"/>
      <c r="H109" s="8"/>
      <c r="I109" s="8"/>
      <c r="J109" s="9"/>
      <c r="K109" s="8"/>
      <c r="L109" s="8"/>
      <c r="M109" s="8"/>
      <c r="N109" s="8"/>
      <c r="O109" s="8"/>
      <c r="P109" s="8"/>
      <c r="Q109" s="8"/>
      <c r="R109" s="8"/>
      <c r="S109" s="8"/>
      <c r="T109" s="8"/>
      <c r="U109" s="8"/>
      <c r="V109" s="8"/>
      <c r="W109" s="8"/>
      <c r="X109" s="8"/>
      <c r="Y109" s="8"/>
      <c r="Z109" s="8"/>
    </row>
    <row r="110">
      <c r="A110" s="7" t="s">
        <v>208</v>
      </c>
      <c r="B110" s="7" t="s">
        <v>209</v>
      </c>
      <c r="C110" s="7" t="s">
        <v>51</v>
      </c>
      <c r="D110" s="7">
        <v>6.5</v>
      </c>
      <c r="E110" s="8"/>
      <c r="F110" s="8"/>
      <c r="G110" s="8"/>
      <c r="H110" s="8"/>
      <c r="I110" s="8"/>
      <c r="J110" s="9"/>
      <c r="K110" s="8"/>
      <c r="L110" s="8"/>
      <c r="M110" s="8"/>
      <c r="N110" s="8"/>
      <c r="O110" s="8"/>
      <c r="P110" s="8"/>
      <c r="Q110" s="8"/>
      <c r="R110" s="8"/>
      <c r="S110" s="8"/>
      <c r="T110" s="8"/>
      <c r="U110" s="8"/>
      <c r="V110" s="8"/>
      <c r="W110" s="8"/>
      <c r="X110" s="8"/>
      <c r="Y110" s="8"/>
      <c r="Z110" s="8"/>
    </row>
    <row r="111">
      <c r="A111" s="7" t="s">
        <v>208</v>
      </c>
      <c r="B111" s="7" t="s">
        <v>210</v>
      </c>
      <c r="C111" s="7" t="s">
        <v>66</v>
      </c>
      <c r="D111" s="7">
        <v>6.5</v>
      </c>
      <c r="E111" s="8"/>
      <c r="F111" s="8"/>
      <c r="G111" s="8"/>
      <c r="H111" s="8"/>
      <c r="I111" s="8"/>
      <c r="J111" s="9"/>
      <c r="K111" s="8"/>
      <c r="L111" s="8"/>
      <c r="M111" s="8"/>
      <c r="N111" s="8"/>
      <c r="O111" s="8"/>
      <c r="P111" s="8"/>
      <c r="Q111" s="8"/>
      <c r="R111" s="8"/>
      <c r="S111" s="8"/>
      <c r="T111" s="8"/>
      <c r="U111" s="8"/>
      <c r="V111" s="8"/>
      <c r="W111" s="8"/>
      <c r="X111" s="8"/>
      <c r="Y111" s="8"/>
      <c r="Z111" s="8"/>
    </row>
    <row r="112">
      <c r="A112" s="7" t="s">
        <v>208</v>
      </c>
      <c r="B112" s="7" t="s">
        <v>211</v>
      </c>
      <c r="C112" s="7" t="s">
        <v>57</v>
      </c>
      <c r="D112" s="7">
        <v>7.5</v>
      </c>
      <c r="E112" s="8"/>
      <c r="F112" s="8"/>
      <c r="G112" s="8"/>
      <c r="H112" s="8"/>
      <c r="I112" s="8"/>
      <c r="J112" s="9"/>
      <c r="K112" s="8"/>
      <c r="L112" s="8"/>
      <c r="M112" s="8"/>
      <c r="N112" s="8"/>
      <c r="O112" s="8"/>
      <c r="P112" s="8"/>
      <c r="Q112" s="8"/>
      <c r="R112" s="8"/>
      <c r="S112" s="8"/>
      <c r="T112" s="8"/>
      <c r="U112" s="8"/>
      <c r="V112" s="8"/>
      <c r="W112" s="8"/>
      <c r="X112" s="8"/>
      <c r="Y112" s="8"/>
      <c r="Z112" s="8"/>
    </row>
    <row r="113">
      <c r="A113" s="7" t="s">
        <v>208</v>
      </c>
      <c r="B113" s="7" t="s">
        <v>212</v>
      </c>
      <c r="C113" s="7" t="s">
        <v>57</v>
      </c>
      <c r="D113" s="7"/>
      <c r="E113" s="8"/>
      <c r="F113" s="8"/>
      <c r="G113" s="8"/>
      <c r="H113" s="8"/>
      <c r="I113" s="8"/>
      <c r="J113" s="9"/>
      <c r="K113" s="8"/>
      <c r="L113" s="8"/>
      <c r="M113" s="8"/>
      <c r="N113" s="8"/>
      <c r="O113" s="8"/>
      <c r="P113" s="8"/>
      <c r="Q113" s="8"/>
      <c r="R113" s="8"/>
      <c r="S113" s="8"/>
      <c r="T113" s="8"/>
      <c r="U113" s="8"/>
      <c r="V113" s="8"/>
      <c r="W113" s="8"/>
      <c r="X113" s="8"/>
      <c r="Y113" s="8"/>
      <c r="Z113" s="8"/>
    </row>
    <row r="114">
      <c r="A114" s="7" t="s">
        <v>208</v>
      </c>
      <c r="B114" s="7" t="s">
        <v>213</v>
      </c>
      <c r="C114" s="7" t="s">
        <v>66</v>
      </c>
      <c r="D114" s="7">
        <v>10.0</v>
      </c>
      <c r="E114" s="8"/>
      <c r="F114" s="8"/>
      <c r="G114" s="8"/>
      <c r="H114" s="8"/>
      <c r="I114" s="8"/>
      <c r="J114" s="9"/>
      <c r="K114" s="8"/>
      <c r="L114" s="8"/>
      <c r="M114" s="8"/>
      <c r="N114" s="8"/>
      <c r="O114" s="8"/>
      <c r="P114" s="8"/>
      <c r="Q114" s="8"/>
      <c r="R114" s="8"/>
      <c r="S114" s="8"/>
      <c r="T114" s="8"/>
      <c r="U114" s="8"/>
      <c r="V114" s="8"/>
      <c r="W114" s="8"/>
      <c r="X114" s="8"/>
      <c r="Y114" s="8"/>
      <c r="Z114" s="8"/>
    </row>
    <row r="115">
      <c r="A115" s="7" t="s">
        <v>214</v>
      </c>
      <c r="B115" s="7" t="s">
        <v>215</v>
      </c>
      <c r="C115" s="7" t="s">
        <v>57</v>
      </c>
      <c r="D115" s="7">
        <v>9.0</v>
      </c>
      <c r="E115" s="8"/>
      <c r="F115" s="8"/>
      <c r="G115" s="8"/>
      <c r="H115" s="8"/>
      <c r="I115" s="8"/>
      <c r="J115" s="9"/>
      <c r="K115" s="8"/>
      <c r="L115" s="8"/>
      <c r="M115" s="8"/>
      <c r="N115" s="8"/>
      <c r="O115" s="8"/>
      <c r="P115" s="8"/>
      <c r="Q115" s="8"/>
      <c r="R115" s="8"/>
      <c r="S115" s="8"/>
      <c r="T115" s="8"/>
      <c r="U115" s="8"/>
      <c r="V115" s="8"/>
      <c r="W115" s="8"/>
      <c r="X115" s="8"/>
      <c r="Y115" s="8"/>
      <c r="Z115" s="8"/>
    </row>
    <row r="116">
      <c r="A116" s="7" t="s">
        <v>216</v>
      </c>
      <c r="B116" s="7" t="s">
        <v>217</v>
      </c>
      <c r="C116" s="7" t="s">
        <v>51</v>
      </c>
      <c r="D116" s="7">
        <v>10.0</v>
      </c>
      <c r="E116" s="8"/>
      <c r="F116" s="8"/>
      <c r="G116" s="8"/>
      <c r="H116" s="7"/>
      <c r="I116" s="8"/>
      <c r="J116" s="9"/>
      <c r="K116" s="8"/>
      <c r="L116" s="8"/>
      <c r="M116" s="8"/>
      <c r="N116" s="8"/>
      <c r="O116" s="8"/>
      <c r="P116" s="8"/>
      <c r="Q116" s="8"/>
      <c r="R116" s="8"/>
      <c r="S116" s="8"/>
      <c r="T116" s="8"/>
      <c r="U116" s="8"/>
      <c r="V116" s="8"/>
      <c r="W116" s="8"/>
      <c r="X116" s="8"/>
      <c r="Y116" s="8"/>
      <c r="Z116" s="8"/>
    </row>
    <row r="117">
      <c r="A117" s="10" t="s">
        <v>216</v>
      </c>
      <c r="B117" s="10" t="s">
        <v>218</v>
      </c>
      <c r="C117" s="10" t="s">
        <v>51</v>
      </c>
      <c r="D117" s="10">
        <v>10.0</v>
      </c>
      <c r="E117" s="11"/>
      <c r="F117" s="11"/>
      <c r="G117" s="11"/>
      <c r="H117" s="10" t="s">
        <v>219</v>
      </c>
      <c r="I117" s="11"/>
      <c r="J117" s="12"/>
      <c r="K117" s="11"/>
      <c r="L117" s="11"/>
      <c r="M117" s="11"/>
      <c r="N117" s="11"/>
      <c r="O117" s="11"/>
      <c r="P117" s="11"/>
      <c r="Q117" s="11"/>
      <c r="R117" s="11"/>
      <c r="S117" s="11"/>
      <c r="T117" s="11"/>
      <c r="U117" s="11"/>
      <c r="V117" s="11"/>
      <c r="W117" s="11"/>
      <c r="X117" s="11"/>
      <c r="Y117" s="11"/>
      <c r="Z117" s="11"/>
    </row>
    <row r="118">
      <c r="A118" s="7" t="s">
        <v>220</v>
      </c>
      <c r="B118" s="7" t="s">
        <v>221</v>
      </c>
      <c r="C118" s="7">
        <v>3.5</v>
      </c>
      <c r="D118" s="7">
        <v>7.0</v>
      </c>
      <c r="E118" s="8"/>
      <c r="F118" s="8"/>
      <c r="G118" s="8"/>
      <c r="H118" s="8"/>
      <c r="I118" s="8"/>
      <c r="J118" s="9"/>
      <c r="K118" s="8"/>
      <c r="L118" s="8"/>
      <c r="M118" s="8"/>
      <c r="N118" s="8"/>
      <c r="O118" s="8"/>
      <c r="P118" s="8"/>
      <c r="Q118" s="8"/>
      <c r="R118" s="8"/>
      <c r="S118" s="8"/>
      <c r="T118" s="8"/>
      <c r="U118" s="8"/>
      <c r="V118" s="8"/>
      <c r="W118" s="8"/>
      <c r="X118" s="8"/>
      <c r="Y118" s="8"/>
      <c r="Z118" s="8"/>
    </row>
    <row r="119">
      <c r="A119" s="7" t="s">
        <v>222</v>
      </c>
      <c r="B119" s="7" t="s">
        <v>223</v>
      </c>
      <c r="C119" s="7" t="s">
        <v>57</v>
      </c>
      <c r="D119" s="7">
        <v>6.0</v>
      </c>
      <c r="E119" s="8"/>
      <c r="F119" s="8"/>
      <c r="G119" s="8"/>
      <c r="H119" s="8"/>
      <c r="I119" s="8"/>
      <c r="J119" s="9"/>
      <c r="K119" s="8"/>
      <c r="L119" s="8"/>
      <c r="M119" s="8"/>
      <c r="N119" s="8"/>
      <c r="O119" s="8"/>
      <c r="P119" s="8"/>
      <c r="Q119" s="8"/>
      <c r="R119" s="8"/>
      <c r="S119" s="8"/>
      <c r="T119" s="8"/>
      <c r="U119" s="8"/>
      <c r="V119" s="8"/>
      <c r="W119" s="8"/>
      <c r="X119" s="8"/>
      <c r="Y119" s="8"/>
      <c r="Z119" s="8"/>
    </row>
    <row r="120">
      <c r="A120" s="7" t="s">
        <v>224</v>
      </c>
      <c r="B120" s="7" t="s">
        <v>225</v>
      </c>
      <c r="C120" s="7"/>
      <c r="D120" s="7"/>
      <c r="E120" s="8"/>
      <c r="F120" s="8"/>
      <c r="G120" s="8"/>
      <c r="H120" s="8"/>
      <c r="I120" s="8"/>
      <c r="J120" s="9"/>
      <c r="K120" s="8"/>
      <c r="L120" s="8"/>
      <c r="M120" s="8"/>
      <c r="N120" s="8"/>
      <c r="O120" s="8"/>
      <c r="P120" s="8"/>
      <c r="Q120" s="8"/>
      <c r="R120" s="8"/>
      <c r="S120" s="8"/>
      <c r="T120" s="8"/>
      <c r="U120" s="8"/>
      <c r="V120" s="8"/>
      <c r="W120" s="8"/>
      <c r="X120" s="8"/>
      <c r="Y120" s="8"/>
      <c r="Z120" s="8"/>
    </row>
    <row r="121">
      <c r="A121" s="7" t="s">
        <v>226</v>
      </c>
      <c r="B121" s="7" t="s">
        <v>227</v>
      </c>
      <c r="C121" s="7" t="s">
        <v>228</v>
      </c>
      <c r="D121" s="7">
        <v>7.0</v>
      </c>
      <c r="E121" s="8"/>
      <c r="F121" s="8"/>
      <c r="G121" s="8"/>
      <c r="H121" s="8"/>
      <c r="I121" s="8"/>
      <c r="J121" s="9"/>
      <c r="K121" s="8"/>
      <c r="L121" s="8"/>
      <c r="M121" s="8"/>
      <c r="N121" s="8"/>
      <c r="O121" s="8"/>
      <c r="P121" s="8"/>
      <c r="Q121" s="8"/>
      <c r="R121" s="8"/>
      <c r="S121" s="8"/>
      <c r="T121" s="8"/>
      <c r="U121" s="8"/>
      <c r="V121" s="8"/>
      <c r="W121" s="8"/>
      <c r="X121" s="8"/>
      <c r="Y121" s="8"/>
      <c r="Z121" s="8"/>
    </row>
    <row r="122">
      <c r="A122" s="7" t="s">
        <v>229</v>
      </c>
      <c r="B122" s="7" t="s">
        <v>230</v>
      </c>
      <c r="C122" s="7">
        <v>2.0</v>
      </c>
      <c r="D122" s="7">
        <v>7.5</v>
      </c>
      <c r="E122" s="8"/>
      <c r="F122" s="8"/>
      <c r="G122" s="8"/>
      <c r="H122" s="8"/>
      <c r="I122" s="8"/>
      <c r="J122" s="9"/>
      <c r="K122" s="8"/>
      <c r="L122" s="8"/>
      <c r="M122" s="8"/>
      <c r="N122" s="8"/>
      <c r="O122" s="8"/>
      <c r="P122" s="8"/>
      <c r="Q122" s="8"/>
      <c r="R122" s="8"/>
      <c r="S122" s="8"/>
      <c r="T122" s="8"/>
      <c r="U122" s="8"/>
      <c r="V122" s="8"/>
      <c r="W122" s="8"/>
      <c r="X122" s="8"/>
      <c r="Y122" s="8"/>
      <c r="Z122" s="8"/>
    </row>
    <row r="123">
      <c r="A123" s="7" t="s">
        <v>231</v>
      </c>
      <c r="B123" s="7" t="s">
        <v>232</v>
      </c>
      <c r="C123" s="7" t="s">
        <v>51</v>
      </c>
      <c r="D123" s="7">
        <v>2.5</v>
      </c>
      <c r="E123" s="8"/>
      <c r="F123" s="8"/>
      <c r="G123" s="8"/>
      <c r="H123" s="8"/>
      <c r="I123" s="8"/>
      <c r="J123" s="9"/>
      <c r="K123" s="8"/>
      <c r="L123" s="8"/>
      <c r="M123" s="8"/>
      <c r="N123" s="8"/>
      <c r="O123" s="8"/>
      <c r="P123" s="8"/>
      <c r="Q123" s="8"/>
      <c r="R123" s="8"/>
      <c r="S123" s="8"/>
      <c r="T123" s="8"/>
      <c r="U123" s="8"/>
      <c r="V123" s="8"/>
      <c r="W123" s="8"/>
      <c r="X123" s="8"/>
      <c r="Y123" s="8"/>
      <c r="Z123" s="8"/>
    </row>
    <row r="124">
      <c r="A124" s="7" t="s">
        <v>233</v>
      </c>
      <c r="B124" s="7" t="s">
        <v>234</v>
      </c>
      <c r="C124" s="7" t="s">
        <v>51</v>
      </c>
      <c r="D124" s="7">
        <v>5.5</v>
      </c>
      <c r="E124" s="8"/>
      <c r="F124" s="8"/>
      <c r="G124" s="8"/>
      <c r="H124" s="8"/>
      <c r="I124" s="8"/>
      <c r="J124" s="9"/>
      <c r="K124" s="8"/>
      <c r="L124" s="8"/>
      <c r="M124" s="8"/>
      <c r="N124" s="8"/>
      <c r="O124" s="8"/>
      <c r="P124" s="8"/>
      <c r="Q124" s="8"/>
      <c r="R124" s="8"/>
      <c r="S124" s="8"/>
      <c r="T124" s="8"/>
      <c r="U124" s="8"/>
      <c r="V124" s="8"/>
      <c r="W124" s="8"/>
      <c r="X124" s="8"/>
      <c r="Y124" s="8"/>
      <c r="Z124" s="8"/>
    </row>
    <row r="125">
      <c r="A125" s="7" t="s">
        <v>235</v>
      </c>
      <c r="B125" s="7" t="s">
        <v>236</v>
      </c>
      <c r="C125" s="7" t="s">
        <v>237</v>
      </c>
      <c r="D125" s="7">
        <v>7.0</v>
      </c>
      <c r="E125" s="8"/>
      <c r="F125" s="8"/>
      <c r="G125" s="8"/>
      <c r="H125" s="8"/>
      <c r="I125" s="8"/>
      <c r="J125" s="9"/>
      <c r="K125" s="8"/>
      <c r="L125" s="8"/>
      <c r="M125" s="8"/>
      <c r="N125" s="8"/>
      <c r="O125" s="8"/>
      <c r="P125" s="8"/>
      <c r="Q125" s="8"/>
      <c r="R125" s="8"/>
      <c r="S125" s="8"/>
      <c r="T125" s="8"/>
      <c r="U125" s="8"/>
      <c r="V125" s="8"/>
      <c r="W125" s="8"/>
      <c r="X125" s="8"/>
      <c r="Y125" s="8"/>
      <c r="Z125" s="8"/>
    </row>
    <row r="126">
      <c r="A126" s="7" t="s">
        <v>238</v>
      </c>
      <c r="B126" s="7" t="s">
        <v>239</v>
      </c>
      <c r="C126" s="7"/>
      <c r="D126" s="7">
        <v>9.0</v>
      </c>
      <c r="E126" s="8"/>
      <c r="F126" s="8"/>
      <c r="G126" s="8"/>
      <c r="H126" s="8"/>
      <c r="I126" s="8"/>
      <c r="J126" s="9"/>
      <c r="K126" s="8"/>
      <c r="L126" s="8"/>
      <c r="M126" s="8"/>
      <c r="N126" s="8"/>
      <c r="O126" s="8"/>
      <c r="P126" s="8"/>
      <c r="Q126" s="8"/>
      <c r="R126" s="8"/>
      <c r="S126" s="8"/>
      <c r="T126" s="8"/>
      <c r="U126" s="8"/>
      <c r="V126" s="8"/>
      <c r="W126" s="8"/>
      <c r="X126" s="8"/>
      <c r="Y126" s="8"/>
      <c r="Z126" s="8"/>
    </row>
    <row r="127">
      <c r="A127" s="7" t="s">
        <v>240</v>
      </c>
      <c r="B127" s="7" t="s">
        <v>241</v>
      </c>
      <c r="C127" s="7"/>
      <c r="D127" s="7">
        <v>1.0</v>
      </c>
      <c r="E127" s="8"/>
      <c r="F127" s="8"/>
      <c r="G127" s="8"/>
      <c r="H127" s="8"/>
      <c r="I127" s="8"/>
      <c r="J127" s="9"/>
      <c r="K127" s="8"/>
      <c r="L127" s="8"/>
      <c r="M127" s="8"/>
      <c r="N127" s="8"/>
      <c r="O127" s="8"/>
      <c r="P127" s="8"/>
      <c r="Q127" s="8"/>
      <c r="R127" s="8"/>
      <c r="S127" s="8"/>
      <c r="T127" s="8"/>
      <c r="U127" s="8"/>
      <c r="V127" s="8"/>
      <c r="W127" s="8"/>
      <c r="X127" s="8"/>
      <c r="Y127" s="8"/>
      <c r="Z127" s="8"/>
    </row>
    <row r="128">
      <c r="A128" s="7" t="s">
        <v>242</v>
      </c>
      <c r="B128" s="7" t="s">
        <v>243</v>
      </c>
      <c r="C128" s="7" t="s">
        <v>57</v>
      </c>
      <c r="D128" s="7">
        <v>6.0</v>
      </c>
      <c r="E128" s="8"/>
      <c r="F128" s="8"/>
      <c r="G128" s="8"/>
      <c r="H128" s="8"/>
      <c r="I128" s="8"/>
      <c r="J128" s="9"/>
      <c r="K128" s="8"/>
      <c r="L128" s="8"/>
      <c r="M128" s="8"/>
      <c r="N128" s="8"/>
      <c r="O128" s="8"/>
      <c r="P128" s="8"/>
      <c r="Q128" s="8"/>
      <c r="R128" s="8"/>
      <c r="S128" s="8"/>
      <c r="T128" s="8"/>
      <c r="U128" s="8"/>
      <c r="V128" s="8"/>
      <c r="W128" s="8"/>
      <c r="X128" s="8"/>
      <c r="Y128" s="8"/>
      <c r="Z128" s="8"/>
    </row>
    <row r="129">
      <c r="A129" s="7" t="s">
        <v>244</v>
      </c>
      <c r="B129" s="7" t="s">
        <v>245</v>
      </c>
      <c r="C129" s="7" t="s">
        <v>57</v>
      </c>
      <c r="D129" s="7">
        <v>3.25</v>
      </c>
      <c r="E129" s="8"/>
      <c r="F129" s="8"/>
      <c r="G129" s="8"/>
      <c r="H129" s="7"/>
      <c r="I129" s="8"/>
      <c r="J129" s="9"/>
      <c r="K129" s="8"/>
      <c r="L129" s="8"/>
      <c r="M129" s="8"/>
      <c r="N129" s="8"/>
      <c r="O129" s="8"/>
      <c r="P129" s="8"/>
      <c r="Q129" s="8"/>
      <c r="R129" s="8"/>
      <c r="S129" s="8"/>
      <c r="T129" s="8"/>
      <c r="U129" s="8"/>
      <c r="V129" s="8"/>
      <c r="W129" s="8"/>
      <c r="X129" s="8"/>
      <c r="Y129" s="8"/>
      <c r="Z129" s="8"/>
    </row>
    <row r="130">
      <c r="A130" s="7" t="s">
        <v>244</v>
      </c>
      <c r="B130" s="7" t="s">
        <v>246</v>
      </c>
      <c r="C130" s="7" t="s">
        <v>51</v>
      </c>
      <c r="D130" s="7">
        <v>6.0</v>
      </c>
      <c r="E130" s="8"/>
      <c r="F130" s="8"/>
      <c r="G130" s="8"/>
      <c r="H130" s="8"/>
      <c r="I130" s="8"/>
      <c r="J130" s="9"/>
      <c r="K130" s="8"/>
      <c r="L130" s="8"/>
      <c r="M130" s="8"/>
      <c r="N130" s="8"/>
      <c r="O130" s="8"/>
      <c r="P130" s="8"/>
      <c r="Q130" s="8"/>
      <c r="R130" s="8"/>
      <c r="S130" s="8"/>
      <c r="T130" s="8"/>
      <c r="U130" s="8"/>
      <c r="V130" s="8"/>
      <c r="W130" s="8"/>
      <c r="X130" s="8"/>
      <c r="Y130" s="8"/>
      <c r="Z130" s="8"/>
    </row>
    <row r="131">
      <c r="A131" s="7" t="s">
        <v>244</v>
      </c>
      <c r="B131" s="7" t="s">
        <v>247</v>
      </c>
      <c r="C131" s="7">
        <v>6.0</v>
      </c>
      <c r="D131" s="7">
        <v>3.5</v>
      </c>
      <c r="E131" s="8"/>
      <c r="F131" s="8"/>
      <c r="G131" s="8"/>
      <c r="H131" s="8"/>
      <c r="I131" s="8"/>
      <c r="J131" s="9"/>
      <c r="K131" s="8"/>
      <c r="L131" s="8"/>
      <c r="M131" s="8"/>
      <c r="N131" s="8"/>
      <c r="O131" s="8"/>
      <c r="P131" s="8"/>
      <c r="Q131" s="8"/>
      <c r="R131" s="8"/>
      <c r="S131" s="8"/>
      <c r="T131" s="8"/>
      <c r="U131" s="8"/>
      <c r="V131" s="8"/>
      <c r="W131" s="8"/>
      <c r="X131" s="8"/>
      <c r="Y131" s="8"/>
      <c r="Z131" s="8"/>
    </row>
    <row r="132">
      <c r="A132" s="7" t="s">
        <v>248</v>
      </c>
      <c r="B132" s="7" t="s">
        <v>249</v>
      </c>
      <c r="C132" s="7">
        <v>6.0</v>
      </c>
      <c r="D132" s="7">
        <v>6.0</v>
      </c>
      <c r="E132" s="8"/>
      <c r="F132" s="8"/>
      <c r="G132" s="8"/>
      <c r="H132" s="8"/>
      <c r="I132" s="8"/>
      <c r="J132" s="9"/>
      <c r="K132" s="8"/>
      <c r="L132" s="8"/>
      <c r="M132" s="8"/>
      <c r="N132" s="8"/>
      <c r="O132" s="8"/>
      <c r="P132" s="8"/>
      <c r="Q132" s="8"/>
      <c r="R132" s="8"/>
      <c r="S132" s="8"/>
      <c r="T132" s="8"/>
      <c r="U132" s="8"/>
      <c r="V132" s="8"/>
      <c r="W132" s="8"/>
      <c r="X132" s="8"/>
      <c r="Y132" s="8"/>
      <c r="Z132" s="8"/>
    </row>
    <row r="133">
      <c r="A133" s="7" t="s">
        <v>250</v>
      </c>
      <c r="B133" s="7" t="s">
        <v>251</v>
      </c>
      <c r="C133" s="7" t="s">
        <v>57</v>
      </c>
      <c r="D133" s="7">
        <v>5.0</v>
      </c>
      <c r="E133" s="8"/>
      <c r="F133" s="8"/>
      <c r="G133" s="8"/>
      <c r="H133" s="8"/>
      <c r="I133" s="8"/>
      <c r="J133" s="9"/>
      <c r="K133" s="8"/>
      <c r="L133" s="8"/>
      <c r="M133" s="8"/>
      <c r="N133" s="8"/>
      <c r="O133" s="8"/>
      <c r="P133" s="8"/>
      <c r="Q133" s="8"/>
      <c r="R133" s="8"/>
      <c r="S133" s="8"/>
      <c r="T133" s="8"/>
      <c r="U133" s="8"/>
      <c r="V133" s="8"/>
      <c r="W133" s="8"/>
      <c r="X133" s="8"/>
      <c r="Y133" s="8"/>
      <c r="Z133" s="8"/>
    </row>
    <row r="134">
      <c r="A134" s="7" t="s">
        <v>250</v>
      </c>
      <c r="B134" s="7" t="s">
        <v>252</v>
      </c>
      <c r="C134" s="7" t="s">
        <v>51</v>
      </c>
      <c r="D134" s="7">
        <v>5.0</v>
      </c>
      <c r="E134" s="8"/>
      <c r="F134" s="8"/>
      <c r="G134" s="8"/>
      <c r="H134" s="8"/>
      <c r="I134" s="8"/>
      <c r="J134" s="9"/>
      <c r="K134" s="8"/>
      <c r="L134" s="8"/>
      <c r="M134" s="8"/>
      <c r="N134" s="8"/>
      <c r="O134" s="8"/>
      <c r="P134" s="8"/>
      <c r="Q134" s="8"/>
      <c r="R134" s="8"/>
      <c r="S134" s="8"/>
      <c r="T134" s="8"/>
      <c r="U134" s="8"/>
      <c r="V134" s="8"/>
      <c r="W134" s="8"/>
      <c r="X134" s="8"/>
      <c r="Y134" s="8"/>
      <c r="Z134" s="8"/>
    </row>
    <row r="135">
      <c r="A135" s="7" t="s">
        <v>253</v>
      </c>
      <c r="B135" s="7" t="s">
        <v>254</v>
      </c>
      <c r="C135" s="7" t="s">
        <v>51</v>
      </c>
      <c r="D135" s="7">
        <v>9.0</v>
      </c>
      <c r="E135" s="8"/>
      <c r="F135" s="8"/>
      <c r="G135" s="8"/>
      <c r="H135" s="8"/>
      <c r="I135" s="8"/>
      <c r="J135" s="9"/>
      <c r="K135" s="8"/>
      <c r="L135" s="8"/>
      <c r="M135" s="8"/>
      <c r="N135" s="8"/>
      <c r="O135" s="8"/>
      <c r="P135" s="8"/>
      <c r="Q135" s="8"/>
      <c r="R135" s="8"/>
      <c r="S135" s="8"/>
      <c r="T135" s="8"/>
      <c r="U135" s="8"/>
      <c r="V135" s="8"/>
      <c r="W135" s="8"/>
      <c r="X135" s="8"/>
      <c r="Y135" s="8"/>
      <c r="Z135" s="8"/>
    </row>
    <row r="136">
      <c r="A136" s="7" t="s">
        <v>255</v>
      </c>
      <c r="B136" s="7" t="s">
        <v>256</v>
      </c>
      <c r="C136" s="7"/>
      <c r="D136" s="7">
        <v>27.0</v>
      </c>
      <c r="E136" s="8"/>
      <c r="F136" s="8"/>
      <c r="G136" s="8"/>
      <c r="H136" s="8"/>
      <c r="I136" s="8"/>
      <c r="J136" s="9"/>
      <c r="K136" s="8"/>
      <c r="L136" s="8"/>
      <c r="M136" s="8"/>
      <c r="N136" s="8"/>
      <c r="O136" s="8"/>
      <c r="P136" s="8"/>
      <c r="Q136" s="8"/>
      <c r="R136" s="8"/>
      <c r="S136" s="8"/>
      <c r="T136" s="8"/>
      <c r="U136" s="8"/>
      <c r="V136" s="8"/>
      <c r="W136" s="8"/>
      <c r="X136" s="8"/>
      <c r="Y136" s="8"/>
      <c r="Z136" s="8"/>
    </row>
    <row r="137">
      <c r="A137" s="7" t="s">
        <v>257</v>
      </c>
      <c r="B137" s="7" t="s">
        <v>258</v>
      </c>
      <c r="C137" s="7" t="s">
        <v>51</v>
      </c>
      <c r="D137" s="7">
        <v>10.0</v>
      </c>
      <c r="E137" s="8"/>
      <c r="F137" s="8"/>
      <c r="G137" s="8"/>
      <c r="H137" s="8"/>
      <c r="I137" s="8"/>
      <c r="J137" s="9"/>
      <c r="K137" s="8"/>
      <c r="L137" s="8"/>
      <c r="M137" s="8"/>
      <c r="N137" s="8"/>
      <c r="O137" s="8"/>
      <c r="P137" s="8"/>
      <c r="Q137" s="8"/>
      <c r="R137" s="8"/>
      <c r="S137" s="8"/>
      <c r="T137" s="8"/>
      <c r="U137" s="8"/>
      <c r="V137" s="8"/>
      <c r="W137" s="8"/>
      <c r="X137" s="8"/>
      <c r="Y137" s="8"/>
      <c r="Z137" s="8"/>
    </row>
    <row r="138">
      <c r="A138" s="7" t="s">
        <v>259</v>
      </c>
      <c r="B138" s="7" t="s">
        <v>260</v>
      </c>
      <c r="C138" s="7">
        <v>4.0</v>
      </c>
      <c r="D138" s="7">
        <v>4.5</v>
      </c>
      <c r="E138" s="8"/>
      <c r="F138" s="8"/>
      <c r="G138" s="8"/>
      <c r="H138" s="8"/>
      <c r="I138" s="8"/>
      <c r="J138" s="9"/>
      <c r="K138" s="8"/>
      <c r="L138" s="8"/>
      <c r="M138" s="8"/>
      <c r="N138" s="8"/>
      <c r="O138" s="8"/>
      <c r="P138" s="8"/>
      <c r="Q138" s="8"/>
      <c r="R138" s="8"/>
      <c r="S138" s="8"/>
      <c r="T138" s="8"/>
      <c r="U138" s="8"/>
      <c r="V138" s="8"/>
      <c r="W138" s="8"/>
      <c r="X138" s="8"/>
      <c r="Y138" s="8"/>
      <c r="Z138" s="8"/>
    </row>
    <row r="139">
      <c r="A139" s="7" t="s">
        <v>261</v>
      </c>
      <c r="B139" s="7" t="s">
        <v>262</v>
      </c>
      <c r="C139" s="7" t="s">
        <v>66</v>
      </c>
      <c r="D139" s="7">
        <v>5.5</v>
      </c>
      <c r="E139" s="8"/>
      <c r="F139" s="8"/>
      <c r="G139" s="8"/>
      <c r="H139" s="8"/>
      <c r="I139" s="8"/>
      <c r="J139" s="9"/>
      <c r="K139" s="8"/>
      <c r="L139" s="8"/>
      <c r="M139" s="8"/>
      <c r="N139" s="8"/>
      <c r="O139" s="8"/>
      <c r="P139" s="8"/>
      <c r="Q139" s="8"/>
      <c r="R139" s="8"/>
      <c r="S139" s="8"/>
      <c r="T139" s="8"/>
      <c r="U139" s="8"/>
      <c r="V139" s="8"/>
      <c r="W139" s="8"/>
      <c r="X139" s="8"/>
      <c r="Y139" s="8"/>
      <c r="Z139" s="8"/>
    </row>
    <row r="140">
      <c r="A140" s="7" t="s">
        <v>263</v>
      </c>
      <c r="B140" s="7" t="s">
        <v>264</v>
      </c>
      <c r="C140" s="7" t="s">
        <v>51</v>
      </c>
      <c r="D140" s="7">
        <v>5.5</v>
      </c>
      <c r="E140" s="8"/>
      <c r="F140" s="8"/>
      <c r="G140" s="8"/>
      <c r="H140" s="8"/>
      <c r="I140" s="8"/>
      <c r="J140" s="9"/>
      <c r="K140" s="8"/>
      <c r="L140" s="8"/>
      <c r="M140" s="8"/>
      <c r="N140" s="8"/>
      <c r="O140" s="8"/>
      <c r="P140" s="8"/>
      <c r="Q140" s="8"/>
      <c r="R140" s="8"/>
      <c r="S140" s="8"/>
      <c r="T140" s="8"/>
      <c r="U140" s="8"/>
      <c r="V140" s="8"/>
      <c r="W140" s="8"/>
      <c r="X140" s="8"/>
      <c r="Y140" s="8"/>
      <c r="Z140" s="8"/>
    </row>
    <row r="141">
      <c r="A141" s="7" t="s">
        <v>265</v>
      </c>
      <c r="B141" s="7" t="s">
        <v>266</v>
      </c>
      <c r="C141" s="7">
        <v>14.0</v>
      </c>
      <c r="D141" s="7"/>
      <c r="E141" s="8"/>
      <c r="F141" s="8"/>
      <c r="G141" s="8"/>
      <c r="H141" s="8"/>
      <c r="I141" s="8"/>
      <c r="J141" s="9"/>
      <c r="K141" s="8"/>
      <c r="L141" s="8"/>
      <c r="M141" s="8"/>
      <c r="N141" s="8"/>
      <c r="O141" s="8"/>
      <c r="P141" s="8"/>
      <c r="Q141" s="8"/>
      <c r="R141" s="8"/>
      <c r="S141" s="8"/>
      <c r="T141" s="8"/>
      <c r="U141" s="8"/>
      <c r="V141" s="8"/>
      <c r="W141" s="8"/>
      <c r="X141" s="8"/>
      <c r="Y141" s="8"/>
      <c r="Z141" s="8"/>
    </row>
    <row r="142">
      <c r="A142" s="7" t="s">
        <v>267</v>
      </c>
      <c r="B142" s="7" t="s">
        <v>268</v>
      </c>
      <c r="C142" s="7" t="s">
        <v>57</v>
      </c>
      <c r="D142" s="7">
        <v>3.5</v>
      </c>
      <c r="E142" s="8"/>
      <c r="F142" s="8"/>
      <c r="G142" s="8"/>
      <c r="H142" s="8"/>
      <c r="I142" s="8"/>
      <c r="J142" s="9"/>
      <c r="K142" s="8"/>
      <c r="L142" s="8"/>
      <c r="M142" s="8"/>
      <c r="N142" s="8"/>
      <c r="O142" s="8"/>
      <c r="P142" s="8"/>
      <c r="Q142" s="8"/>
      <c r="R142" s="8"/>
      <c r="S142" s="8"/>
      <c r="T142" s="8"/>
      <c r="U142" s="8"/>
      <c r="V142" s="8"/>
      <c r="W142" s="8"/>
      <c r="X142" s="8"/>
      <c r="Y142" s="8"/>
      <c r="Z142" s="8"/>
    </row>
    <row r="143">
      <c r="A143" s="7" t="s">
        <v>269</v>
      </c>
      <c r="B143" s="7" t="s">
        <v>270</v>
      </c>
      <c r="C143" s="7" t="s">
        <v>51</v>
      </c>
      <c r="D143" s="7">
        <v>3.5</v>
      </c>
      <c r="E143" s="8"/>
      <c r="F143" s="8"/>
      <c r="G143" s="8"/>
      <c r="H143" s="8"/>
      <c r="I143" s="8"/>
      <c r="J143" s="9"/>
      <c r="K143" s="8"/>
      <c r="L143" s="8"/>
      <c r="M143" s="8"/>
      <c r="N143" s="8"/>
      <c r="O143" s="8"/>
      <c r="P143" s="8"/>
      <c r="Q143" s="8"/>
      <c r="R143" s="8"/>
      <c r="S143" s="8"/>
      <c r="T143" s="8"/>
      <c r="U143" s="8"/>
      <c r="V143" s="8"/>
      <c r="W143" s="8"/>
      <c r="X143" s="8"/>
      <c r="Y143" s="8"/>
      <c r="Z143" s="8"/>
    </row>
    <row r="144">
      <c r="A144" s="7" t="s">
        <v>269</v>
      </c>
      <c r="B144" s="7" t="s">
        <v>271</v>
      </c>
      <c r="C144" s="7" t="s">
        <v>51</v>
      </c>
      <c r="D144" s="7">
        <v>3.25</v>
      </c>
      <c r="E144" s="8"/>
      <c r="F144" s="8"/>
      <c r="G144" s="8"/>
      <c r="H144" s="8"/>
      <c r="I144" s="8"/>
      <c r="J144" s="9"/>
      <c r="K144" s="8"/>
      <c r="L144" s="8"/>
      <c r="M144" s="8"/>
      <c r="N144" s="8"/>
      <c r="O144" s="8"/>
      <c r="P144" s="8"/>
      <c r="Q144" s="8"/>
      <c r="R144" s="8"/>
      <c r="S144" s="8"/>
      <c r="T144" s="8"/>
      <c r="U144" s="8"/>
      <c r="V144" s="8"/>
      <c r="W144" s="8"/>
      <c r="X144" s="8"/>
      <c r="Y144" s="8"/>
      <c r="Z144" s="8"/>
    </row>
    <row r="145">
      <c r="A145" s="7" t="s">
        <v>272</v>
      </c>
      <c r="B145" s="7" t="s">
        <v>273</v>
      </c>
      <c r="C145" s="7" t="s">
        <v>51</v>
      </c>
      <c r="D145" s="7"/>
      <c r="E145" s="8"/>
      <c r="F145" s="8"/>
      <c r="G145" s="8"/>
      <c r="H145" s="8"/>
      <c r="I145" s="8"/>
      <c r="J145" s="9"/>
      <c r="K145" s="8"/>
      <c r="L145" s="8"/>
      <c r="M145" s="8"/>
      <c r="N145" s="8"/>
      <c r="O145" s="8"/>
      <c r="P145" s="8"/>
      <c r="Q145" s="8"/>
      <c r="R145" s="8"/>
      <c r="S145" s="8"/>
      <c r="T145" s="8"/>
      <c r="U145" s="8"/>
      <c r="V145" s="8"/>
      <c r="W145" s="8"/>
      <c r="X145" s="8"/>
      <c r="Y145" s="8"/>
      <c r="Z145" s="8"/>
    </row>
    <row r="146">
      <c r="A146" s="7" t="s">
        <v>274</v>
      </c>
      <c r="B146" s="7" t="s">
        <v>275</v>
      </c>
      <c r="C146" s="7" t="s">
        <v>51</v>
      </c>
      <c r="D146" s="7">
        <v>3.65</v>
      </c>
      <c r="E146" s="8"/>
      <c r="F146" s="8"/>
      <c r="G146" s="8"/>
      <c r="H146" s="8"/>
      <c r="I146" s="8"/>
      <c r="J146" s="9"/>
      <c r="K146" s="8"/>
      <c r="L146" s="8"/>
      <c r="M146" s="8"/>
      <c r="N146" s="8"/>
      <c r="O146" s="8"/>
      <c r="P146" s="8"/>
      <c r="Q146" s="8"/>
      <c r="R146" s="8"/>
      <c r="S146" s="8"/>
      <c r="T146" s="8"/>
      <c r="U146" s="8"/>
      <c r="V146" s="8"/>
      <c r="W146" s="8"/>
      <c r="X146" s="8"/>
      <c r="Y146" s="8"/>
      <c r="Z146" s="8"/>
    </row>
    <row r="147">
      <c r="A147" s="7" t="s">
        <v>274</v>
      </c>
      <c r="B147" s="7" t="s">
        <v>276</v>
      </c>
      <c r="C147" s="7" t="s">
        <v>95</v>
      </c>
      <c r="D147" s="7">
        <v>7.3</v>
      </c>
      <c r="E147" s="8"/>
      <c r="F147" s="8"/>
      <c r="G147" s="8"/>
      <c r="H147" s="8"/>
      <c r="I147" s="8"/>
      <c r="J147" s="9"/>
      <c r="K147" s="8"/>
      <c r="L147" s="8"/>
      <c r="M147" s="8"/>
      <c r="N147" s="8"/>
      <c r="O147" s="8"/>
      <c r="P147" s="8"/>
      <c r="Q147" s="8"/>
      <c r="R147" s="8"/>
      <c r="S147" s="8"/>
      <c r="T147" s="8"/>
      <c r="U147" s="8"/>
      <c r="V147" s="8"/>
      <c r="W147" s="8"/>
      <c r="X147" s="8"/>
      <c r="Y147" s="8"/>
      <c r="Z147" s="8"/>
    </row>
    <row r="148">
      <c r="A148" s="7" t="s">
        <v>274</v>
      </c>
      <c r="B148" s="7" t="s">
        <v>277</v>
      </c>
      <c r="C148" s="7" t="s">
        <v>278</v>
      </c>
      <c r="D148" s="7">
        <v>7.0</v>
      </c>
      <c r="E148" s="8"/>
      <c r="F148" s="8"/>
      <c r="G148" s="8"/>
      <c r="H148" s="8"/>
      <c r="I148" s="8"/>
      <c r="J148" s="9"/>
      <c r="K148" s="8"/>
      <c r="L148" s="8"/>
      <c r="M148" s="8"/>
      <c r="N148" s="8"/>
      <c r="O148" s="8"/>
      <c r="P148" s="8"/>
      <c r="Q148" s="8"/>
      <c r="R148" s="8"/>
      <c r="S148" s="8"/>
      <c r="T148" s="8"/>
      <c r="U148" s="8"/>
      <c r="V148" s="8"/>
      <c r="W148" s="8"/>
      <c r="X148" s="8"/>
      <c r="Y148" s="8"/>
      <c r="Z148" s="8"/>
    </row>
    <row r="149">
      <c r="A149" s="7" t="s">
        <v>274</v>
      </c>
      <c r="B149" s="7" t="s">
        <v>279</v>
      </c>
      <c r="C149" s="7" t="s">
        <v>51</v>
      </c>
      <c r="D149" s="7">
        <v>7.0</v>
      </c>
      <c r="E149" s="8"/>
      <c r="F149" s="8"/>
      <c r="G149" s="8"/>
      <c r="H149" s="8"/>
      <c r="I149" s="8"/>
      <c r="J149" s="9"/>
      <c r="K149" s="8"/>
      <c r="L149" s="8"/>
      <c r="M149" s="8"/>
      <c r="N149" s="8"/>
      <c r="O149" s="8"/>
      <c r="P149" s="8"/>
      <c r="Q149" s="8"/>
      <c r="R149" s="8"/>
      <c r="S149" s="8"/>
      <c r="T149" s="8"/>
      <c r="U149" s="8"/>
      <c r="V149" s="8"/>
      <c r="W149" s="8"/>
      <c r="X149" s="8"/>
      <c r="Y149" s="8"/>
      <c r="Z149" s="8"/>
    </row>
    <row r="150">
      <c r="A150" s="7" t="s">
        <v>280</v>
      </c>
      <c r="B150" s="7" t="s">
        <v>281</v>
      </c>
      <c r="C150" s="7">
        <v>1.0</v>
      </c>
      <c r="D150" s="7"/>
      <c r="E150" s="8"/>
      <c r="F150" s="8"/>
      <c r="G150" s="8"/>
      <c r="H150" s="8"/>
      <c r="I150" s="8"/>
      <c r="J150" s="9"/>
      <c r="K150" s="8"/>
      <c r="L150" s="8"/>
      <c r="M150" s="8"/>
      <c r="N150" s="8"/>
      <c r="O150" s="8"/>
      <c r="P150" s="8"/>
      <c r="Q150" s="8"/>
      <c r="R150" s="8"/>
      <c r="S150" s="8"/>
      <c r="T150" s="8"/>
      <c r="U150" s="8"/>
      <c r="V150" s="8"/>
      <c r="W150" s="8"/>
      <c r="X150" s="8"/>
      <c r="Y150" s="8"/>
      <c r="Z150" s="8"/>
    </row>
    <row r="151">
      <c r="A151" s="10" t="s">
        <v>282</v>
      </c>
      <c r="B151" s="10" t="s">
        <v>283</v>
      </c>
      <c r="C151" s="10" t="s">
        <v>51</v>
      </c>
      <c r="D151" s="10">
        <v>7.0</v>
      </c>
      <c r="E151" s="11"/>
      <c r="F151" s="11"/>
      <c r="G151" s="11"/>
      <c r="H151" s="10" t="s">
        <v>189</v>
      </c>
      <c r="I151" s="11"/>
      <c r="J151" s="12"/>
      <c r="K151" s="11"/>
      <c r="L151" s="11"/>
      <c r="M151" s="11"/>
      <c r="N151" s="11"/>
      <c r="O151" s="11"/>
      <c r="P151" s="11"/>
      <c r="Q151" s="11"/>
      <c r="R151" s="11"/>
      <c r="S151" s="11"/>
      <c r="T151" s="11"/>
      <c r="U151" s="11"/>
      <c r="V151" s="11"/>
      <c r="W151" s="11"/>
      <c r="X151" s="11"/>
      <c r="Y151" s="11"/>
      <c r="Z151" s="11"/>
    </row>
    <row r="152">
      <c r="A152" s="7" t="s">
        <v>284</v>
      </c>
      <c r="B152" s="7" t="s">
        <v>285</v>
      </c>
      <c r="C152" s="7" t="s">
        <v>95</v>
      </c>
      <c r="D152" s="7">
        <v>3.65</v>
      </c>
      <c r="E152" s="8"/>
      <c r="F152" s="8"/>
      <c r="G152" s="8"/>
      <c r="H152" s="8"/>
      <c r="I152" s="8"/>
      <c r="J152" s="9"/>
      <c r="K152" s="8"/>
      <c r="L152" s="8"/>
      <c r="M152" s="8"/>
      <c r="N152" s="8"/>
      <c r="O152" s="8"/>
      <c r="P152" s="8"/>
      <c r="Q152" s="8"/>
      <c r="R152" s="8"/>
      <c r="S152" s="8"/>
      <c r="T152" s="8"/>
      <c r="U152" s="8"/>
      <c r="V152" s="8"/>
      <c r="W152" s="8"/>
      <c r="X152" s="8"/>
      <c r="Y152" s="8"/>
      <c r="Z152" s="8"/>
    </row>
    <row r="153">
      <c r="A153" s="7" t="s">
        <v>286</v>
      </c>
      <c r="B153" s="7" t="s">
        <v>287</v>
      </c>
      <c r="C153" s="7">
        <v>8.0</v>
      </c>
      <c r="D153" s="7">
        <v>10.0</v>
      </c>
      <c r="E153" s="8"/>
      <c r="F153" s="8"/>
      <c r="G153" s="8"/>
      <c r="H153" s="8"/>
      <c r="I153" s="8"/>
      <c r="J153" s="9"/>
      <c r="K153" s="8"/>
      <c r="L153" s="8"/>
      <c r="M153" s="8"/>
      <c r="N153" s="8"/>
      <c r="O153" s="8"/>
      <c r="P153" s="8"/>
      <c r="Q153" s="8"/>
      <c r="R153" s="8"/>
      <c r="S153" s="8"/>
      <c r="T153" s="8"/>
      <c r="U153" s="8"/>
      <c r="V153" s="8"/>
      <c r="W153" s="8"/>
      <c r="X153" s="8"/>
      <c r="Y153" s="8"/>
      <c r="Z153" s="8"/>
    </row>
    <row r="154">
      <c r="A154" s="7" t="s">
        <v>288</v>
      </c>
      <c r="B154" s="7" t="s">
        <v>289</v>
      </c>
      <c r="C154" s="7">
        <v>40.0</v>
      </c>
      <c r="D154" s="7"/>
      <c r="E154" s="8"/>
      <c r="F154" s="8"/>
      <c r="G154" s="8"/>
      <c r="H154" s="8"/>
      <c r="I154" s="8"/>
      <c r="J154" s="9"/>
      <c r="K154" s="8"/>
      <c r="L154" s="8"/>
      <c r="M154" s="8"/>
      <c r="N154" s="8"/>
      <c r="O154" s="8"/>
      <c r="P154" s="8"/>
      <c r="Q154" s="8"/>
      <c r="R154" s="8"/>
      <c r="S154" s="8"/>
      <c r="T154" s="8"/>
      <c r="U154" s="8"/>
      <c r="V154" s="8"/>
      <c r="W154" s="8"/>
      <c r="X154" s="8"/>
      <c r="Y154" s="8"/>
      <c r="Z154" s="8"/>
    </row>
    <row r="155">
      <c r="A155" s="7" t="s">
        <v>290</v>
      </c>
      <c r="B155" s="7" t="s">
        <v>291</v>
      </c>
      <c r="C155" s="7" t="s">
        <v>51</v>
      </c>
      <c r="D155" s="7">
        <v>6.0</v>
      </c>
      <c r="E155" s="8"/>
      <c r="F155" s="8"/>
      <c r="G155" s="8"/>
      <c r="H155" s="8"/>
      <c r="I155" s="8"/>
      <c r="J155" s="9"/>
      <c r="K155" s="8"/>
      <c r="L155" s="8"/>
      <c r="M155" s="8"/>
      <c r="N155" s="8"/>
      <c r="O155" s="8"/>
      <c r="P155" s="8"/>
      <c r="Q155" s="8"/>
      <c r="R155" s="8"/>
      <c r="S155" s="8"/>
      <c r="T155" s="8"/>
      <c r="U155" s="8"/>
      <c r="V155" s="8"/>
      <c r="W155" s="8"/>
      <c r="X155" s="8"/>
      <c r="Y155" s="8"/>
      <c r="Z155" s="8"/>
    </row>
    <row r="156">
      <c r="A156" s="7" t="s">
        <v>290</v>
      </c>
      <c r="B156" s="7" t="s">
        <v>292</v>
      </c>
      <c r="C156" s="7" t="s">
        <v>66</v>
      </c>
      <c r="D156" s="7">
        <v>6.0</v>
      </c>
      <c r="E156" s="8"/>
      <c r="F156" s="8"/>
      <c r="G156" s="8"/>
      <c r="H156" s="8"/>
      <c r="I156" s="8"/>
      <c r="J156" s="9"/>
      <c r="K156" s="8"/>
      <c r="L156" s="8"/>
      <c r="M156" s="8"/>
      <c r="N156" s="8"/>
      <c r="O156" s="8"/>
      <c r="P156" s="8"/>
      <c r="Q156" s="8"/>
      <c r="R156" s="8"/>
      <c r="S156" s="8"/>
      <c r="T156" s="8"/>
      <c r="U156" s="8"/>
      <c r="V156" s="8"/>
      <c r="W156" s="8"/>
      <c r="X156" s="8"/>
      <c r="Y156" s="8"/>
      <c r="Z156" s="8"/>
    </row>
    <row r="157">
      <c r="A157" s="7" t="s">
        <v>290</v>
      </c>
      <c r="B157" s="7" t="s">
        <v>293</v>
      </c>
      <c r="C157" s="7" t="s">
        <v>51</v>
      </c>
      <c r="D157" s="7">
        <v>2.5</v>
      </c>
      <c r="E157" s="8"/>
      <c r="F157" s="8"/>
      <c r="G157" s="8"/>
      <c r="H157" s="8"/>
      <c r="I157" s="8"/>
      <c r="J157" s="9"/>
      <c r="K157" s="8"/>
      <c r="L157" s="8"/>
      <c r="M157" s="8"/>
      <c r="N157" s="8"/>
      <c r="O157" s="8"/>
      <c r="P157" s="8"/>
      <c r="Q157" s="8"/>
      <c r="R157" s="8"/>
      <c r="S157" s="8"/>
      <c r="T157" s="8"/>
      <c r="U157" s="8"/>
      <c r="V157" s="8"/>
      <c r="W157" s="8"/>
      <c r="X157" s="8"/>
      <c r="Y157" s="8"/>
      <c r="Z157" s="8"/>
    </row>
    <row r="158">
      <c r="A158" s="7" t="s">
        <v>290</v>
      </c>
      <c r="B158" s="7" t="s">
        <v>294</v>
      </c>
      <c r="C158" s="7" t="s">
        <v>51</v>
      </c>
      <c r="D158" s="7">
        <v>6.0</v>
      </c>
      <c r="E158" s="8"/>
      <c r="F158" s="8"/>
      <c r="G158" s="8"/>
      <c r="H158" s="8"/>
      <c r="I158" s="8"/>
      <c r="J158" s="9"/>
      <c r="K158" s="8"/>
      <c r="L158" s="8"/>
      <c r="M158" s="8"/>
      <c r="N158" s="8"/>
      <c r="O158" s="8"/>
      <c r="P158" s="8"/>
      <c r="Q158" s="8"/>
      <c r="R158" s="8"/>
      <c r="S158" s="8"/>
      <c r="T158" s="8"/>
      <c r="U158" s="8"/>
      <c r="V158" s="8"/>
      <c r="W158" s="8"/>
      <c r="X158" s="8"/>
      <c r="Y158" s="8"/>
      <c r="Z158" s="8"/>
    </row>
    <row r="159">
      <c r="A159" s="7" t="s">
        <v>290</v>
      </c>
      <c r="B159" s="7" t="s">
        <v>295</v>
      </c>
      <c r="C159" s="7" t="s">
        <v>66</v>
      </c>
      <c r="D159" s="7">
        <v>5.0</v>
      </c>
      <c r="E159" s="8"/>
      <c r="F159" s="8"/>
      <c r="G159" s="8"/>
      <c r="H159" s="8"/>
      <c r="I159" s="8"/>
      <c r="J159" s="9"/>
      <c r="K159" s="8"/>
      <c r="L159" s="8"/>
      <c r="M159" s="8"/>
      <c r="N159" s="8"/>
      <c r="O159" s="8"/>
      <c r="P159" s="8"/>
      <c r="Q159" s="8"/>
      <c r="R159" s="8"/>
      <c r="S159" s="8"/>
      <c r="T159" s="8"/>
      <c r="U159" s="8"/>
      <c r="V159" s="8"/>
      <c r="W159" s="8"/>
      <c r="X159" s="8"/>
      <c r="Y159" s="8"/>
      <c r="Z159" s="8"/>
    </row>
    <row r="160">
      <c r="A160" s="7" t="s">
        <v>290</v>
      </c>
      <c r="B160" s="7" t="s">
        <v>296</v>
      </c>
      <c r="C160" s="7" t="s">
        <v>57</v>
      </c>
      <c r="D160" s="7">
        <v>7.0</v>
      </c>
      <c r="E160" s="8"/>
      <c r="F160" s="8"/>
      <c r="G160" s="8"/>
      <c r="H160" s="8"/>
      <c r="I160" s="8"/>
      <c r="J160" s="9"/>
      <c r="K160" s="8"/>
      <c r="L160" s="8"/>
      <c r="M160" s="8"/>
      <c r="N160" s="8"/>
      <c r="O160" s="8"/>
      <c r="P160" s="8"/>
      <c r="Q160" s="8"/>
      <c r="R160" s="8"/>
      <c r="S160" s="8"/>
      <c r="T160" s="8"/>
      <c r="U160" s="8"/>
      <c r="V160" s="8"/>
      <c r="W160" s="8"/>
      <c r="X160" s="8"/>
      <c r="Y160" s="8"/>
      <c r="Z160" s="8"/>
    </row>
    <row r="161">
      <c r="A161" s="7" t="s">
        <v>290</v>
      </c>
      <c r="B161" s="7" t="s">
        <v>297</v>
      </c>
      <c r="C161" s="7" t="s">
        <v>51</v>
      </c>
      <c r="D161" s="7">
        <v>7.5</v>
      </c>
      <c r="E161" s="8"/>
      <c r="F161" s="8"/>
      <c r="G161" s="8"/>
      <c r="H161" s="8"/>
      <c r="I161" s="8"/>
      <c r="J161" s="9"/>
      <c r="K161" s="8"/>
      <c r="L161" s="8"/>
      <c r="M161" s="8"/>
      <c r="N161" s="8"/>
      <c r="O161" s="8"/>
      <c r="P161" s="8"/>
      <c r="Q161" s="8"/>
      <c r="R161" s="8"/>
      <c r="S161" s="8"/>
      <c r="T161" s="8"/>
      <c r="U161" s="8"/>
      <c r="V161" s="8"/>
      <c r="W161" s="8"/>
      <c r="X161" s="8"/>
      <c r="Y161" s="8"/>
      <c r="Z161" s="8"/>
    </row>
    <row r="162">
      <c r="A162" s="7" t="s">
        <v>290</v>
      </c>
      <c r="B162" s="7" t="s">
        <v>298</v>
      </c>
      <c r="C162" s="7" t="s">
        <v>57</v>
      </c>
      <c r="D162" s="7">
        <v>7.0</v>
      </c>
      <c r="E162" s="8"/>
      <c r="F162" s="8"/>
      <c r="G162" s="8"/>
      <c r="H162" s="8"/>
      <c r="I162" s="8"/>
      <c r="J162" s="9"/>
      <c r="K162" s="8"/>
      <c r="L162" s="8"/>
      <c r="M162" s="8"/>
      <c r="N162" s="8"/>
      <c r="O162" s="8"/>
      <c r="P162" s="8"/>
      <c r="Q162" s="8"/>
      <c r="R162" s="8"/>
      <c r="S162" s="8"/>
      <c r="T162" s="8"/>
      <c r="U162" s="8"/>
      <c r="V162" s="8"/>
      <c r="W162" s="8"/>
      <c r="X162" s="8"/>
      <c r="Y162" s="8"/>
      <c r="Z162" s="8"/>
    </row>
    <row r="163">
      <c r="A163" s="7" t="s">
        <v>290</v>
      </c>
      <c r="B163" s="7" t="s">
        <v>299</v>
      </c>
      <c r="C163" s="7" t="s">
        <v>57</v>
      </c>
      <c r="D163" s="7">
        <v>4.3</v>
      </c>
      <c r="E163" s="8"/>
      <c r="F163" s="8"/>
      <c r="G163" s="8"/>
      <c r="H163" s="8"/>
      <c r="I163" s="8"/>
      <c r="J163" s="9"/>
      <c r="K163" s="8"/>
      <c r="L163" s="8"/>
      <c r="M163" s="8"/>
      <c r="N163" s="8"/>
      <c r="O163" s="8"/>
      <c r="P163" s="8"/>
      <c r="Q163" s="8"/>
      <c r="R163" s="8"/>
      <c r="S163" s="8"/>
      <c r="T163" s="8"/>
      <c r="U163" s="8"/>
      <c r="V163" s="8"/>
      <c r="W163" s="8"/>
      <c r="X163" s="8"/>
      <c r="Y163" s="8"/>
      <c r="Z163" s="8"/>
    </row>
    <row r="164">
      <c r="A164" s="7" t="s">
        <v>290</v>
      </c>
      <c r="B164" s="7" t="s">
        <v>300</v>
      </c>
      <c r="C164" s="7" t="s">
        <v>51</v>
      </c>
      <c r="D164" s="7">
        <v>8.3</v>
      </c>
      <c r="E164" s="8"/>
      <c r="F164" s="8"/>
      <c r="G164" s="8"/>
      <c r="H164" s="8"/>
      <c r="I164" s="8"/>
      <c r="J164" s="9"/>
      <c r="K164" s="8"/>
      <c r="L164" s="8"/>
      <c r="M164" s="8"/>
      <c r="N164" s="8"/>
      <c r="O164" s="8"/>
      <c r="P164" s="8"/>
      <c r="Q164" s="8"/>
      <c r="R164" s="8"/>
      <c r="S164" s="8"/>
      <c r="T164" s="8"/>
      <c r="U164" s="8"/>
      <c r="V164" s="8"/>
      <c r="W164" s="8"/>
      <c r="X164" s="8"/>
      <c r="Y164" s="8"/>
      <c r="Z164" s="8"/>
    </row>
    <row r="165">
      <c r="A165" s="7" t="s">
        <v>290</v>
      </c>
      <c r="B165" s="7" t="s">
        <v>301</v>
      </c>
      <c r="C165" s="7" t="s">
        <v>51</v>
      </c>
      <c r="D165" s="7">
        <v>5.0</v>
      </c>
      <c r="E165" s="8"/>
      <c r="F165" s="8"/>
      <c r="G165" s="8"/>
      <c r="H165" s="8"/>
      <c r="I165" s="8"/>
      <c r="J165" s="9"/>
      <c r="K165" s="8"/>
      <c r="L165" s="8"/>
      <c r="M165" s="8"/>
      <c r="N165" s="8"/>
      <c r="O165" s="8"/>
      <c r="P165" s="8"/>
      <c r="Q165" s="8"/>
      <c r="R165" s="8"/>
      <c r="S165" s="8"/>
      <c r="T165" s="8"/>
      <c r="U165" s="8"/>
      <c r="V165" s="8"/>
      <c r="W165" s="8"/>
      <c r="X165" s="8"/>
      <c r="Y165" s="8"/>
      <c r="Z165" s="8"/>
    </row>
    <row r="166">
      <c r="A166" s="7" t="s">
        <v>302</v>
      </c>
      <c r="B166" s="7" t="s">
        <v>303</v>
      </c>
      <c r="C166" s="7"/>
      <c r="D166" s="7">
        <v>11.0</v>
      </c>
      <c r="E166" s="8"/>
      <c r="F166" s="8"/>
      <c r="G166" s="8"/>
      <c r="H166" s="8"/>
      <c r="I166" s="8"/>
      <c r="J166" s="9"/>
      <c r="K166" s="8"/>
      <c r="L166" s="8"/>
      <c r="M166" s="8"/>
      <c r="N166" s="8"/>
      <c r="O166" s="8"/>
      <c r="P166" s="8"/>
      <c r="Q166" s="8"/>
      <c r="R166" s="8"/>
      <c r="S166" s="8"/>
      <c r="T166" s="8"/>
      <c r="U166" s="8"/>
      <c r="V166" s="8"/>
      <c r="W166" s="8"/>
      <c r="X166" s="8"/>
      <c r="Y166" s="8"/>
      <c r="Z166" s="8"/>
    </row>
    <row r="167">
      <c r="A167" s="7" t="s">
        <v>304</v>
      </c>
      <c r="B167" s="7" t="s">
        <v>305</v>
      </c>
      <c r="C167" s="7" t="s">
        <v>306</v>
      </c>
      <c r="D167" s="7">
        <v>4.0</v>
      </c>
      <c r="E167" s="8"/>
      <c r="F167" s="8"/>
      <c r="G167" s="8"/>
      <c r="H167" s="8"/>
      <c r="I167" s="8"/>
      <c r="J167" s="9"/>
      <c r="K167" s="8"/>
      <c r="L167" s="8"/>
      <c r="M167" s="8"/>
      <c r="N167" s="8"/>
      <c r="O167" s="8"/>
      <c r="P167" s="8"/>
      <c r="Q167" s="8"/>
      <c r="R167" s="8"/>
      <c r="S167" s="8"/>
      <c r="T167" s="8"/>
      <c r="U167" s="8"/>
      <c r="V167" s="8"/>
      <c r="W167" s="8"/>
      <c r="X167" s="8"/>
      <c r="Y167" s="8"/>
      <c r="Z167" s="8"/>
    </row>
    <row r="168">
      <c r="A168" s="7" t="s">
        <v>307</v>
      </c>
      <c r="B168" s="7" t="s">
        <v>308</v>
      </c>
      <c r="C168" s="7"/>
      <c r="D168" s="7">
        <v>4.45</v>
      </c>
      <c r="E168" s="8"/>
      <c r="F168" s="8"/>
      <c r="G168" s="8"/>
      <c r="H168" s="8"/>
      <c r="I168" s="8"/>
      <c r="J168" s="9"/>
      <c r="K168" s="8"/>
      <c r="L168" s="8"/>
      <c r="M168" s="8"/>
      <c r="N168" s="8"/>
      <c r="O168" s="8"/>
      <c r="P168" s="8"/>
      <c r="Q168" s="8"/>
      <c r="R168" s="8"/>
      <c r="S168" s="8"/>
      <c r="T168" s="8"/>
      <c r="U168" s="8"/>
      <c r="V168" s="8"/>
      <c r="W168" s="8"/>
      <c r="X168" s="8"/>
      <c r="Y168" s="8"/>
      <c r="Z168" s="8"/>
    </row>
    <row r="169">
      <c r="A169" s="7" t="s">
        <v>309</v>
      </c>
      <c r="B169" s="7" t="s">
        <v>116</v>
      </c>
      <c r="C169" s="7">
        <v>38.0</v>
      </c>
      <c r="D169" s="7">
        <v>3.5</v>
      </c>
      <c r="E169" s="8"/>
      <c r="F169" s="8"/>
      <c r="G169" s="8"/>
      <c r="H169" s="8"/>
      <c r="I169" s="8"/>
      <c r="J169" s="9"/>
      <c r="K169" s="8"/>
      <c r="L169" s="8"/>
      <c r="M169" s="8"/>
      <c r="N169" s="8"/>
      <c r="O169" s="8"/>
      <c r="P169" s="8"/>
      <c r="Q169" s="8"/>
      <c r="R169" s="8"/>
      <c r="S169" s="8"/>
      <c r="T169" s="8"/>
      <c r="U169" s="8"/>
      <c r="V169" s="8"/>
      <c r="W169" s="8"/>
      <c r="X169" s="8"/>
      <c r="Y169" s="8"/>
      <c r="Z169" s="8"/>
    </row>
    <row r="170">
      <c r="A170" s="7" t="s">
        <v>309</v>
      </c>
      <c r="B170" s="7" t="s">
        <v>310</v>
      </c>
      <c r="C170" s="7">
        <v>3.0</v>
      </c>
      <c r="D170" s="7">
        <v>11.0</v>
      </c>
      <c r="E170" s="8"/>
      <c r="F170" s="8"/>
      <c r="G170" s="8"/>
      <c r="H170" s="8"/>
      <c r="I170" s="8"/>
      <c r="J170" s="9"/>
      <c r="K170" s="8"/>
      <c r="L170" s="8"/>
      <c r="M170" s="8"/>
      <c r="N170" s="8"/>
      <c r="O170" s="8"/>
      <c r="P170" s="8"/>
      <c r="Q170" s="8"/>
      <c r="R170" s="8"/>
      <c r="S170" s="8"/>
      <c r="T170" s="8"/>
      <c r="U170" s="8"/>
      <c r="V170" s="8"/>
      <c r="W170" s="8"/>
      <c r="X170" s="8"/>
      <c r="Y170" s="8"/>
      <c r="Z170" s="8"/>
    </row>
    <row r="171">
      <c r="A171" s="7" t="s">
        <v>311</v>
      </c>
      <c r="B171" s="7" t="s">
        <v>243</v>
      </c>
      <c r="C171" s="7" t="s">
        <v>57</v>
      </c>
      <c r="D171" s="7">
        <v>9.0</v>
      </c>
      <c r="E171" s="8"/>
      <c r="F171" s="8"/>
      <c r="G171" s="8"/>
      <c r="H171" s="8"/>
      <c r="I171" s="8"/>
      <c r="J171" s="9"/>
      <c r="K171" s="8"/>
      <c r="L171" s="8"/>
      <c r="M171" s="8"/>
      <c r="N171" s="8"/>
      <c r="O171" s="8"/>
      <c r="P171" s="8"/>
      <c r="Q171" s="8"/>
      <c r="R171" s="8"/>
      <c r="S171" s="8"/>
      <c r="T171" s="8"/>
      <c r="U171" s="8"/>
      <c r="V171" s="8"/>
      <c r="W171" s="8"/>
      <c r="X171" s="8"/>
      <c r="Y171" s="8"/>
      <c r="Z171" s="8"/>
    </row>
    <row r="172">
      <c r="A172" s="7" t="s">
        <v>311</v>
      </c>
      <c r="B172" s="7" t="s">
        <v>312</v>
      </c>
      <c r="C172" s="7">
        <v>7.5</v>
      </c>
      <c r="D172" s="7">
        <v>7.0</v>
      </c>
      <c r="E172" s="8"/>
      <c r="F172" s="8"/>
      <c r="G172" s="8"/>
      <c r="H172" s="8"/>
      <c r="I172" s="8"/>
      <c r="J172" s="9"/>
      <c r="K172" s="8"/>
      <c r="L172" s="8"/>
      <c r="M172" s="8"/>
      <c r="N172" s="8"/>
      <c r="O172" s="8"/>
      <c r="P172" s="8"/>
      <c r="Q172" s="8"/>
      <c r="R172" s="8"/>
      <c r="S172" s="8"/>
      <c r="T172" s="8"/>
      <c r="U172" s="8"/>
      <c r="V172" s="8"/>
      <c r="W172" s="8"/>
      <c r="X172" s="8"/>
      <c r="Y172" s="8"/>
      <c r="Z172" s="8"/>
    </row>
    <row r="173">
      <c r="A173" s="7" t="s">
        <v>313</v>
      </c>
      <c r="B173" s="7" t="s">
        <v>266</v>
      </c>
      <c r="C173" s="7">
        <v>2.0</v>
      </c>
      <c r="D173" s="7">
        <v>4.5</v>
      </c>
      <c r="E173" s="8"/>
      <c r="F173" s="8"/>
      <c r="G173" s="8"/>
      <c r="H173" s="8"/>
      <c r="I173" s="8"/>
      <c r="J173" s="9"/>
      <c r="K173" s="8"/>
      <c r="L173" s="8"/>
      <c r="M173" s="8"/>
      <c r="N173" s="8"/>
      <c r="O173" s="8"/>
      <c r="P173" s="8"/>
      <c r="Q173" s="8"/>
      <c r="R173" s="8"/>
      <c r="S173" s="8"/>
      <c r="T173" s="8"/>
      <c r="U173" s="8"/>
      <c r="V173" s="8"/>
      <c r="W173" s="8"/>
      <c r="X173" s="8"/>
      <c r="Y173" s="8"/>
      <c r="Z173" s="8"/>
    </row>
    <row r="174">
      <c r="A174" s="7" t="s">
        <v>313</v>
      </c>
      <c r="B174" s="7" t="s">
        <v>314</v>
      </c>
      <c r="C174" s="7" t="s">
        <v>66</v>
      </c>
      <c r="D174" s="7">
        <v>7.0</v>
      </c>
      <c r="E174" s="8"/>
      <c r="F174" s="8"/>
      <c r="G174" s="8"/>
      <c r="H174" s="8"/>
      <c r="I174" s="8"/>
      <c r="J174" s="9"/>
      <c r="K174" s="8"/>
      <c r="L174" s="8"/>
      <c r="M174" s="8"/>
      <c r="N174" s="8"/>
      <c r="O174" s="8"/>
      <c r="P174" s="8"/>
      <c r="Q174" s="8"/>
      <c r="R174" s="8"/>
      <c r="S174" s="8"/>
      <c r="T174" s="8"/>
      <c r="U174" s="8"/>
      <c r="V174" s="8"/>
      <c r="W174" s="8"/>
      <c r="X174" s="8"/>
      <c r="Y174" s="8"/>
      <c r="Z174" s="8"/>
    </row>
    <row r="175">
      <c r="A175" s="7" t="s">
        <v>313</v>
      </c>
      <c r="B175" s="7" t="s">
        <v>315</v>
      </c>
      <c r="C175" s="7" t="s">
        <v>51</v>
      </c>
      <c r="D175" s="7">
        <v>8.0</v>
      </c>
      <c r="E175" s="8"/>
      <c r="F175" s="8"/>
      <c r="G175" s="8"/>
      <c r="H175" s="8"/>
      <c r="I175" s="8"/>
      <c r="J175" s="9"/>
      <c r="K175" s="8"/>
      <c r="L175" s="8"/>
      <c r="M175" s="8"/>
      <c r="N175" s="8"/>
      <c r="O175" s="8"/>
      <c r="P175" s="8"/>
      <c r="Q175" s="8"/>
      <c r="R175" s="8"/>
      <c r="S175" s="8"/>
      <c r="T175" s="8"/>
      <c r="U175" s="8"/>
      <c r="V175" s="8"/>
      <c r="W175" s="8"/>
      <c r="X175" s="8"/>
      <c r="Y175" s="8"/>
      <c r="Z175" s="8"/>
    </row>
    <row r="176">
      <c r="A176" s="7" t="s">
        <v>316</v>
      </c>
      <c r="B176" s="7" t="s">
        <v>317</v>
      </c>
      <c r="C176" s="7">
        <v>1.0</v>
      </c>
      <c r="D176" s="7">
        <v>7.3</v>
      </c>
      <c r="E176" s="8"/>
      <c r="F176" s="8"/>
      <c r="G176" s="8"/>
      <c r="H176" s="8"/>
      <c r="I176" s="8"/>
      <c r="J176" s="9"/>
      <c r="K176" s="8"/>
      <c r="L176" s="8"/>
      <c r="M176" s="8"/>
      <c r="N176" s="8"/>
      <c r="O176" s="8"/>
      <c r="P176" s="8"/>
      <c r="Q176" s="8"/>
      <c r="R176" s="8"/>
      <c r="S176" s="8"/>
      <c r="T176" s="8"/>
      <c r="U176" s="8"/>
      <c r="V176" s="8"/>
      <c r="W176" s="8"/>
      <c r="X176" s="8"/>
      <c r="Y176" s="8"/>
      <c r="Z176" s="8"/>
    </row>
    <row r="177">
      <c r="A177" s="7" t="s">
        <v>318</v>
      </c>
      <c r="B177" s="7" t="s">
        <v>319</v>
      </c>
      <c r="C177" s="7" t="s">
        <v>57</v>
      </c>
      <c r="D177" s="7">
        <v>5.0</v>
      </c>
      <c r="E177" s="8"/>
      <c r="F177" s="8"/>
      <c r="G177" s="8"/>
      <c r="H177" s="8"/>
      <c r="I177" s="8"/>
      <c r="J177" s="17"/>
      <c r="K177" s="8"/>
      <c r="L177" s="8"/>
      <c r="M177" s="8"/>
      <c r="N177" s="8"/>
      <c r="O177" s="8"/>
      <c r="P177" s="8"/>
      <c r="Q177" s="8"/>
      <c r="R177" s="8"/>
      <c r="S177" s="8"/>
      <c r="T177" s="8"/>
      <c r="U177" s="8"/>
      <c r="V177" s="8"/>
      <c r="W177" s="8"/>
      <c r="X177" s="8"/>
      <c r="Y177" s="8"/>
      <c r="Z177" s="8"/>
    </row>
    <row r="178">
      <c r="A178" s="7" t="s">
        <v>318</v>
      </c>
      <c r="B178" s="7" t="s">
        <v>320</v>
      </c>
      <c r="C178" s="7" t="s">
        <v>57</v>
      </c>
      <c r="D178" s="7">
        <v>6.0</v>
      </c>
      <c r="E178" s="8"/>
      <c r="F178" s="8"/>
      <c r="G178" s="8"/>
      <c r="H178" s="8"/>
      <c r="I178" s="8"/>
      <c r="J178" s="17"/>
      <c r="K178" s="8"/>
      <c r="L178" s="8"/>
      <c r="M178" s="8"/>
      <c r="N178" s="8"/>
      <c r="O178" s="8"/>
      <c r="P178" s="8"/>
      <c r="Q178" s="8"/>
      <c r="R178" s="8"/>
      <c r="S178" s="8"/>
      <c r="T178" s="8"/>
      <c r="U178" s="8"/>
      <c r="V178" s="8"/>
      <c r="W178" s="8"/>
      <c r="X178" s="8"/>
      <c r="Y178" s="8"/>
      <c r="Z178" s="8"/>
    </row>
    <row r="179">
      <c r="A179" s="7" t="s">
        <v>321</v>
      </c>
      <c r="B179" s="7" t="s">
        <v>322</v>
      </c>
      <c r="C179" s="7" t="s">
        <v>51</v>
      </c>
      <c r="D179" s="7">
        <v>5.0</v>
      </c>
      <c r="E179" s="8"/>
      <c r="F179" s="8"/>
      <c r="G179" s="8"/>
      <c r="H179" s="8"/>
      <c r="I179" s="8"/>
      <c r="J179" s="17"/>
      <c r="K179" s="8"/>
      <c r="L179" s="8"/>
      <c r="M179" s="8"/>
      <c r="N179" s="8"/>
      <c r="O179" s="8"/>
      <c r="P179" s="8"/>
      <c r="Q179" s="8"/>
      <c r="R179" s="8"/>
      <c r="S179" s="8"/>
      <c r="T179" s="8"/>
      <c r="U179" s="8"/>
      <c r="V179" s="8"/>
      <c r="W179" s="8"/>
      <c r="X179" s="8"/>
      <c r="Y179" s="8"/>
      <c r="Z179" s="8"/>
    </row>
    <row r="180">
      <c r="A180" s="7" t="s">
        <v>323</v>
      </c>
      <c r="B180" s="7" t="s">
        <v>324</v>
      </c>
      <c r="C180" s="7" t="s">
        <v>57</v>
      </c>
      <c r="D180" s="7">
        <v>9.0</v>
      </c>
      <c r="E180" s="8"/>
      <c r="F180" s="8"/>
      <c r="G180" s="8"/>
      <c r="H180" s="8"/>
      <c r="I180" s="8"/>
      <c r="J180" s="17"/>
      <c r="K180" s="8"/>
      <c r="L180" s="8"/>
      <c r="M180" s="8"/>
      <c r="N180" s="8"/>
      <c r="O180" s="8"/>
      <c r="P180" s="8"/>
      <c r="Q180" s="8"/>
      <c r="R180" s="8"/>
      <c r="S180" s="8"/>
      <c r="T180" s="8"/>
      <c r="U180" s="8"/>
      <c r="V180" s="8"/>
      <c r="W180" s="8"/>
      <c r="X180" s="8"/>
      <c r="Y180" s="8"/>
      <c r="Z180" s="8"/>
    </row>
    <row r="181">
      <c r="A181" s="7" t="s">
        <v>325</v>
      </c>
      <c r="B181" s="7" t="s">
        <v>326</v>
      </c>
      <c r="C181" s="7"/>
      <c r="D181" s="7">
        <v>7.5</v>
      </c>
      <c r="E181" s="8"/>
      <c r="F181" s="8"/>
      <c r="G181" s="8"/>
      <c r="H181" s="8"/>
      <c r="I181" s="8"/>
      <c r="J181" s="17"/>
      <c r="K181" s="8"/>
      <c r="L181" s="8"/>
      <c r="M181" s="8"/>
      <c r="N181" s="8"/>
      <c r="O181" s="8"/>
      <c r="P181" s="8"/>
      <c r="Q181" s="8"/>
      <c r="R181" s="8"/>
      <c r="S181" s="8"/>
      <c r="T181" s="8"/>
      <c r="U181" s="8"/>
      <c r="V181" s="8"/>
      <c r="W181" s="8"/>
      <c r="X181" s="8"/>
      <c r="Y181" s="8"/>
      <c r="Z181" s="8"/>
    </row>
    <row r="182">
      <c r="A182" s="7" t="s">
        <v>327</v>
      </c>
      <c r="B182" s="7" t="s">
        <v>328</v>
      </c>
      <c r="C182" s="7" t="s">
        <v>66</v>
      </c>
      <c r="D182" s="7">
        <v>6.0</v>
      </c>
      <c r="E182" s="8"/>
      <c r="F182" s="8"/>
      <c r="G182" s="8"/>
      <c r="H182" s="8"/>
      <c r="I182" s="8"/>
      <c r="J182" s="18" t="s">
        <v>329</v>
      </c>
      <c r="K182" s="8"/>
      <c r="L182" s="8"/>
      <c r="M182" s="8"/>
      <c r="N182" s="8"/>
      <c r="O182" s="8"/>
      <c r="P182" s="8"/>
      <c r="Q182" s="8"/>
      <c r="R182" s="8"/>
      <c r="S182" s="8"/>
      <c r="T182" s="8"/>
      <c r="U182" s="8"/>
      <c r="V182" s="8"/>
      <c r="W182" s="8"/>
      <c r="X182" s="8"/>
      <c r="Y182" s="8"/>
      <c r="Z182" s="8"/>
    </row>
    <row r="183">
      <c r="A183" s="7" t="s">
        <v>330</v>
      </c>
      <c r="B183" s="7" t="s">
        <v>331</v>
      </c>
      <c r="C183" s="7" t="s">
        <v>57</v>
      </c>
      <c r="D183" s="7">
        <v>6.5</v>
      </c>
      <c r="E183" s="8"/>
      <c r="F183" s="8"/>
      <c r="G183" s="8"/>
      <c r="H183" s="8"/>
      <c r="I183" s="8"/>
      <c r="J183" s="17"/>
      <c r="K183" s="8"/>
      <c r="L183" s="8"/>
      <c r="M183" s="8"/>
      <c r="N183" s="8"/>
      <c r="O183" s="8"/>
      <c r="P183" s="8"/>
      <c r="Q183" s="8"/>
      <c r="R183" s="8"/>
      <c r="S183" s="8"/>
      <c r="T183" s="8"/>
      <c r="U183" s="8"/>
      <c r="V183" s="8"/>
      <c r="W183" s="8"/>
      <c r="X183" s="8"/>
      <c r="Y183" s="8"/>
      <c r="Z183" s="8"/>
    </row>
    <row r="184">
      <c r="A184" s="7" t="s">
        <v>332</v>
      </c>
      <c r="B184" s="7" t="s">
        <v>333</v>
      </c>
      <c r="C184" s="7">
        <v>7.5</v>
      </c>
      <c r="D184" s="7">
        <v>2.0</v>
      </c>
      <c r="E184" s="8"/>
      <c r="F184" s="8"/>
      <c r="G184" s="8"/>
      <c r="H184" s="8"/>
      <c r="I184" s="8"/>
      <c r="J184" s="17"/>
      <c r="K184" s="8"/>
      <c r="L184" s="8"/>
      <c r="M184" s="8"/>
      <c r="N184" s="8"/>
      <c r="O184" s="8"/>
      <c r="P184" s="8"/>
      <c r="Q184" s="8"/>
      <c r="R184" s="8"/>
      <c r="S184" s="8"/>
      <c r="T184" s="8"/>
      <c r="U184" s="8"/>
      <c r="V184" s="8"/>
      <c r="W184" s="8"/>
      <c r="X184" s="8"/>
      <c r="Y184" s="8"/>
      <c r="Z184" s="8"/>
    </row>
    <row r="185">
      <c r="A185" s="10" t="s">
        <v>334</v>
      </c>
      <c r="B185" s="10" t="s">
        <v>335</v>
      </c>
      <c r="C185" s="10">
        <v>6.0</v>
      </c>
      <c r="D185" s="10">
        <v>13.0</v>
      </c>
      <c r="E185" s="11"/>
      <c r="F185" s="11"/>
      <c r="G185" s="11"/>
      <c r="H185" s="10" t="s">
        <v>139</v>
      </c>
      <c r="I185" s="11"/>
      <c r="J185" s="12"/>
      <c r="K185" s="11"/>
      <c r="L185" s="11"/>
      <c r="M185" s="11"/>
      <c r="N185" s="11"/>
      <c r="O185" s="11"/>
      <c r="P185" s="11"/>
      <c r="Q185" s="11"/>
      <c r="R185" s="11"/>
      <c r="S185" s="11"/>
      <c r="T185" s="11"/>
      <c r="U185" s="11"/>
      <c r="V185" s="11"/>
      <c r="W185" s="11"/>
      <c r="X185" s="11"/>
      <c r="Y185" s="11"/>
      <c r="Z185" s="11"/>
    </row>
    <row r="186">
      <c r="A186" s="7" t="s">
        <v>334</v>
      </c>
      <c r="B186" s="7" t="s">
        <v>336</v>
      </c>
      <c r="C186" s="7" t="s">
        <v>51</v>
      </c>
      <c r="D186" s="7">
        <v>5.5</v>
      </c>
      <c r="E186" s="8"/>
      <c r="F186" s="8"/>
      <c r="G186" s="8"/>
      <c r="H186" s="7"/>
      <c r="I186" s="8"/>
      <c r="J186" s="9"/>
      <c r="K186" s="8"/>
      <c r="L186" s="8"/>
      <c r="M186" s="8"/>
      <c r="N186" s="8"/>
      <c r="O186" s="8"/>
      <c r="P186" s="8"/>
      <c r="Q186" s="8"/>
      <c r="R186" s="8"/>
      <c r="S186" s="8"/>
      <c r="T186" s="8"/>
      <c r="U186" s="8"/>
      <c r="V186" s="8"/>
      <c r="W186" s="8"/>
      <c r="X186" s="8"/>
      <c r="Y186" s="8"/>
      <c r="Z186" s="8"/>
    </row>
    <row r="187">
      <c r="A187" s="7" t="s">
        <v>334</v>
      </c>
      <c r="B187" s="7" t="s">
        <v>337</v>
      </c>
      <c r="C187" s="7">
        <v>6.0</v>
      </c>
      <c r="D187" s="7">
        <v>4.25</v>
      </c>
      <c r="E187" s="8"/>
      <c r="F187" s="8"/>
      <c r="G187" s="8"/>
      <c r="H187" s="7"/>
      <c r="I187" s="8"/>
      <c r="J187" s="9"/>
      <c r="K187" s="8"/>
      <c r="L187" s="8"/>
      <c r="M187" s="8"/>
      <c r="N187" s="8"/>
      <c r="O187" s="8"/>
      <c r="P187" s="8"/>
      <c r="Q187" s="8"/>
      <c r="R187" s="8"/>
      <c r="S187" s="8"/>
      <c r="T187" s="8"/>
      <c r="U187" s="8"/>
      <c r="V187" s="8"/>
      <c r="W187" s="8"/>
      <c r="X187" s="8"/>
      <c r="Y187" s="8"/>
      <c r="Z187" s="8"/>
    </row>
    <row r="188">
      <c r="A188" s="7" t="s">
        <v>338</v>
      </c>
      <c r="B188" s="7" t="s">
        <v>339</v>
      </c>
      <c r="C188" s="7">
        <v>6.0</v>
      </c>
      <c r="D188" s="7">
        <v>7.0</v>
      </c>
      <c r="E188" s="8"/>
      <c r="F188" s="8"/>
      <c r="G188" s="8"/>
      <c r="H188" s="8"/>
      <c r="I188" s="8"/>
      <c r="J188" s="9"/>
      <c r="K188" s="8"/>
      <c r="L188" s="8"/>
      <c r="M188" s="8"/>
      <c r="N188" s="8"/>
      <c r="O188" s="8"/>
      <c r="P188" s="8"/>
      <c r="Q188" s="8"/>
      <c r="R188" s="8"/>
      <c r="S188" s="8"/>
      <c r="T188" s="8"/>
      <c r="U188" s="8"/>
      <c r="V188" s="8"/>
      <c r="W188" s="8"/>
      <c r="X188" s="8"/>
      <c r="Y188" s="8"/>
      <c r="Z188" s="8"/>
    </row>
    <row r="189">
      <c r="A189" s="7" t="s">
        <v>340</v>
      </c>
      <c r="B189" s="7" t="s">
        <v>341</v>
      </c>
      <c r="C189" s="7"/>
      <c r="D189" s="7">
        <v>12.0</v>
      </c>
      <c r="E189" s="8"/>
      <c r="F189" s="8"/>
      <c r="G189" s="8"/>
      <c r="H189" s="8"/>
      <c r="I189" s="8"/>
      <c r="J189" s="9"/>
      <c r="K189" s="8"/>
      <c r="L189" s="8"/>
      <c r="M189" s="8"/>
      <c r="N189" s="8"/>
      <c r="O189" s="8"/>
      <c r="P189" s="8"/>
      <c r="Q189" s="8"/>
      <c r="R189" s="8"/>
      <c r="S189" s="8"/>
      <c r="T189" s="8"/>
      <c r="U189" s="8"/>
      <c r="V189" s="8"/>
      <c r="W189" s="8"/>
      <c r="X189" s="8"/>
      <c r="Y189" s="8"/>
      <c r="Z189" s="8"/>
    </row>
    <row r="190">
      <c r="A190" s="7" t="s">
        <v>342</v>
      </c>
      <c r="B190" s="7" t="s">
        <v>343</v>
      </c>
      <c r="C190" s="7" t="s">
        <v>344</v>
      </c>
      <c r="D190" s="7">
        <v>7.0</v>
      </c>
      <c r="E190" s="8"/>
      <c r="F190" s="8"/>
      <c r="G190" s="8"/>
      <c r="H190" s="8"/>
      <c r="I190" s="8"/>
      <c r="J190" s="9"/>
      <c r="K190" s="8"/>
      <c r="L190" s="8"/>
      <c r="M190" s="8"/>
      <c r="N190" s="8"/>
      <c r="O190" s="8"/>
      <c r="P190" s="8"/>
      <c r="Q190" s="8"/>
      <c r="R190" s="8"/>
      <c r="S190" s="8"/>
      <c r="T190" s="8"/>
      <c r="U190" s="8"/>
      <c r="V190" s="8"/>
      <c r="W190" s="8"/>
      <c r="X190" s="8"/>
      <c r="Y190" s="8"/>
      <c r="Z190" s="8"/>
    </row>
    <row r="191">
      <c r="A191" s="10" t="s">
        <v>345</v>
      </c>
      <c r="B191" s="10" t="s">
        <v>346</v>
      </c>
      <c r="C191" s="10" t="s">
        <v>95</v>
      </c>
      <c r="D191" s="10">
        <v>5.0</v>
      </c>
      <c r="E191" s="11"/>
      <c r="F191" s="11"/>
      <c r="G191" s="11"/>
      <c r="H191" s="10" t="s">
        <v>347</v>
      </c>
      <c r="I191" s="11"/>
      <c r="J191" s="12"/>
      <c r="K191" s="11"/>
      <c r="L191" s="11"/>
      <c r="M191" s="11"/>
      <c r="N191" s="11"/>
      <c r="O191" s="11"/>
      <c r="P191" s="11"/>
      <c r="Q191" s="11"/>
      <c r="R191" s="11"/>
      <c r="S191" s="11"/>
      <c r="T191" s="11"/>
      <c r="U191" s="11"/>
      <c r="V191" s="11"/>
      <c r="W191" s="11"/>
      <c r="X191" s="11"/>
      <c r="Y191" s="11"/>
      <c r="Z191" s="11"/>
    </row>
    <row r="192">
      <c r="A192" s="7" t="s">
        <v>345</v>
      </c>
      <c r="B192" s="7" t="s">
        <v>348</v>
      </c>
      <c r="C192" s="7" t="s">
        <v>57</v>
      </c>
      <c r="D192" s="7">
        <v>4.5</v>
      </c>
      <c r="E192" s="8"/>
      <c r="F192" s="8"/>
      <c r="G192" s="8"/>
      <c r="H192" s="8"/>
      <c r="I192" s="8"/>
      <c r="J192" s="9"/>
      <c r="K192" s="8"/>
      <c r="L192" s="8"/>
      <c r="M192" s="8"/>
      <c r="N192" s="8"/>
      <c r="O192" s="8"/>
      <c r="P192" s="8"/>
      <c r="Q192" s="8"/>
      <c r="R192" s="8"/>
      <c r="S192" s="8"/>
      <c r="T192" s="8"/>
      <c r="U192" s="8"/>
      <c r="V192" s="8"/>
      <c r="W192" s="8"/>
      <c r="X192" s="8"/>
      <c r="Y192" s="8"/>
      <c r="Z192" s="8"/>
    </row>
    <row r="193">
      <c r="A193" s="10" t="s">
        <v>349</v>
      </c>
      <c r="B193" s="10" t="s">
        <v>350</v>
      </c>
      <c r="C193" s="10" t="s">
        <v>57</v>
      </c>
      <c r="D193" s="10">
        <v>7.3</v>
      </c>
      <c r="E193" s="11"/>
      <c r="F193" s="11"/>
      <c r="G193" s="10"/>
      <c r="H193" s="10" t="s">
        <v>351</v>
      </c>
      <c r="I193" s="11"/>
      <c r="J193" s="12"/>
      <c r="K193" s="11"/>
      <c r="L193" s="11"/>
      <c r="M193" s="11"/>
      <c r="N193" s="11"/>
      <c r="O193" s="11"/>
      <c r="P193" s="11"/>
      <c r="Q193" s="11"/>
      <c r="R193" s="11"/>
      <c r="S193" s="11"/>
      <c r="T193" s="11"/>
      <c r="U193" s="11"/>
      <c r="V193" s="11"/>
      <c r="W193" s="11"/>
      <c r="X193" s="11"/>
      <c r="Y193" s="11"/>
      <c r="Z193" s="11"/>
    </row>
    <row r="194">
      <c r="A194" s="10" t="s">
        <v>349</v>
      </c>
      <c r="B194" s="10" t="s">
        <v>352</v>
      </c>
      <c r="C194" s="10" t="s">
        <v>51</v>
      </c>
      <c r="D194" s="10">
        <v>3.25</v>
      </c>
      <c r="E194" s="11"/>
      <c r="F194" s="11"/>
      <c r="G194" s="10"/>
      <c r="H194" s="10" t="s">
        <v>353</v>
      </c>
      <c r="I194" s="11"/>
      <c r="J194" s="12"/>
      <c r="K194" s="11"/>
      <c r="L194" s="11"/>
      <c r="M194" s="11"/>
      <c r="N194" s="11"/>
      <c r="O194" s="11"/>
      <c r="P194" s="11"/>
      <c r="Q194" s="11"/>
      <c r="R194" s="11"/>
      <c r="S194" s="11"/>
      <c r="T194" s="11"/>
      <c r="U194" s="11"/>
      <c r="V194" s="11"/>
      <c r="W194" s="11"/>
      <c r="X194" s="11"/>
      <c r="Y194" s="11"/>
      <c r="Z194" s="11"/>
    </row>
    <row r="195">
      <c r="A195" s="7" t="s">
        <v>349</v>
      </c>
      <c r="B195" s="7" t="s">
        <v>354</v>
      </c>
      <c r="C195" s="7" t="s">
        <v>51</v>
      </c>
      <c r="D195" s="7">
        <v>10.5</v>
      </c>
      <c r="E195" s="8"/>
      <c r="F195" s="8"/>
      <c r="G195" s="7"/>
      <c r="H195" s="7"/>
      <c r="I195" s="8"/>
      <c r="J195" s="9"/>
      <c r="K195" s="8"/>
      <c r="L195" s="8"/>
      <c r="M195" s="8"/>
      <c r="N195" s="8"/>
      <c r="O195" s="8"/>
      <c r="P195" s="8"/>
      <c r="Q195" s="8"/>
      <c r="R195" s="8"/>
      <c r="S195" s="8"/>
      <c r="T195" s="8"/>
      <c r="U195" s="8"/>
      <c r="V195" s="8"/>
      <c r="W195" s="8"/>
      <c r="X195" s="8"/>
      <c r="Y195" s="8"/>
      <c r="Z195" s="8"/>
    </row>
    <row r="196">
      <c r="A196" s="7" t="s">
        <v>349</v>
      </c>
      <c r="B196" s="7" t="s">
        <v>355</v>
      </c>
      <c r="C196" s="7" t="s">
        <v>66</v>
      </c>
      <c r="D196" s="7">
        <v>9.0</v>
      </c>
      <c r="E196" s="8"/>
      <c r="F196" s="8"/>
      <c r="G196" s="7"/>
      <c r="H196" s="7"/>
      <c r="I196" s="8"/>
      <c r="J196" s="9"/>
      <c r="K196" s="8"/>
      <c r="L196" s="8"/>
      <c r="M196" s="8"/>
      <c r="N196" s="8"/>
      <c r="O196" s="8"/>
      <c r="P196" s="8"/>
      <c r="Q196" s="8"/>
      <c r="R196" s="8"/>
      <c r="S196" s="8"/>
      <c r="T196" s="8"/>
      <c r="U196" s="8"/>
      <c r="V196" s="8"/>
      <c r="W196" s="8"/>
      <c r="X196" s="8"/>
      <c r="Y196" s="8"/>
      <c r="Z196" s="8"/>
    </row>
    <row r="197">
      <c r="A197" s="7" t="s">
        <v>349</v>
      </c>
      <c r="B197" s="7" t="s">
        <v>356</v>
      </c>
      <c r="C197" s="7" t="s">
        <v>66</v>
      </c>
      <c r="D197" s="7">
        <v>7.5</v>
      </c>
      <c r="E197" s="8"/>
      <c r="F197" s="8"/>
      <c r="G197" s="7"/>
      <c r="H197" s="7"/>
      <c r="I197" s="8"/>
      <c r="J197" s="9"/>
      <c r="K197" s="8"/>
      <c r="L197" s="8"/>
      <c r="M197" s="8"/>
      <c r="N197" s="8"/>
      <c r="O197" s="8"/>
      <c r="P197" s="8"/>
      <c r="Q197" s="8"/>
      <c r="R197" s="8"/>
      <c r="S197" s="8"/>
      <c r="T197" s="8"/>
      <c r="U197" s="8"/>
      <c r="V197" s="8"/>
      <c r="W197" s="8"/>
      <c r="X197" s="8"/>
      <c r="Y197" s="8"/>
      <c r="Z197" s="8"/>
    </row>
    <row r="198">
      <c r="A198" s="7" t="s">
        <v>349</v>
      </c>
      <c r="B198" s="7" t="s">
        <v>357</v>
      </c>
      <c r="C198" s="7" t="s">
        <v>57</v>
      </c>
      <c r="D198" s="7">
        <v>3.5</v>
      </c>
      <c r="E198" s="8"/>
      <c r="F198" s="8"/>
      <c r="G198" s="7"/>
      <c r="H198" s="7"/>
      <c r="I198" s="8"/>
      <c r="J198" s="9"/>
      <c r="K198" s="8"/>
      <c r="L198" s="8"/>
      <c r="M198" s="8"/>
      <c r="N198" s="8"/>
      <c r="O198" s="8"/>
      <c r="P198" s="8"/>
      <c r="Q198" s="8"/>
      <c r="R198" s="8"/>
      <c r="S198" s="8"/>
      <c r="T198" s="8"/>
      <c r="U198" s="8"/>
      <c r="V198" s="8"/>
      <c r="W198" s="8"/>
      <c r="X198" s="8"/>
      <c r="Y198" s="8"/>
      <c r="Z198" s="8"/>
    </row>
    <row r="199">
      <c r="A199" s="7" t="s">
        <v>349</v>
      </c>
      <c r="B199" s="7" t="s">
        <v>358</v>
      </c>
      <c r="C199" s="7" t="s">
        <v>57</v>
      </c>
      <c r="D199" s="7">
        <v>8.5</v>
      </c>
      <c r="E199" s="8"/>
      <c r="F199" s="8"/>
      <c r="G199" s="7"/>
      <c r="H199" s="7"/>
      <c r="I199" s="8"/>
      <c r="J199" s="9"/>
      <c r="K199" s="8"/>
      <c r="L199" s="8"/>
      <c r="M199" s="8"/>
      <c r="N199" s="8"/>
      <c r="O199" s="8"/>
      <c r="P199" s="8"/>
      <c r="Q199" s="8"/>
      <c r="R199" s="8"/>
      <c r="S199" s="8"/>
      <c r="T199" s="8"/>
      <c r="U199" s="8"/>
      <c r="V199" s="8"/>
      <c r="W199" s="8"/>
      <c r="X199" s="8"/>
      <c r="Y199" s="8"/>
      <c r="Z199" s="8"/>
    </row>
    <row r="200">
      <c r="A200" s="7" t="s">
        <v>349</v>
      </c>
      <c r="B200" s="7" t="s">
        <v>359</v>
      </c>
      <c r="C200" s="7" t="s">
        <v>51</v>
      </c>
      <c r="D200" s="7">
        <v>4.0</v>
      </c>
      <c r="E200" s="8"/>
      <c r="F200" s="8"/>
      <c r="G200" s="7"/>
      <c r="H200" s="7"/>
      <c r="I200" s="8"/>
      <c r="J200" s="9"/>
      <c r="K200" s="8"/>
      <c r="L200" s="8"/>
      <c r="M200" s="8"/>
      <c r="N200" s="8"/>
      <c r="O200" s="8"/>
      <c r="P200" s="8"/>
      <c r="Q200" s="8"/>
      <c r="R200" s="8"/>
      <c r="S200" s="8"/>
      <c r="T200" s="8"/>
      <c r="U200" s="8"/>
      <c r="V200" s="8"/>
      <c r="W200" s="8"/>
      <c r="X200" s="8"/>
      <c r="Y200" s="8"/>
      <c r="Z200" s="8"/>
    </row>
    <row r="201">
      <c r="A201" s="7" t="s">
        <v>349</v>
      </c>
      <c r="B201" s="7" t="s">
        <v>360</v>
      </c>
      <c r="C201" s="7" t="s">
        <v>57</v>
      </c>
      <c r="D201" s="7">
        <v>3.65</v>
      </c>
      <c r="E201" s="8"/>
      <c r="F201" s="8"/>
      <c r="G201" s="7"/>
      <c r="H201" s="7"/>
      <c r="I201" s="8"/>
      <c r="J201" s="9"/>
      <c r="K201" s="8"/>
      <c r="L201" s="8"/>
      <c r="M201" s="8"/>
      <c r="N201" s="8"/>
      <c r="O201" s="8"/>
      <c r="P201" s="8"/>
      <c r="Q201" s="8"/>
      <c r="R201" s="8"/>
      <c r="S201" s="8"/>
      <c r="T201" s="8"/>
      <c r="U201" s="8"/>
      <c r="V201" s="8"/>
      <c r="W201" s="8"/>
      <c r="X201" s="8"/>
      <c r="Y201" s="8"/>
      <c r="Z201" s="8"/>
    </row>
    <row r="202">
      <c r="A202" s="7" t="s">
        <v>349</v>
      </c>
      <c r="B202" s="7" t="s">
        <v>361</v>
      </c>
      <c r="C202" s="7" t="s">
        <v>57</v>
      </c>
      <c r="D202" s="7">
        <v>10.0</v>
      </c>
      <c r="E202" s="8"/>
      <c r="F202" s="8"/>
      <c r="G202" s="7"/>
      <c r="H202" s="7"/>
      <c r="I202" s="8"/>
      <c r="J202" s="9"/>
      <c r="K202" s="8"/>
      <c r="L202" s="8"/>
      <c r="M202" s="8"/>
      <c r="N202" s="8"/>
      <c r="O202" s="8"/>
      <c r="P202" s="8"/>
      <c r="Q202" s="8"/>
      <c r="R202" s="8"/>
      <c r="S202" s="8"/>
      <c r="T202" s="8"/>
      <c r="U202" s="8"/>
      <c r="V202" s="8"/>
      <c r="W202" s="8"/>
      <c r="X202" s="8"/>
      <c r="Y202" s="8"/>
      <c r="Z202" s="8"/>
    </row>
    <row r="203">
      <c r="A203" s="7" t="s">
        <v>349</v>
      </c>
      <c r="B203" s="7" t="s">
        <v>362</v>
      </c>
      <c r="C203" s="7" t="s">
        <v>66</v>
      </c>
      <c r="D203" s="7">
        <v>9.0</v>
      </c>
      <c r="E203" s="8"/>
      <c r="F203" s="8"/>
      <c r="G203" s="7"/>
      <c r="H203" s="7"/>
      <c r="I203" s="8"/>
      <c r="J203" s="9"/>
      <c r="K203" s="8"/>
      <c r="L203" s="8"/>
      <c r="M203" s="8"/>
      <c r="N203" s="8"/>
      <c r="O203" s="8"/>
      <c r="P203" s="8"/>
      <c r="Q203" s="8"/>
      <c r="R203" s="8"/>
      <c r="S203" s="8"/>
      <c r="T203" s="8"/>
      <c r="U203" s="8"/>
      <c r="V203" s="8"/>
      <c r="W203" s="8"/>
      <c r="X203" s="8"/>
      <c r="Y203" s="8"/>
      <c r="Z203" s="8"/>
    </row>
    <row r="204">
      <c r="A204" s="7" t="s">
        <v>349</v>
      </c>
      <c r="B204" s="7" t="s">
        <v>363</v>
      </c>
      <c r="C204" s="7"/>
      <c r="D204" s="7">
        <v>9.0</v>
      </c>
      <c r="E204" s="8"/>
      <c r="F204" s="8"/>
      <c r="G204" s="7"/>
      <c r="H204" s="7"/>
      <c r="I204" s="8"/>
      <c r="J204" s="9"/>
      <c r="K204" s="8"/>
      <c r="L204" s="8"/>
      <c r="M204" s="8"/>
      <c r="N204" s="8"/>
      <c r="O204" s="8"/>
      <c r="P204" s="8"/>
      <c r="Q204" s="8"/>
      <c r="R204" s="8"/>
      <c r="S204" s="8"/>
      <c r="T204" s="8"/>
      <c r="U204" s="8"/>
      <c r="V204" s="8"/>
      <c r="W204" s="8"/>
      <c r="X204" s="8"/>
      <c r="Y204" s="8"/>
      <c r="Z204" s="8"/>
    </row>
    <row r="205">
      <c r="A205" s="7" t="s">
        <v>349</v>
      </c>
      <c r="B205" s="7" t="s">
        <v>364</v>
      </c>
      <c r="C205" s="7" t="s">
        <v>66</v>
      </c>
      <c r="D205" s="7">
        <v>14.0</v>
      </c>
      <c r="E205" s="8"/>
      <c r="F205" s="8"/>
      <c r="G205" s="7"/>
      <c r="H205" s="7"/>
      <c r="I205" s="8"/>
      <c r="J205" s="9"/>
      <c r="K205" s="8"/>
      <c r="L205" s="8"/>
      <c r="M205" s="8"/>
      <c r="N205" s="8"/>
      <c r="O205" s="8"/>
      <c r="P205" s="8"/>
      <c r="Q205" s="8"/>
      <c r="R205" s="8"/>
      <c r="S205" s="8"/>
      <c r="T205" s="8"/>
      <c r="U205" s="8"/>
      <c r="V205" s="8"/>
      <c r="W205" s="8"/>
      <c r="X205" s="8"/>
      <c r="Y205" s="8"/>
      <c r="Z205" s="8"/>
    </row>
    <row r="206">
      <c r="A206" s="7" t="s">
        <v>349</v>
      </c>
      <c r="B206" s="7" t="s">
        <v>365</v>
      </c>
      <c r="C206" s="7" t="s">
        <v>66</v>
      </c>
      <c r="D206" s="7">
        <v>6.5</v>
      </c>
      <c r="E206" s="8"/>
      <c r="F206" s="8"/>
      <c r="G206" s="7"/>
      <c r="H206" s="7"/>
      <c r="I206" s="8"/>
      <c r="J206" s="9"/>
      <c r="K206" s="8"/>
      <c r="L206" s="8"/>
      <c r="M206" s="8"/>
      <c r="N206" s="8"/>
      <c r="O206" s="8"/>
      <c r="P206" s="8"/>
      <c r="Q206" s="8"/>
      <c r="R206" s="8"/>
      <c r="S206" s="8"/>
      <c r="T206" s="8"/>
      <c r="U206" s="8"/>
      <c r="V206" s="8"/>
      <c r="W206" s="8"/>
      <c r="X206" s="8"/>
      <c r="Y206" s="8"/>
      <c r="Z206" s="8"/>
    </row>
    <row r="207">
      <c r="A207" s="7" t="s">
        <v>349</v>
      </c>
      <c r="B207" s="7" t="s">
        <v>366</v>
      </c>
      <c r="C207" s="7" t="s">
        <v>66</v>
      </c>
      <c r="D207" s="7">
        <v>6.5</v>
      </c>
      <c r="E207" s="8"/>
      <c r="F207" s="8"/>
      <c r="G207" s="7"/>
      <c r="H207" s="7"/>
      <c r="I207" s="8"/>
      <c r="J207" s="9"/>
      <c r="K207" s="8"/>
      <c r="L207" s="8"/>
      <c r="M207" s="8"/>
      <c r="N207" s="8"/>
      <c r="O207" s="8"/>
      <c r="P207" s="8"/>
      <c r="Q207" s="8"/>
      <c r="R207" s="8"/>
      <c r="S207" s="8"/>
      <c r="T207" s="8"/>
      <c r="U207" s="8"/>
      <c r="V207" s="8"/>
      <c r="W207" s="8"/>
      <c r="X207" s="8"/>
      <c r="Y207" s="8"/>
      <c r="Z207" s="8"/>
    </row>
    <row r="208">
      <c r="A208" s="7" t="s">
        <v>349</v>
      </c>
      <c r="B208" s="7" t="s">
        <v>367</v>
      </c>
      <c r="C208" s="7" t="s">
        <v>95</v>
      </c>
      <c r="D208" s="7">
        <v>17.0</v>
      </c>
      <c r="E208" s="8"/>
      <c r="F208" s="8"/>
      <c r="G208" s="7"/>
      <c r="H208" s="7"/>
      <c r="I208" s="8"/>
      <c r="J208" s="9"/>
      <c r="K208" s="8"/>
      <c r="L208" s="8"/>
      <c r="M208" s="8"/>
      <c r="N208" s="8"/>
      <c r="O208" s="8"/>
      <c r="P208" s="8"/>
      <c r="Q208" s="8"/>
      <c r="R208" s="8"/>
      <c r="S208" s="8"/>
      <c r="T208" s="8"/>
      <c r="U208" s="8"/>
      <c r="V208" s="8"/>
      <c r="W208" s="8"/>
      <c r="X208" s="8"/>
      <c r="Y208" s="8"/>
      <c r="Z208" s="8"/>
    </row>
    <row r="209">
      <c r="A209" s="7" t="s">
        <v>349</v>
      </c>
      <c r="B209" s="7" t="s">
        <v>368</v>
      </c>
      <c r="C209" s="7" t="s">
        <v>57</v>
      </c>
      <c r="D209" s="7">
        <v>12.0</v>
      </c>
      <c r="E209" s="8"/>
      <c r="F209" s="8"/>
      <c r="G209" s="7"/>
      <c r="H209" s="7"/>
      <c r="I209" s="8"/>
      <c r="J209" s="9"/>
      <c r="K209" s="8"/>
      <c r="L209" s="8"/>
      <c r="M209" s="8"/>
      <c r="N209" s="8"/>
      <c r="O209" s="8"/>
      <c r="P209" s="8"/>
      <c r="Q209" s="8"/>
      <c r="R209" s="8"/>
      <c r="S209" s="8"/>
      <c r="T209" s="8"/>
      <c r="U209" s="8"/>
      <c r="V209" s="8"/>
      <c r="W209" s="8"/>
      <c r="X209" s="8"/>
      <c r="Y209" s="8"/>
      <c r="Z209" s="8"/>
    </row>
    <row r="210">
      <c r="A210" s="7" t="s">
        <v>349</v>
      </c>
      <c r="B210" s="7" t="s">
        <v>369</v>
      </c>
      <c r="C210" s="7" t="s">
        <v>95</v>
      </c>
      <c r="D210" s="7">
        <v>9.0</v>
      </c>
      <c r="E210" s="8"/>
      <c r="F210" s="8"/>
      <c r="G210" s="7"/>
      <c r="H210" s="7"/>
      <c r="I210" s="8"/>
      <c r="J210" s="9"/>
      <c r="K210" s="8"/>
      <c r="L210" s="8"/>
      <c r="M210" s="8"/>
      <c r="N210" s="8"/>
      <c r="O210" s="8"/>
      <c r="P210" s="8"/>
      <c r="Q210" s="8"/>
      <c r="R210" s="8"/>
      <c r="S210" s="8"/>
      <c r="T210" s="8"/>
      <c r="U210" s="8"/>
      <c r="V210" s="8"/>
      <c r="W210" s="8"/>
      <c r="X210" s="8"/>
      <c r="Y210" s="8"/>
      <c r="Z210" s="8"/>
    </row>
    <row r="211">
      <c r="A211" s="7" t="s">
        <v>349</v>
      </c>
      <c r="B211" s="7" t="s">
        <v>370</v>
      </c>
      <c r="C211" s="7"/>
      <c r="D211" s="7">
        <v>6.0</v>
      </c>
      <c r="E211" s="8"/>
      <c r="F211" s="8"/>
      <c r="G211" s="7"/>
      <c r="H211" s="7"/>
      <c r="I211" s="8"/>
      <c r="J211" s="9"/>
      <c r="K211" s="8"/>
      <c r="L211" s="8"/>
      <c r="M211" s="8"/>
      <c r="N211" s="8"/>
      <c r="O211" s="8"/>
      <c r="P211" s="8"/>
      <c r="Q211" s="8"/>
      <c r="R211" s="8"/>
      <c r="S211" s="8"/>
      <c r="T211" s="8"/>
      <c r="U211" s="8"/>
      <c r="V211" s="8"/>
      <c r="W211" s="8"/>
      <c r="X211" s="8"/>
      <c r="Y211" s="8"/>
      <c r="Z211" s="8"/>
    </row>
    <row r="212">
      <c r="A212" s="10" t="s">
        <v>349</v>
      </c>
      <c r="B212" s="10" t="s">
        <v>371</v>
      </c>
      <c r="C212" s="10" t="s">
        <v>66</v>
      </c>
      <c r="D212" s="10">
        <v>9.0</v>
      </c>
      <c r="E212" s="11"/>
      <c r="F212" s="11"/>
      <c r="G212" s="10"/>
      <c r="H212" s="10" t="s">
        <v>372</v>
      </c>
      <c r="I212" s="11"/>
      <c r="J212" s="12"/>
      <c r="K212" s="11"/>
      <c r="L212" s="11"/>
      <c r="M212" s="11"/>
      <c r="N212" s="11"/>
      <c r="O212" s="11"/>
      <c r="P212" s="11"/>
      <c r="Q212" s="11"/>
      <c r="R212" s="11"/>
      <c r="S212" s="11"/>
      <c r="T212" s="11"/>
      <c r="U212" s="11"/>
      <c r="V212" s="11"/>
      <c r="W212" s="11"/>
      <c r="X212" s="11"/>
      <c r="Y212" s="11"/>
      <c r="Z212" s="11"/>
    </row>
    <row r="213">
      <c r="A213" s="7" t="s">
        <v>349</v>
      </c>
      <c r="B213" s="7" t="s">
        <v>373</v>
      </c>
      <c r="C213" s="7" t="s">
        <v>95</v>
      </c>
      <c r="D213" s="7">
        <v>7.05</v>
      </c>
      <c r="E213" s="8"/>
      <c r="F213" s="8"/>
      <c r="G213" s="7"/>
      <c r="H213" s="7"/>
      <c r="I213" s="8"/>
      <c r="J213" s="9"/>
      <c r="K213" s="8"/>
      <c r="L213" s="8"/>
      <c r="M213" s="8"/>
      <c r="N213" s="8"/>
      <c r="O213" s="8"/>
      <c r="P213" s="8"/>
      <c r="Q213" s="8"/>
      <c r="R213" s="8"/>
      <c r="S213" s="8"/>
      <c r="T213" s="8"/>
      <c r="U213" s="8"/>
      <c r="V213" s="8"/>
      <c r="W213" s="8"/>
      <c r="X213" s="8"/>
      <c r="Y213" s="8"/>
      <c r="Z213" s="8"/>
    </row>
    <row r="214">
      <c r="A214" s="7" t="s">
        <v>349</v>
      </c>
      <c r="B214" s="7" t="s">
        <v>374</v>
      </c>
      <c r="C214" s="7" t="s">
        <v>51</v>
      </c>
      <c r="D214" s="7">
        <v>7.0</v>
      </c>
      <c r="E214" s="8"/>
      <c r="F214" s="8"/>
      <c r="G214" s="7"/>
      <c r="H214" s="7" t="s">
        <v>375</v>
      </c>
      <c r="I214" s="8"/>
      <c r="J214" s="9"/>
      <c r="K214" s="8"/>
      <c r="L214" s="8"/>
      <c r="M214" s="8"/>
      <c r="N214" s="8"/>
      <c r="O214" s="8"/>
      <c r="P214" s="8"/>
      <c r="Q214" s="8"/>
      <c r="R214" s="8"/>
      <c r="S214" s="8"/>
      <c r="T214" s="8"/>
      <c r="U214" s="8"/>
      <c r="V214" s="8"/>
      <c r="W214" s="8"/>
      <c r="X214" s="8"/>
      <c r="Y214" s="8"/>
      <c r="Z214" s="8"/>
    </row>
    <row r="215">
      <c r="A215" s="10" t="s">
        <v>349</v>
      </c>
      <c r="B215" s="10" t="s">
        <v>376</v>
      </c>
      <c r="C215" s="10" t="s">
        <v>95</v>
      </c>
      <c r="D215" s="10">
        <v>13.0</v>
      </c>
      <c r="E215" s="11"/>
      <c r="F215" s="11"/>
      <c r="G215" s="10"/>
      <c r="H215" s="10" t="s">
        <v>219</v>
      </c>
      <c r="I215" s="10"/>
      <c r="J215" s="12"/>
      <c r="K215" s="11"/>
      <c r="L215" s="11"/>
      <c r="M215" s="11"/>
      <c r="N215" s="11"/>
      <c r="O215" s="11"/>
      <c r="P215" s="11"/>
      <c r="Q215" s="11"/>
      <c r="R215" s="11"/>
      <c r="S215" s="11"/>
      <c r="T215" s="11"/>
      <c r="U215" s="11"/>
      <c r="V215" s="11"/>
      <c r="W215" s="11"/>
      <c r="X215" s="11"/>
      <c r="Y215" s="11"/>
      <c r="Z215" s="11"/>
    </row>
    <row r="216">
      <c r="A216" s="7" t="s">
        <v>377</v>
      </c>
      <c r="B216" s="7" t="s">
        <v>378</v>
      </c>
      <c r="C216" s="7">
        <v>38.0</v>
      </c>
      <c r="D216" s="7"/>
      <c r="E216" s="8"/>
      <c r="F216" s="8"/>
      <c r="G216" s="8"/>
      <c r="H216" s="8"/>
      <c r="I216" s="8"/>
      <c r="J216" s="9"/>
      <c r="K216" s="8"/>
      <c r="L216" s="8"/>
      <c r="M216" s="8"/>
      <c r="N216" s="8"/>
      <c r="O216" s="8"/>
      <c r="P216" s="8"/>
      <c r="Q216" s="8"/>
      <c r="R216" s="8"/>
      <c r="S216" s="8"/>
      <c r="T216" s="8"/>
      <c r="U216" s="8"/>
      <c r="V216" s="8"/>
      <c r="W216" s="8"/>
      <c r="X216" s="8"/>
      <c r="Y216" s="8"/>
      <c r="Z216" s="8"/>
    </row>
    <row r="217">
      <c r="A217" s="10" t="s">
        <v>377</v>
      </c>
      <c r="B217" s="10" t="s">
        <v>379</v>
      </c>
      <c r="C217" s="10">
        <v>36.0</v>
      </c>
      <c r="D217" s="10"/>
      <c r="E217" s="11"/>
      <c r="F217" s="11"/>
      <c r="G217" s="11"/>
      <c r="H217" s="10" t="s">
        <v>189</v>
      </c>
      <c r="I217" s="11"/>
      <c r="J217" s="12"/>
      <c r="K217" s="11"/>
      <c r="L217" s="11"/>
      <c r="M217" s="11"/>
      <c r="N217" s="11"/>
      <c r="O217" s="11"/>
      <c r="P217" s="11"/>
      <c r="Q217" s="11"/>
      <c r="R217" s="11"/>
      <c r="S217" s="11"/>
      <c r="T217" s="11"/>
      <c r="U217" s="11"/>
      <c r="V217" s="11"/>
      <c r="W217" s="11"/>
      <c r="X217" s="11"/>
      <c r="Y217" s="11"/>
      <c r="Z217" s="11"/>
    </row>
    <row r="218">
      <c r="A218" s="7" t="s">
        <v>380</v>
      </c>
      <c r="B218" s="7" t="s">
        <v>381</v>
      </c>
      <c r="C218" s="7" t="s">
        <v>51</v>
      </c>
      <c r="D218" s="7">
        <v>8.0</v>
      </c>
      <c r="E218" s="8"/>
      <c r="F218" s="8"/>
      <c r="G218" s="8"/>
      <c r="H218" s="7"/>
      <c r="I218" s="8"/>
      <c r="J218" s="9"/>
      <c r="K218" s="8"/>
      <c r="L218" s="8"/>
      <c r="M218" s="8"/>
      <c r="N218" s="8"/>
      <c r="O218" s="8"/>
      <c r="P218" s="8"/>
      <c r="Q218" s="8"/>
      <c r="R218" s="8"/>
      <c r="S218" s="8"/>
      <c r="T218" s="8"/>
      <c r="U218" s="8"/>
      <c r="V218" s="8"/>
      <c r="W218" s="8"/>
      <c r="X218" s="8"/>
      <c r="Y218" s="8"/>
      <c r="Z218" s="8"/>
    </row>
    <row r="219">
      <c r="A219" s="7" t="s">
        <v>380</v>
      </c>
      <c r="B219" s="7" t="s">
        <v>382</v>
      </c>
      <c r="C219" s="7" t="s">
        <v>51</v>
      </c>
      <c r="D219" s="7"/>
      <c r="E219" s="8"/>
      <c r="F219" s="8"/>
      <c r="G219" s="8"/>
      <c r="H219" s="7"/>
      <c r="I219" s="8"/>
      <c r="J219" s="9"/>
      <c r="K219" s="8"/>
      <c r="L219" s="8"/>
      <c r="M219" s="8"/>
      <c r="N219" s="8"/>
      <c r="O219" s="8"/>
      <c r="P219" s="8"/>
      <c r="Q219" s="8"/>
      <c r="R219" s="8"/>
      <c r="S219" s="8"/>
      <c r="T219" s="8"/>
      <c r="U219" s="8"/>
      <c r="V219" s="8"/>
      <c r="W219" s="8"/>
      <c r="X219" s="8"/>
      <c r="Y219" s="8"/>
      <c r="Z219" s="8"/>
    </row>
    <row r="220">
      <c r="A220" s="10" t="s">
        <v>380</v>
      </c>
      <c r="B220" s="10" t="s">
        <v>383</v>
      </c>
      <c r="C220" s="10">
        <v>2.0</v>
      </c>
      <c r="D220" s="10">
        <v>15.0</v>
      </c>
      <c r="E220" s="11"/>
      <c r="F220" s="11"/>
      <c r="G220" s="11"/>
      <c r="H220" s="10" t="s">
        <v>384</v>
      </c>
      <c r="I220" s="11"/>
      <c r="J220" s="12"/>
      <c r="K220" s="11"/>
      <c r="L220" s="11"/>
      <c r="M220" s="11"/>
      <c r="N220" s="11"/>
      <c r="O220" s="11"/>
      <c r="P220" s="11"/>
      <c r="Q220" s="11"/>
      <c r="R220" s="11"/>
      <c r="S220" s="11"/>
      <c r="T220" s="11"/>
      <c r="U220" s="11"/>
      <c r="V220" s="11"/>
      <c r="W220" s="11"/>
      <c r="X220" s="11"/>
      <c r="Y220" s="11"/>
      <c r="Z220" s="11"/>
    </row>
    <row r="221">
      <c r="A221" s="7" t="s">
        <v>385</v>
      </c>
      <c r="B221" s="7" t="s">
        <v>386</v>
      </c>
      <c r="C221" s="7" t="s">
        <v>51</v>
      </c>
      <c r="D221" s="7">
        <v>3.5</v>
      </c>
      <c r="E221" s="8"/>
      <c r="F221" s="8"/>
      <c r="G221" s="8"/>
      <c r="H221" s="8"/>
      <c r="I221" s="8"/>
      <c r="J221" s="9"/>
      <c r="K221" s="8"/>
      <c r="L221" s="8"/>
      <c r="M221" s="8"/>
      <c r="N221" s="8"/>
      <c r="O221" s="8"/>
      <c r="P221" s="8"/>
      <c r="Q221" s="8"/>
      <c r="R221" s="8"/>
      <c r="S221" s="8"/>
      <c r="T221" s="8"/>
      <c r="U221" s="8"/>
      <c r="V221" s="8"/>
      <c r="W221" s="8"/>
      <c r="X221" s="8"/>
      <c r="Y221" s="8"/>
      <c r="Z221" s="8"/>
    </row>
    <row r="222">
      <c r="A222" s="7" t="s">
        <v>387</v>
      </c>
      <c r="B222" s="7" t="s">
        <v>388</v>
      </c>
      <c r="C222" s="7" t="s">
        <v>57</v>
      </c>
      <c r="D222" s="7"/>
      <c r="E222" s="8"/>
      <c r="F222" s="8"/>
      <c r="G222" s="8"/>
      <c r="H222" s="8"/>
      <c r="I222" s="8"/>
      <c r="J222" s="9"/>
      <c r="K222" s="8"/>
      <c r="L222" s="8"/>
      <c r="M222" s="8"/>
      <c r="N222" s="8"/>
      <c r="O222" s="8"/>
      <c r="P222" s="8"/>
      <c r="Q222" s="8"/>
      <c r="R222" s="8"/>
      <c r="S222" s="8"/>
      <c r="T222" s="8"/>
      <c r="U222" s="8"/>
      <c r="V222" s="8"/>
      <c r="W222" s="8"/>
      <c r="X222" s="8"/>
      <c r="Y222" s="8"/>
      <c r="Z222" s="8"/>
    </row>
    <row r="223">
      <c r="A223" s="7" t="s">
        <v>389</v>
      </c>
      <c r="B223" s="7" t="s">
        <v>390</v>
      </c>
      <c r="C223" s="7" t="s">
        <v>391</v>
      </c>
      <c r="D223" s="7">
        <v>10.0</v>
      </c>
      <c r="E223" s="8"/>
      <c r="F223" s="8"/>
      <c r="G223" s="8"/>
      <c r="H223" s="8"/>
      <c r="I223" s="8"/>
      <c r="J223" s="9"/>
      <c r="K223" s="8"/>
      <c r="L223" s="8"/>
      <c r="M223" s="8"/>
      <c r="N223" s="8"/>
      <c r="O223" s="8"/>
      <c r="P223" s="8"/>
      <c r="Q223" s="8"/>
      <c r="R223" s="8"/>
      <c r="S223" s="8"/>
      <c r="T223" s="8"/>
      <c r="U223" s="8"/>
      <c r="V223" s="8"/>
      <c r="W223" s="8"/>
      <c r="X223" s="8"/>
      <c r="Y223" s="8"/>
      <c r="Z223" s="8"/>
    </row>
    <row r="224">
      <c r="A224" s="7" t="s">
        <v>392</v>
      </c>
      <c r="B224" s="7" t="s">
        <v>393</v>
      </c>
      <c r="C224" s="7" t="s">
        <v>51</v>
      </c>
      <c r="D224" s="7">
        <v>7.3</v>
      </c>
      <c r="E224" s="8"/>
      <c r="F224" s="8"/>
      <c r="G224" s="8"/>
      <c r="H224" s="8"/>
      <c r="I224" s="8"/>
      <c r="J224" s="9"/>
      <c r="K224" s="8"/>
      <c r="L224" s="8"/>
      <c r="M224" s="8"/>
      <c r="N224" s="8"/>
      <c r="O224" s="8"/>
      <c r="P224" s="8"/>
      <c r="Q224" s="8"/>
      <c r="R224" s="8"/>
      <c r="S224" s="8"/>
      <c r="T224" s="8"/>
      <c r="U224" s="8"/>
      <c r="V224" s="8"/>
      <c r="W224" s="8"/>
      <c r="X224" s="8"/>
      <c r="Y224" s="8"/>
      <c r="Z224" s="8"/>
    </row>
    <row r="225">
      <c r="A225" s="7" t="s">
        <v>392</v>
      </c>
      <c r="B225" s="7" t="s">
        <v>394</v>
      </c>
      <c r="C225" s="7" t="s">
        <v>57</v>
      </c>
      <c r="D225" s="7">
        <v>3.5</v>
      </c>
      <c r="E225" s="8"/>
      <c r="F225" s="8"/>
      <c r="G225" s="8"/>
      <c r="H225" s="8"/>
      <c r="I225" s="8"/>
      <c r="J225" s="9"/>
      <c r="K225" s="8"/>
      <c r="L225" s="8"/>
      <c r="M225" s="8"/>
      <c r="N225" s="8"/>
      <c r="O225" s="8"/>
      <c r="P225" s="8"/>
      <c r="Q225" s="8"/>
      <c r="R225" s="8"/>
      <c r="S225" s="8"/>
      <c r="T225" s="8"/>
      <c r="U225" s="8"/>
      <c r="V225" s="8"/>
      <c r="W225" s="8"/>
      <c r="X225" s="8"/>
      <c r="Y225" s="8"/>
      <c r="Z225" s="8"/>
    </row>
    <row r="226">
      <c r="A226" s="7" t="s">
        <v>392</v>
      </c>
      <c r="B226" s="7" t="s">
        <v>395</v>
      </c>
      <c r="C226" s="7">
        <v>6.0</v>
      </c>
      <c r="D226" s="7">
        <v>5.0</v>
      </c>
      <c r="E226" s="8"/>
      <c r="F226" s="8"/>
      <c r="G226" s="8"/>
      <c r="H226" s="8"/>
      <c r="I226" s="8"/>
      <c r="J226" s="9"/>
      <c r="K226" s="8"/>
      <c r="L226" s="8"/>
      <c r="M226" s="8"/>
      <c r="N226" s="8"/>
      <c r="O226" s="8"/>
      <c r="P226" s="8"/>
      <c r="Q226" s="8"/>
      <c r="R226" s="8"/>
      <c r="S226" s="8"/>
      <c r="T226" s="8"/>
      <c r="U226" s="8"/>
      <c r="V226" s="8"/>
      <c r="W226" s="8"/>
      <c r="X226" s="8"/>
      <c r="Y226" s="8"/>
      <c r="Z226" s="8"/>
    </row>
    <row r="227">
      <c r="A227" s="7" t="s">
        <v>396</v>
      </c>
      <c r="B227" s="7" t="s">
        <v>397</v>
      </c>
      <c r="C227" s="7" t="s">
        <v>51</v>
      </c>
      <c r="D227" s="7"/>
      <c r="E227" s="8"/>
      <c r="F227" s="8"/>
      <c r="G227" s="8"/>
      <c r="H227" s="8"/>
      <c r="I227" s="8"/>
      <c r="J227" s="9"/>
      <c r="K227" s="8"/>
      <c r="L227" s="8"/>
      <c r="M227" s="8"/>
      <c r="N227" s="8"/>
      <c r="O227" s="8"/>
      <c r="P227" s="8"/>
      <c r="Q227" s="8"/>
      <c r="R227" s="8"/>
      <c r="S227" s="8"/>
      <c r="T227" s="8"/>
      <c r="U227" s="8"/>
      <c r="V227" s="8"/>
      <c r="W227" s="8"/>
      <c r="X227" s="8"/>
      <c r="Y227" s="8"/>
      <c r="Z227" s="8"/>
    </row>
    <row r="228">
      <c r="A228" s="10" t="s">
        <v>398</v>
      </c>
      <c r="B228" s="10" t="s">
        <v>399</v>
      </c>
      <c r="C228" s="10" t="s">
        <v>57</v>
      </c>
      <c r="D228" s="10">
        <v>7.3</v>
      </c>
      <c r="E228" s="11"/>
      <c r="F228" s="11"/>
      <c r="G228" s="11"/>
      <c r="H228" s="10" t="s">
        <v>139</v>
      </c>
      <c r="I228" s="10"/>
      <c r="J228" s="12"/>
      <c r="K228" s="11"/>
      <c r="L228" s="11"/>
      <c r="M228" s="11"/>
      <c r="N228" s="11"/>
      <c r="O228" s="11"/>
      <c r="P228" s="11"/>
      <c r="Q228" s="11"/>
      <c r="R228" s="11"/>
      <c r="S228" s="11"/>
      <c r="T228" s="11"/>
      <c r="U228" s="11"/>
      <c r="V228" s="11"/>
      <c r="W228" s="11"/>
      <c r="X228" s="11"/>
      <c r="Y228" s="11"/>
      <c r="Z228" s="11"/>
    </row>
    <row r="229">
      <c r="A229" s="7" t="s">
        <v>398</v>
      </c>
      <c r="B229" s="7" t="s">
        <v>400</v>
      </c>
      <c r="C229" s="7" t="s">
        <v>57</v>
      </c>
      <c r="D229" s="7">
        <v>5.0</v>
      </c>
      <c r="E229" s="8"/>
      <c r="F229" s="8"/>
      <c r="G229" s="8"/>
      <c r="H229" s="7"/>
      <c r="I229" s="7"/>
      <c r="J229" s="9"/>
      <c r="K229" s="8"/>
      <c r="L229" s="8"/>
      <c r="M229" s="8"/>
      <c r="N229" s="8"/>
      <c r="O229" s="8"/>
      <c r="P229" s="8"/>
      <c r="Q229" s="8"/>
      <c r="R229" s="8"/>
      <c r="S229" s="8"/>
      <c r="T229" s="8"/>
      <c r="U229" s="8"/>
      <c r="V229" s="8"/>
      <c r="W229" s="8"/>
      <c r="X229" s="8"/>
      <c r="Y229" s="8"/>
      <c r="Z229" s="8"/>
    </row>
    <row r="230">
      <c r="A230" s="7" t="s">
        <v>398</v>
      </c>
      <c r="B230" s="7" t="s">
        <v>401</v>
      </c>
      <c r="C230" s="7" t="s">
        <v>66</v>
      </c>
      <c r="D230" s="7">
        <v>5.0</v>
      </c>
      <c r="E230" s="8"/>
      <c r="F230" s="8"/>
      <c r="G230" s="8"/>
      <c r="H230" s="7"/>
      <c r="I230" s="7"/>
      <c r="J230" s="9"/>
      <c r="K230" s="8"/>
      <c r="L230" s="8"/>
      <c r="M230" s="8"/>
      <c r="N230" s="8"/>
      <c r="O230" s="8"/>
      <c r="P230" s="8"/>
      <c r="Q230" s="8"/>
      <c r="R230" s="8"/>
      <c r="S230" s="8"/>
      <c r="T230" s="8"/>
      <c r="U230" s="8"/>
      <c r="V230" s="8"/>
      <c r="W230" s="8"/>
      <c r="X230" s="8"/>
      <c r="Y230" s="8"/>
      <c r="Z230" s="8"/>
    </row>
    <row r="231">
      <c r="A231" s="7" t="s">
        <v>398</v>
      </c>
      <c r="B231" s="7" t="s">
        <v>402</v>
      </c>
      <c r="C231" s="7" t="s">
        <v>57</v>
      </c>
      <c r="D231" s="7">
        <v>5.0</v>
      </c>
      <c r="E231" s="8"/>
      <c r="F231" s="8"/>
      <c r="G231" s="8"/>
      <c r="H231" s="7"/>
      <c r="I231" s="7"/>
      <c r="J231" s="9"/>
      <c r="K231" s="8"/>
      <c r="L231" s="8"/>
      <c r="M231" s="8"/>
      <c r="N231" s="8"/>
      <c r="O231" s="8"/>
      <c r="P231" s="8"/>
      <c r="Q231" s="8"/>
      <c r="R231" s="8"/>
      <c r="S231" s="8"/>
      <c r="T231" s="8"/>
      <c r="U231" s="8"/>
      <c r="V231" s="8"/>
      <c r="W231" s="8"/>
      <c r="X231" s="8"/>
      <c r="Y231" s="8"/>
      <c r="Z231" s="8"/>
    </row>
    <row r="232">
      <c r="A232" s="7" t="s">
        <v>398</v>
      </c>
      <c r="B232" s="7" t="s">
        <v>403</v>
      </c>
      <c r="C232" s="7">
        <v>6.0</v>
      </c>
      <c r="D232" s="7">
        <v>2.0</v>
      </c>
      <c r="E232" s="8"/>
      <c r="F232" s="8"/>
      <c r="G232" s="8"/>
      <c r="H232" s="7"/>
      <c r="I232" s="7"/>
      <c r="J232" s="9"/>
      <c r="K232" s="8"/>
      <c r="L232" s="8"/>
      <c r="M232" s="8"/>
      <c r="N232" s="8"/>
      <c r="O232" s="8"/>
      <c r="P232" s="8"/>
      <c r="Q232" s="8"/>
      <c r="R232" s="8"/>
      <c r="S232" s="8"/>
      <c r="T232" s="8"/>
      <c r="U232" s="8"/>
      <c r="V232" s="8"/>
      <c r="W232" s="8"/>
      <c r="X232" s="8"/>
      <c r="Y232" s="8"/>
      <c r="Z232" s="8"/>
    </row>
    <row r="233">
      <c r="A233" s="7" t="s">
        <v>398</v>
      </c>
      <c r="B233" s="7" t="s">
        <v>404</v>
      </c>
      <c r="C233" s="7" t="s">
        <v>57</v>
      </c>
      <c r="D233" s="7">
        <v>3.0</v>
      </c>
      <c r="E233" s="8"/>
      <c r="F233" s="8"/>
      <c r="G233" s="8"/>
      <c r="H233" s="7"/>
      <c r="I233" s="7"/>
      <c r="J233" s="9"/>
      <c r="K233" s="8"/>
      <c r="L233" s="8"/>
      <c r="M233" s="8"/>
      <c r="N233" s="8"/>
      <c r="O233" s="8"/>
      <c r="P233" s="8"/>
      <c r="Q233" s="8"/>
      <c r="R233" s="8"/>
      <c r="S233" s="8"/>
      <c r="T233" s="8"/>
      <c r="U233" s="8"/>
      <c r="V233" s="8"/>
      <c r="W233" s="8"/>
      <c r="X233" s="8"/>
      <c r="Y233" s="8"/>
      <c r="Z233" s="8"/>
    </row>
    <row r="234">
      <c r="A234" s="7" t="s">
        <v>398</v>
      </c>
      <c r="B234" s="7" t="s">
        <v>405</v>
      </c>
      <c r="C234" s="7" t="s">
        <v>57</v>
      </c>
      <c r="D234" s="7">
        <v>3.0</v>
      </c>
      <c r="E234" s="8"/>
      <c r="F234" s="8"/>
      <c r="G234" s="8"/>
      <c r="H234" s="7"/>
      <c r="I234" s="7"/>
      <c r="J234" s="9"/>
      <c r="K234" s="8"/>
      <c r="L234" s="8"/>
      <c r="M234" s="8"/>
      <c r="N234" s="8"/>
      <c r="O234" s="8"/>
      <c r="P234" s="8"/>
      <c r="Q234" s="8"/>
      <c r="R234" s="8"/>
      <c r="S234" s="8"/>
      <c r="T234" s="8"/>
      <c r="U234" s="8"/>
      <c r="V234" s="8"/>
      <c r="W234" s="8"/>
      <c r="X234" s="8"/>
      <c r="Y234" s="8"/>
      <c r="Z234" s="8"/>
    </row>
    <row r="235">
      <c r="A235" s="10" t="s">
        <v>398</v>
      </c>
      <c r="B235" s="10" t="s">
        <v>406</v>
      </c>
      <c r="C235" s="10" t="s">
        <v>51</v>
      </c>
      <c r="D235" s="10">
        <v>5.0</v>
      </c>
      <c r="E235" s="11"/>
      <c r="F235" s="11"/>
      <c r="G235" s="11"/>
      <c r="H235" s="10" t="s">
        <v>139</v>
      </c>
      <c r="I235" s="10"/>
      <c r="J235" s="12"/>
      <c r="K235" s="11"/>
      <c r="L235" s="11"/>
      <c r="M235" s="11"/>
      <c r="N235" s="11"/>
      <c r="O235" s="11"/>
      <c r="P235" s="11"/>
      <c r="Q235" s="11"/>
      <c r="R235" s="11"/>
      <c r="S235" s="11"/>
      <c r="T235" s="11"/>
      <c r="U235" s="11"/>
      <c r="V235" s="11"/>
      <c r="W235" s="11"/>
      <c r="X235" s="11"/>
      <c r="Y235" s="11"/>
      <c r="Z235" s="11"/>
    </row>
    <row r="236">
      <c r="A236" s="7" t="s">
        <v>398</v>
      </c>
      <c r="B236" s="7" t="s">
        <v>407</v>
      </c>
      <c r="C236" s="7" t="s">
        <v>51</v>
      </c>
      <c r="D236" s="7">
        <v>6.0</v>
      </c>
      <c r="E236" s="8"/>
      <c r="F236" s="8"/>
      <c r="G236" s="8"/>
      <c r="H236" s="7"/>
      <c r="I236" s="7"/>
      <c r="J236" s="9"/>
      <c r="K236" s="8"/>
      <c r="L236" s="8"/>
      <c r="M236" s="8"/>
      <c r="N236" s="8"/>
      <c r="O236" s="8"/>
      <c r="P236" s="8"/>
      <c r="Q236" s="8"/>
      <c r="R236" s="8"/>
      <c r="S236" s="8"/>
      <c r="T236" s="8"/>
      <c r="U236" s="8"/>
      <c r="V236" s="8"/>
      <c r="W236" s="8"/>
      <c r="X236" s="8"/>
      <c r="Y236" s="8"/>
      <c r="Z236" s="8"/>
    </row>
    <row r="237">
      <c r="A237" s="7" t="s">
        <v>398</v>
      </c>
      <c r="B237" s="7" t="s">
        <v>408</v>
      </c>
      <c r="C237" s="7" t="s">
        <v>51</v>
      </c>
      <c r="D237" s="7">
        <v>5.0</v>
      </c>
      <c r="E237" s="8"/>
      <c r="F237" s="8"/>
      <c r="G237" s="8"/>
      <c r="H237" s="7"/>
      <c r="I237" s="7"/>
      <c r="J237" s="9"/>
      <c r="K237" s="8"/>
      <c r="L237" s="8"/>
      <c r="M237" s="8"/>
      <c r="N237" s="8"/>
      <c r="O237" s="8"/>
      <c r="P237" s="8"/>
      <c r="Q237" s="8"/>
      <c r="R237" s="8"/>
      <c r="S237" s="8"/>
      <c r="T237" s="8"/>
      <c r="U237" s="8"/>
      <c r="V237" s="8"/>
      <c r="W237" s="8"/>
      <c r="X237" s="8"/>
      <c r="Y237" s="8"/>
      <c r="Z237" s="8"/>
    </row>
    <row r="238">
      <c r="A238" s="7" t="s">
        <v>398</v>
      </c>
      <c r="B238" s="7" t="s">
        <v>409</v>
      </c>
      <c r="C238" s="7" t="s">
        <v>51</v>
      </c>
      <c r="D238" s="7">
        <v>4.5</v>
      </c>
      <c r="E238" s="8"/>
      <c r="F238" s="8"/>
      <c r="G238" s="8"/>
      <c r="H238" s="7"/>
      <c r="I238" s="7"/>
      <c r="J238" s="9"/>
      <c r="K238" s="8"/>
      <c r="L238" s="8"/>
      <c r="M238" s="8"/>
      <c r="N238" s="8"/>
      <c r="O238" s="8"/>
      <c r="P238" s="8"/>
      <c r="Q238" s="8"/>
      <c r="R238" s="8"/>
      <c r="S238" s="8"/>
      <c r="T238" s="8"/>
      <c r="U238" s="8"/>
      <c r="V238" s="8"/>
      <c r="W238" s="8"/>
      <c r="X238" s="8"/>
      <c r="Y238" s="8"/>
      <c r="Z238" s="8"/>
    </row>
    <row r="239">
      <c r="A239" s="7" t="s">
        <v>410</v>
      </c>
      <c r="B239" s="7" t="s">
        <v>411</v>
      </c>
      <c r="C239" s="7" t="s">
        <v>120</v>
      </c>
      <c r="D239" s="7">
        <v>3.25</v>
      </c>
      <c r="E239" s="8"/>
      <c r="F239" s="8"/>
      <c r="G239" s="8"/>
      <c r="H239" s="7"/>
      <c r="I239" s="7"/>
      <c r="J239" s="9"/>
      <c r="K239" s="8"/>
      <c r="L239" s="8"/>
      <c r="M239" s="8"/>
      <c r="N239" s="8"/>
      <c r="O239" s="8"/>
      <c r="P239" s="8"/>
      <c r="Q239" s="8"/>
      <c r="R239" s="8"/>
      <c r="S239" s="8"/>
      <c r="T239" s="8"/>
      <c r="U239" s="8"/>
      <c r="V239" s="8"/>
      <c r="W239" s="8"/>
      <c r="X239" s="8"/>
      <c r="Y239" s="8"/>
      <c r="Z239" s="8"/>
    </row>
    <row r="240">
      <c r="A240" s="7" t="s">
        <v>398</v>
      </c>
      <c r="B240" s="7" t="s">
        <v>412</v>
      </c>
      <c r="C240" s="7" t="s">
        <v>57</v>
      </c>
      <c r="D240" s="7">
        <v>5.0</v>
      </c>
      <c r="E240" s="8"/>
      <c r="F240" s="8"/>
      <c r="G240" s="8"/>
      <c r="H240" s="7"/>
      <c r="I240" s="7"/>
      <c r="J240" s="9"/>
      <c r="K240" s="8"/>
      <c r="L240" s="8"/>
      <c r="M240" s="8"/>
      <c r="N240" s="8"/>
      <c r="O240" s="8"/>
      <c r="P240" s="8"/>
      <c r="Q240" s="8"/>
      <c r="R240" s="8"/>
      <c r="S240" s="8"/>
      <c r="T240" s="8"/>
      <c r="U240" s="8"/>
      <c r="V240" s="8"/>
      <c r="W240" s="8"/>
      <c r="X240" s="8"/>
      <c r="Y240" s="8"/>
      <c r="Z240" s="8"/>
    </row>
    <row r="241">
      <c r="A241" s="7" t="s">
        <v>398</v>
      </c>
      <c r="B241" s="7" t="s">
        <v>413</v>
      </c>
      <c r="C241" s="7" t="s">
        <v>51</v>
      </c>
      <c r="D241" s="7">
        <v>2.5</v>
      </c>
      <c r="E241" s="8"/>
      <c r="F241" s="8"/>
      <c r="G241" s="8"/>
      <c r="H241" s="7"/>
      <c r="I241" s="7"/>
      <c r="J241" s="9"/>
      <c r="K241" s="8"/>
      <c r="L241" s="8"/>
      <c r="M241" s="8"/>
      <c r="N241" s="8"/>
      <c r="O241" s="8"/>
      <c r="P241" s="8"/>
      <c r="Q241" s="8"/>
      <c r="R241" s="8"/>
      <c r="S241" s="8"/>
      <c r="T241" s="8"/>
      <c r="U241" s="8"/>
      <c r="V241" s="8"/>
      <c r="W241" s="8"/>
      <c r="X241" s="8"/>
      <c r="Y241" s="8"/>
      <c r="Z241" s="8"/>
    </row>
    <row r="242">
      <c r="A242" s="7" t="s">
        <v>398</v>
      </c>
      <c r="B242" s="7" t="s">
        <v>154</v>
      </c>
      <c r="C242" s="7" t="s">
        <v>66</v>
      </c>
      <c r="D242" s="7">
        <v>6.0</v>
      </c>
      <c r="E242" s="8"/>
      <c r="F242" s="8"/>
      <c r="G242" s="8"/>
      <c r="H242" s="7"/>
      <c r="I242" s="7"/>
      <c r="J242" s="9"/>
      <c r="K242" s="8"/>
      <c r="L242" s="8"/>
      <c r="M242" s="8"/>
      <c r="N242" s="8"/>
      <c r="O242" s="8"/>
      <c r="P242" s="8"/>
      <c r="Q242" s="8"/>
      <c r="R242" s="8"/>
      <c r="S242" s="8"/>
      <c r="T242" s="8"/>
      <c r="U242" s="8"/>
      <c r="V242" s="8"/>
      <c r="W242" s="8"/>
      <c r="X242" s="8"/>
      <c r="Y242" s="8"/>
      <c r="Z242" s="8"/>
    </row>
    <row r="243">
      <c r="A243" s="7" t="s">
        <v>398</v>
      </c>
      <c r="B243" s="7" t="s">
        <v>414</v>
      </c>
      <c r="C243" s="7" t="s">
        <v>51</v>
      </c>
      <c r="D243" s="7">
        <v>6.0</v>
      </c>
      <c r="E243" s="8"/>
      <c r="F243" s="8"/>
      <c r="G243" s="8"/>
      <c r="H243" s="7"/>
      <c r="I243" s="7"/>
      <c r="J243" s="9"/>
      <c r="K243" s="8"/>
      <c r="L243" s="8"/>
      <c r="M243" s="8"/>
      <c r="N243" s="8"/>
      <c r="O243" s="8"/>
      <c r="P243" s="8"/>
      <c r="Q243" s="8"/>
      <c r="R243" s="8"/>
      <c r="S243" s="8"/>
      <c r="T243" s="8"/>
      <c r="U243" s="8"/>
      <c r="V243" s="8"/>
      <c r="W243" s="8"/>
      <c r="X243" s="8"/>
      <c r="Y243" s="8"/>
      <c r="Z243" s="8"/>
    </row>
    <row r="244">
      <c r="A244" s="7" t="s">
        <v>398</v>
      </c>
      <c r="B244" s="7" t="s">
        <v>415</v>
      </c>
      <c r="C244" s="7">
        <v>8.0</v>
      </c>
      <c r="D244" s="7">
        <v>5.0</v>
      </c>
      <c r="E244" s="8"/>
      <c r="F244" s="8"/>
      <c r="G244" s="8"/>
      <c r="H244" s="7"/>
      <c r="I244" s="7"/>
      <c r="J244" s="9"/>
      <c r="K244" s="8"/>
      <c r="L244" s="8"/>
      <c r="M244" s="8"/>
      <c r="N244" s="8"/>
      <c r="O244" s="8"/>
      <c r="P244" s="8"/>
      <c r="Q244" s="8"/>
      <c r="R244" s="8"/>
      <c r="S244" s="8"/>
      <c r="T244" s="8"/>
      <c r="U244" s="8"/>
      <c r="V244" s="8"/>
      <c r="W244" s="8"/>
      <c r="X244" s="8"/>
      <c r="Y244" s="8"/>
      <c r="Z244" s="8"/>
    </row>
    <row r="245">
      <c r="A245" s="7" t="s">
        <v>398</v>
      </c>
      <c r="B245" s="7" t="s">
        <v>416</v>
      </c>
      <c r="C245" s="7" t="s">
        <v>66</v>
      </c>
      <c r="D245" s="7">
        <v>9.0</v>
      </c>
      <c r="E245" s="8"/>
      <c r="F245" s="8"/>
      <c r="G245" s="8"/>
      <c r="H245" s="7"/>
      <c r="I245" s="7"/>
      <c r="J245" s="9"/>
      <c r="K245" s="8"/>
      <c r="L245" s="8"/>
      <c r="M245" s="8"/>
      <c r="N245" s="8"/>
      <c r="O245" s="8"/>
      <c r="P245" s="8"/>
      <c r="Q245" s="8"/>
      <c r="R245" s="8"/>
      <c r="S245" s="8"/>
      <c r="T245" s="8"/>
      <c r="U245" s="8"/>
      <c r="V245" s="8"/>
      <c r="W245" s="8"/>
      <c r="X245" s="8"/>
      <c r="Y245" s="8"/>
      <c r="Z245" s="8"/>
    </row>
    <row r="246">
      <c r="A246" s="7" t="s">
        <v>398</v>
      </c>
      <c r="B246" s="7" t="s">
        <v>417</v>
      </c>
      <c r="C246" s="7" t="s">
        <v>66</v>
      </c>
      <c r="D246" s="7">
        <v>8.5</v>
      </c>
      <c r="E246" s="8"/>
      <c r="F246" s="8"/>
      <c r="G246" s="8"/>
      <c r="H246" s="7"/>
      <c r="I246" s="7"/>
      <c r="J246" s="9"/>
      <c r="K246" s="8"/>
      <c r="L246" s="8"/>
      <c r="M246" s="8"/>
      <c r="N246" s="8"/>
      <c r="O246" s="8"/>
      <c r="P246" s="8"/>
      <c r="Q246" s="8"/>
      <c r="R246" s="8"/>
      <c r="S246" s="8"/>
      <c r="T246" s="8"/>
      <c r="U246" s="8"/>
      <c r="V246" s="8"/>
      <c r="W246" s="8"/>
      <c r="X246" s="8"/>
      <c r="Y246" s="8"/>
      <c r="Z246" s="8"/>
    </row>
    <row r="247">
      <c r="A247" s="7" t="s">
        <v>398</v>
      </c>
      <c r="B247" s="7" t="s">
        <v>418</v>
      </c>
      <c r="C247" s="7">
        <v>7.0</v>
      </c>
      <c r="D247" s="7">
        <v>13.0</v>
      </c>
      <c r="E247" s="8"/>
      <c r="F247" s="8"/>
      <c r="G247" s="8"/>
      <c r="H247" s="7"/>
      <c r="I247" s="7"/>
      <c r="J247" s="9"/>
      <c r="K247" s="8"/>
      <c r="L247" s="8"/>
      <c r="M247" s="8"/>
      <c r="N247" s="8"/>
      <c r="O247" s="8"/>
      <c r="P247" s="8"/>
      <c r="Q247" s="8"/>
      <c r="R247" s="8"/>
      <c r="S247" s="8"/>
      <c r="T247" s="8"/>
      <c r="U247" s="8"/>
      <c r="V247" s="8"/>
      <c r="W247" s="8"/>
      <c r="X247" s="8"/>
      <c r="Y247" s="8"/>
      <c r="Z247" s="8"/>
    </row>
    <row r="248">
      <c r="A248" s="7" t="s">
        <v>398</v>
      </c>
      <c r="B248" s="7" t="s">
        <v>419</v>
      </c>
      <c r="C248" s="7">
        <v>27.0</v>
      </c>
      <c r="D248" s="7">
        <v>11.0</v>
      </c>
      <c r="E248" s="8"/>
      <c r="F248" s="8"/>
      <c r="G248" s="8"/>
      <c r="H248" s="7"/>
      <c r="I248" s="7"/>
      <c r="J248" s="9"/>
      <c r="K248" s="8"/>
      <c r="L248" s="8"/>
      <c r="M248" s="8"/>
      <c r="N248" s="8"/>
      <c r="O248" s="8"/>
      <c r="P248" s="8"/>
      <c r="Q248" s="8"/>
      <c r="R248" s="8"/>
      <c r="S248" s="8"/>
      <c r="T248" s="8"/>
      <c r="U248" s="8"/>
      <c r="V248" s="8"/>
      <c r="W248" s="8"/>
      <c r="X248" s="8"/>
      <c r="Y248" s="8"/>
      <c r="Z248" s="8"/>
    </row>
    <row r="249">
      <c r="A249" s="7" t="s">
        <v>398</v>
      </c>
      <c r="B249" s="7" t="s">
        <v>420</v>
      </c>
      <c r="C249" s="7" t="s">
        <v>51</v>
      </c>
      <c r="D249" s="7">
        <v>9.0</v>
      </c>
      <c r="E249" s="8"/>
      <c r="F249" s="8"/>
      <c r="G249" s="8"/>
      <c r="H249" s="7"/>
      <c r="I249" s="7"/>
      <c r="J249" s="9"/>
      <c r="K249" s="8"/>
      <c r="L249" s="8"/>
      <c r="M249" s="8"/>
      <c r="N249" s="8"/>
      <c r="O249" s="8"/>
      <c r="P249" s="8"/>
      <c r="Q249" s="8"/>
      <c r="R249" s="8"/>
      <c r="S249" s="8"/>
      <c r="T249" s="8"/>
      <c r="U249" s="8"/>
      <c r="V249" s="8"/>
      <c r="W249" s="8"/>
      <c r="X249" s="8"/>
      <c r="Y249" s="8"/>
      <c r="Z249" s="8"/>
    </row>
    <row r="250">
      <c r="A250" s="7" t="s">
        <v>398</v>
      </c>
      <c r="B250" s="7" t="s">
        <v>421</v>
      </c>
      <c r="C250" s="7" t="s">
        <v>51</v>
      </c>
      <c r="D250" s="7">
        <v>9.0</v>
      </c>
      <c r="E250" s="8"/>
      <c r="F250" s="8"/>
      <c r="G250" s="8"/>
      <c r="H250" s="7"/>
      <c r="I250" s="7"/>
      <c r="J250" s="9"/>
      <c r="K250" s="8"/>
      <c r="L250" s="8"/>
      <c r="M250" s="8"/>
      <c r="N250" s="8"/>
      <c r="O250" s="8"/>
      <c r="P250" s="8"/>
      <c r="Q250" s="8"/>
      <c r="R250" s="8"/>
      <c r="S250" s="8"/>
      <c r="T250" s="8"/>
      <c r="U250" s="8"/>
      <c r="V250" s="8"/>
      <c r="W250" s="8"/>
      <c r="X250" s="8"/>
      <c r="Y250" s="8"/>
      <c r="Z250" s="8"/>
    </row>
    <row r="251">
      <c r="A251" s="7" t="s">
        <v>398</v>
      </c>
      <c r="B251" s="7" t="s">
        <v>422</v>
      </c>
      <c r="C251" s="7">
        <v>25.0</v>
      </c>
      <c r="D251" s="7">
        <v>7.0</v>
      </c>
      <c r="E251" s="8"/>
      <c r="F251" s="8"/>
      <c r="G251" s="8"/>
      <c r="H251" s="7"/>
      <c r="I251" s="7"/>
      <c r="J251" s="9"/>
      <c r="K251" s="8"/>
      <c r="L251" s="8"/>
      <c r="M251" s="8"/>
      <c r="N251" s="8"/>
      <c r="O251" s="8"/>
      <c r="P251" s="8"/>
      <c r="Q251" s="8"/>
      <c r="R251" s="8"/>
      <c r="S251" s="8"/>
      <c r="T251" s="8"/>
      <c r="U251" s="8"/>
      <c r="V251" s="8"/>
      <c r="W251" s="8"/>
      <c r="X251" s="8"/>
      <c r="Y251" s="8"/>
      <c r="Z251" s="8"/>
    </row>
    <row r="252">
      <c r="A252" s="7" t="s">
        <v>398</v>
      </c>
      <c r="B252" s="7" t="s">
        <v>423</v>
      </c>
      <c r="C252" s="7">
        <v>0.0</v>
      </c>
      <c r="D252" s="7">
        <v>3.75</v>
      </c>
      <c r="E252" s="8"/>
      <c r="F252" s="8"/>
      <c r="G252" s="8"/>
      <c r="H252" s="7"/>
      <c r="I252" s="7"/>
      <c r="J252" s="9"/>
      <c r="K252" s="8"/>
      <c r="L252" s="8"/>
      <c r="M252" s="8"/>
      <c r="N252" s="8"/>
      <c r="O252" s="8"/>
      <c r="P252" s="8"/>
      <c r="Q252" s="8"/>
      <c r="R252" s="8"/>
      <c r="S252" s="8"/>
      <c r="T252" s="8"/>
      <c r="U252" s="8"/>
      <c r="V252" s="8"/>
      <c r="W252" s="8"/>
      <c r="X252" s="8"/>
      <c r="Y252" s="8"/>
      <c r="Z252" s="8"/>
    </row>
    <row r="253">
      <c r="A253" s="19" t="s">
        <v>398</v>
      </c>
      <c r="B253" s="19" t="s">
        <v>424</v>
      </c>
      <c r="C253" s="19">
        <v>4.0</v>
      </c>
      <c r="D253" s="19">
        <v>8.3</v>
      </c>
      <c r="E253" s="20"/>
      <c r="F253" s="20"/>
      <c r="G253" s="20"/>
      <c r="H253" s="19" t="s">
        <v>425</v>
      </c>
      <c r="I253" s="19"/>
      <c r="J253" s="21"/>
      <c r="K253" s="20"/>
      <c r="L253" s="20"/>
      <c r="M253" s="20"/>
      <c r="N253" s="20"/>
      <c r="O253" s="20"/>
      <c r="P253" s="20"/>
      <c r="Q253" s="20"/>
      <c r="R253" s="20"/>
      <c r="S253" s="20"/>
      <c r="T253" s="20"/>
      <c r="U253" s="20"/>
      <c r="V253" s="20"/>
      <c r="W253" s="20"/>
      <c r="X253" s="20"/>
      <c r="Y253" s="20"/>
      <c r="Z253" s="20"/>
    </row>
    <row r="254">
      <c r="A254" s="7" t="s">
        <v>398</v>
      </c>
      <c r="B254" s="7" t="s">
        <v>426</v>
      </c>
      <c r="C254" s="7">
        <v>0.0</v>
      </c>
      <c r="D254" s="7">
        <v>13.0</v>
      </c>
      <c r="E254" s="8"/>
      <c r="F254" s="8"/>
      <c r="G254" s="8"/>
      <c r="H254" s="7"/>
      <c r="I254" s="7"/>
      <c r="J254" s="9"/>
      <c r="K254" s="8"/>
      <c r="L254" s="8"/>
      <c r="M254" s="8"/>
      <c r="N254" s="8"/>
      <c r="O254" s="8"/>
      <c r="P254" s="8"/>
      <c r="Q254" s="8"/>
      <c r="R254" s="8"/>
      <c r="S254" s="8"/>
      <c r="T254" s="8"/>
      <c r="U254" s="8"/>
      <c r="V254" s="8"/>
      <c r="W254" s="8"/>
      <c r="X254" s="8"/>
      <c r="Y254" s="8"/>
      <c r="Z254" s="8"/>
    </row>
    <row r="255">
      <c r="A255" s="14" t="s">
        <v>410</v>
      </c>
      <c r="B255" s="14" t="s">
        <v>427</v>
      </c>
      <c r="C255" s="14">
        <v>29.0</v>
      </c>
      <c r="D255" s="14">
        <v>10.0</v>
      </c>
      <c r="E255" s="15"/>
      <c r="F255" s="15"/>
      <c r="G255" s="15"/>
      <c r="H255" s="15"/>
      <c r="I255" s="15"/>
      <c r="J255" s="16"/>
      <c r="K255" s="15"/>
      <c r="L255" s="15"/>
      <c r="M255" s="15"/>
      <c r="N255" s="15"/>
      <c r="O255" s="15"/>
      <c r="P255" s="15"/>
      <c r="Q255" s="15"/>
      <c r="R255" s="15"/>
      <c r="S255" s="15"/>
      <c r="T255" s="15"/>
      <c r="U255" s="15"/>
      <c r="V255" s="15"/>
      <c r="W255" s="15"/>
      <c r="X255" s="15"/>
      <c r="Y255" s="15"/>
      <c r="Z255" s="15"/>
    </row>
    <row r="256">
      <c r="A256" s="7" t="s">
        <v>398</v>
      </c>
      <c r="B256" s="7" t="s">
        <v>428</v>
      </c>
      <c r="C256" s="7" t="s">
        <v>51</v>
      </c>
      <c r="D256" s="7">
        <v>7.0</v>
      </c>
      <c r="E256" s="8"/>
      <c r="F256" s="8"/>
      <c r="G256" s="8"/>
      <c r="H256" s="8"/>
      <c r="I256" s="8"/>
      <c r="J256" s="9"/>
      <c r="K256" s="8"/>
      <c r="L256" s="8"/>
      <c r="M256" s="8"/>
      <c r="N256" s="8"/>
      <c r="O256" s="8"/>
      <c r="P256" s="8"/>
      <c r="Q256" s="8"/>
      <c r="R256" s="8"/>
      <c r="S256" s="8"/>
      <c r="T256" s="8"/>
      <c r="U256" s="8"/>
      <c r="V256" s="8"/>
      <c r="W256" s="8"/>
      <c r="X256" s="8"/>
      <c r="Y256" s="8"/>
      <c r="Z256" s="8"/>
    </row>
    <row r="257">
      <c r="A257" s="14" t="s">
        <v>398</v>
      </c>
      <c r="B257" s="14" t="s">
        <v>429</v>
      </c>
      <c r="C257" s="14">
        <v>6.0</v>
      </c>
      <c r="D257" s="14">
        <v>10.0</v>
      </c>
      <c r="E257" s="14" t="s">
        <v>184</v>
      </c>
      <c r="F257" s="15"/>
      <c r="G257" s="15"/>
      <c r="H257" s="15"/>
      <c r="I257" s="15"/>
      <c r="J257" s="16"/>
      <c r="K257" s="15"/>
      <c r="L257" s="15"/>
      <c r="M257" s="15"/>
      <c r="N257" s="15"/>
      <c r="O257" s="15"/>
      <c r="P257" s="15"/>
      <c r="Q257" s="15"/>
      <c r="R257" s="15"/>
      <c r="S257" s="15"/>
      <c r="T257" s="15"/>
      <c r="U257" s="15"/>
      <c r="V257" s="15"/>
      <c r="W257" s="15"/>
      <c r="X257" s="15"/>
      <c r="Y257" s="15"/>
      <c r="Z257" s="15"/>
    </row>
    <row r="258">
      <c r="A258" s="14" t="s">
        <v>398</v>
      </c>
      <c r="B258" s="14" t="s">
        <v>430</v>
      </c>
      <c r="C258" s="14">
        <v>24.0</v>
      </c>
      <c r="D258" s="14">
        <v>12.2</v>
      </c>
      <c r="E258" s="15"/>
      <c r="F258" s="15"/>
      <c r="G258" s="15"/>
      <c r="H258" s="15"/>
      <c r="I258" s="15"/>
      <c r="J258" s="16"/>
      <c r="K258" s="15"/>
      <c r="L258" s="15"/>
      <c r="M258" s="15"/>
      <c r="N258" s="15"/>
      <c r="O258" s="15"/>
      <c r="P258" s="15"/>
      <c r="Q258" s="15"/>
      <c r="R258" s="15"/>
      <c r="S258" s="15"/>
      <c r="T258" s="15"/>
      <c r="U258" s="15"/>
      <c r="V258" s="15"/>
      <c r="W258" s="15"/>
      <c r="X258" s="15"/>
      <c r="Y258" s="15"/>
      <c r="Z258" s="15"/>
    </row>
    <row r="259">
      <c r="A259" s="7" t="s">
        <v>431</v>
      </c>
      <c r="B259" s="7" t="s">
        <v>432</v>
      </c>
      <c r="C259" s="7" t="s">
        <v>57</v>
      </c>
      <c r="D259" s="7">
        <v>3.5</v>
      </c>
      <c r="E259" s="8"/>
      <c r="F259" s="8"/>
      <c r="G259" s="8"/>
      <c r="H259" s="8"/>
      <c r="I259" s="8"/>
      <c r="J259" s="9"/>
      <c r="K259" s="8"/>
      <c r="L259" s="8"/>
      <c r="M259" s="8"/>
      <c r="N259" s="8"/>
      <c r="O259" s="8"/>
      <c r="P259" s="8"/>
      <c r="Q259" s="8"/>
      <c r="R259" s="8"/>
      <c r="S259" s="8"/>
      <c r="T259" s="8"/>
      <c r="U259" s="8"/>
      <c r="V259" s="8"/>
      <c r="W259" s="8"/>
      <c r="X259" s="8"/>
      <c r="Y259" s="8"/>
      <c r="Z259" s="8"/>
    </row>
    <row r="260">
      <c r="A260" s="7" t="s">
        <v>433</v>
      </c>
      <c r="B260" s="7" t="s">
        <v>434</v>
      </c>
      <c r="C260" s="7" t="s">
        <v>435</v>
      </c>
      <c r="D260" s="7"/>
      <c r="E260" s="8"/>
      <c r="F260" s="8"/>
      <c r="G260" s="8"/>
      <c r="H260" s="8"/>
      <c r="I260" s="8"/>
      <c r="J260" s="9"/>
      <c r="K260" s="8"/>
      <c r="L260" s="8"/>
      <c r="M260" s="8"/>
      <c r="N260" s="8"/>
      <c r="O260" s="8"/>
      <c r="P260" s="8"/>
      <c r="Q260" s="8"/>
      <c r="R260" s="8"/>
      <c r="S260" s="8"/>
      <c r="T260" s="8"/>
      <c r="U260" s="8"/>
      <c r="V260" s="8"/>
      <c r="W260" s="8"/>
      <c r="X260" s="8"/>
      <c r="Y260" s="8"/>
      <c r="Z260" s="8"/>
    </row>
    <row r="261">
      <c r="A261" s="7" t="s">
        <v>436</v>
      </c>
      <c r="B261" s="7" t="s">
        <v>437</v>
      </c>
      <c r="C261" s="7" t="s">
        <v>51</v>
      </c>
      <c r="D261" s="7">
        <v>9.0</v>
      </c>
      <c r="E261" s="8"/>
      <c r="F261" s="8"/>
      <c r="G261" s="8"/>
      <c r="H261" s="7"/>
      <c r="I261" s="8"/>
      <c r="J261" s="9"/>
      <c r="K261" s="8"/>
      <c r="L261" s="8"/>
      <c r="M261" s="8"/>
      <c r="N261" s="8"/>
      <c r="O261" s="8"/>
      <c r="P261" s="8"/>
      <c r="Q261" s="8"/>
      <c r="R261" s="8"/>
      <c r="S261" s="8"/>
      <c r="T261" s="8"/>
      <c r="U261" s="8"/>
      <c r="V261" s="8"/>
      <c r="W261" s="8"/>
      <c r="X261" s="8"/>
      <c r="Y261" s="8"/>
      <c r="Z261" s="8"/>
    </row>
    <row r="262">
      <c r="A262" s="7" t="s">
        <v>438</v>
      </c>
      <c r="B262" s="7" t="s">
        <v>439</v>
      </c>
      <c r="C262" s="7"/>
      <c r="D262" s="7">
        <v>18.0</v>
      </c>
      <c r="E262" s="8"/>
      <c r="F262" s="8"/>
      <c r="G262" s="8"/>
      <c r="H262" s="8"/>
      <c r="I262" s="8"/>
      <c r="J262" s="9"/>
      <c r="K262" s="8"/>
      <c r="L262" s="8"/>
      <c r="M262" s="8"/>
      <c r="N262" s="8"/>
      <c r="O262" s="8"/>
      <c r="P262" s="8"/>
      <c r="Q262" s="8"/>
      <c r="R262" s="8"/>
      <c r="S262" s="8"/>
      <c r="T262" s="8"/>
      <c r="U262" s="8"/>
      <c r="V262" s="8"/>
      <c r="W262" s="8"/>
      <c r="X262" s="8"/>
      <c r="Y262" s="8"/>
      <c r="Z262" s="8"/>
    </row>
    <row r="263">
      <c r="A263" s="7" t="s">
        <v>440</v>
      </c>
      <c r="B263" s="7" t="s">
        <v>441</v>
      </c>
      <c r="C263" s="7" t="s">
        <v>51</v>
      </c>
      <c r="D263" s="7">
        <v>8.0</v>
      </c>
      <c r="E263" s="8"/>
      <c r="F263" s="8"/>
      <c r="G263" s="8"/>
      <c r="H263" s="8"/>
      <c r="I263" s="8"/>
      <c r="J263" s="9"/>
      <c r="K263" s="8"/>
      <c r="L263" s="8"/>
      <c r="M263" s="8"/>
      <c r="N263" s="8"/>
      <c r="O263" s="8"/>
      <c r="P263" s="8"/>
      <c r="Q263" s="8"/>
      <c r="R263" s="8"/>
      <c r="S263" s="8"/>
      <c r="T263" s="8"/>
      <c r="U263" s="8"/>
      <c r="V263" s="8"/>
      <c r="W263" s="8"/>
      <c r="X263" s="8"/>
      <c r="Y263" s="8"/>
      <c r="Z263" s="8"/>
    </row>
    <row r="264">
      <c r="A264" s="7" t="s">
        <v>442</v>
      </c>
      <c r="B264" s="7" t="s">
        <v>443</v>
      </c>
      <c r="C264" s="7" t="s">
        <v>57</v>
      </c>
      <c r="D264" s="7">
        <v>3.25</v>
      </c>
      <c r="E264" s="8"/>
      <c r="F264" s="8"/>
      <c r="G264" s="8"/>
      <c r="H264" s="8"/>
      <c r="I264" s="8"/>
      <c r="J264" s="9"/>
      <c r="K264" s="8"/>
      <c r="L264" s="8"/>
      <c r="M264" s="8"/>
      <c r="N264" s="8"/>
      <c r="O264" s="8"/>
      <c r="P264" s="8"/>
      <c r="Q264" s="8"/>
      <c r="R264" s="8"/>
      <c r="S264" s="8"/>
      <c r="T264" s="8"/>
      <c r="U264" s="8"/>
      <c r="V264" s="8"/>
      <c r="W264" s="8"/>
      <c r="X264" s="8"/>
      <c r="Y264" s="8"/>
      <c r="Z264" s="8"/>
    </row>
    <row r="265">
      <c r="A265" s="7" t="s">
        <v>444</v>
      </c>
      <c r="B265" s="7" t="s">
        <v>445</v>
      </c>
      <c r="C265" s="7" t="s">
        <v>57</v>
      </c>
      <c r="D265" s="7">
        <v>6.5</v>
      </c>
      <c r="E265" s="8"/>
      <c r="F265" s="8"/>
      <c r="G265" s="8"/>
      <c r="H265" s="8"/>
      <c r="I265" s="8"/>
      <c r="J265" s="9"/>
      <c r="K265" s="8"/>
      <c r="L265" s="8"/>
      <c r="M265" s="8"/>
      <c r="N265" s="8"/>
      <c r="O265" s="8"/>
      <c r="P265" s="8"/>
      <c r="Q265" s="8"/>
      <c r="R265" s="8"/>
      <c r="S265" s="8"/>
      <c r="T265" s="8"/>
      <c r="U265" s="8"/>
      <c r="V265" s="8"/>
      <c r="W265" s="8"/>
      <c r="X265" s="8"/>
      <c r="Y265" s="8"/>
      <c r="Z265" s="8"/>
    </row>
    <row r="266">
      <c r="A266" s="7" t="s">
        <v>446</v>
      </c>
      <c r="B266" s="7" t="s">
        <v>447</v>
      </c>
      <c r="C266" s="7">
        <v>6.5</v>
      </c>
      <c r="D266" s="7">
        <v>6.5</v>
      </c>
      <c r="E266" s="8"/>
      <c r="F266" s="8"/>
      <c r="G266" s="8"/>
      <c r="H266" s="8"/>
      <c r="I266" s="8"/>
      <c r="J266" s="9"/>
      <c r="K266" s="8"/>
      <c r="L266" s="8"/>
      <c r="M266" s="8"/>
      <c r="N266" s="8"/>
      <c r="O266" s="8"/>
      <c r="P266" s="8"/>
      <c r="Q266" s="8"/>
      <c r="R266" s="8"/>
      <c r="S266" s="8"/>
      <c r="T266" s="8"/>
      <c r="U266" s="8"/>
      <c r="V266" s="8"/>
      <c r="W266" s="8"/>
      <c r="X266" s="8"/>
      <c r="Y266" s="8"/>
      <c r="Z266" s="8"/>
    </row>
    <row r="267">
      <c r="A267" s="7" t="s">
        <v>448</v>
      </c>
      <c r="B267" s="7" t="s">
        <v>449</v>
      </c>
      <c r="C267" s="7">
        <v>8.0</v>
      </c>
      <c r="D267" s="7">
        <v>7.0</v>
      </c>
      <c r="E267" s="8"/>
      <c r="F267" s="8"/>
      <c r="G267" s="8"/>
      <c r="H267" s="8"/>
      <c r="I267" s="8"/>
      <c r="J267" s="9"/>
      <c r="K267" s="8"/>
      <c r="L267" s="8"/>
      <c r="M267" s="8"/>
      <c r="N267" s="8"/>
      <c r="O267" s="8"/>
      <c r="P267" s="8"/>
      <c r="Q267" s="8"/>
      <c r="R267" s="8"/>
      <c r="S267" s="8"/>
      <c r="T267" s="8"/>
      <c r="U267" s="8"/>
      <c r="V267" s="8"/>
      <c r="W267" s="8"/>
      <c r="X267" s="8"/>
      <c r="Y267" s="8"/>
      <c r="Z267" s="8"/>
    </row>
    <row r="268">
      <c r="A268" s="7" t="s">
        <v>448</v>
      </c>
      <c r="B268" s="7" t="s">
        <v>450</v>
      </c>
      <c r="C268" s="7">
        <v>2.0</v>
      </c>
      <c r="D268" s="7">
        <v>7.5</v>
      </c>
      <c r="E268" s="8"/>
      <c r="F268" s="8"/>
      <c r="G268" s="8"/>
      <c r="H268" s="8"/>
      <c r="I268" s="8"/>
      <c r="J268" s="9"/>
      <c r="K268" s="8"/>
      <c r="L268" s="8"/>
      <c r="M268" s="8"/>
      <c r="N268" s="8"/>
      <c r="O268" s="8"/>
      <c r="P268" s="8"/>
      <c r="Q268" s="8"/>
      <c r="R268" s="8"/>
      <c r="S268" s="8"/>
      <c r="T268" s="8"/>
      <c r="U268" s="8"/>
      <c r="V268" s="8"/>
      <c r="W268" s="8"/>
      <c r="X268" s="8"/>
      <c r="Y268" s="8"/>
      <c r="Z268" s="8"/>
    </row>
    <row r="269">
      <c r="A269" s="7" t="s">
        <v>448</v>
      </c>
      <c r="B269" s="7" t="s">
        <v>451</v>
      </c>
      <c r="C269" s="7" t="s">
        <v>51</v>
      </c>
      <c r="D269" s="7">
        <v>9.0</v>
      </c>
      <c r="E269" s="8"/>
      <c r="F269" s="8"/>
      <c r="G269" s="8"/>
      <c r="H269" s="7">
        <v>30.0</v>
      </c>
      <c r="I269" s="22" t="s">
        <v>452</v>
      </c>
      <c r="J269" s="9"/>
      <c r="K269" s="8"/>
      <c r="L269" s="8"/>
      <c r="M269" s="8"/>
      <c r="N269" s="8"/>
      <c r="O269" s="8"/>
      <c r="P269" s="8"/>
      <c r="Q269" s="8"/>
      <c r="R269" s="8"/>
      <c r="S269" s="8"/>
      <c r="T269" s="8"/>
      <c r="U269" s="8"/>
      <c r="V269" s="8"/>
      <c r="W269" s="8"/>
      <c r="X269" s="8"/>
      <c r="Y269" s="8"/>
      <c r="Z269" s="8"/>
    </row>
    <row r="270">
      <c r="A270" s="7" t="s">
        <v>453</v>
      </c>
      <c r="B270" s="7" t="s">
        <v>454</v>
      </c>
      <c r="C270" s="7" t="s">
        <v>51</v>
      </c>
      <c r="D270" s="7">
        <v>2.5</v>
      </c>
      <c r="E270" s="8"/>
      <c r="F270" s="8"/>
      <c r="G270" s="8"/>
      <c r="H270" s="8"/>
      <c r="I270" s="8"/>
      <c r="J270" s="9"/>
      <c r="K270" s="8"/>
      <c r="L270" s="8"/>
      <c r="M270" s="8"/>
      <c r="N270" s="8"/>
      <c r="O270" s="8"/>
      <c r="P270" s="8"/>
      <c r="Q270" s="8"/>
      <c r="R270" s="8"/>
      <c r="S270" s="8"/>
      <c r="T270" s="8"/>
      <c r="U270" s="8"/>
      <c r="V270" s="8"/>
      <c r="W270" s="8"/>
      <c r="X270" s="8"/>
      <c r="Y270" s="8"/>
      <c r="Z270" s="8"/>
    </row>
    <row r="271">
      <c r="A271" s="7" t="s">
        <v>453</v>
      </c>
      <c r="B271" s="7" t="s">
        <v>455</v>
      </c>
      <c r="C271" s="7" t="s">
        <v>51</v>
      </c>
      <c r="D271" s="7">
        <v>3.0</v>
      </c>
      <c r="E271" s="8"/>
      <c r="F271" s="8"/>
      <c r="G271" s="8"/>
      <c r="H271" s="8"/>
      <c r="I271" s="8"/>
      <c r="J271" s="9"/>
      <c r="K271" s="8"/>
      <c r="L271" s="8"/>
      <c r="M271" s="8"/>
      <c r="N271" s="8"/>
      <c r="O271" s="8"/>
      <c r="P271" s="8"/>
      <c r="Q271" s="8"/>
      <c r="R271" s="8"/>
      <c r="S271" s="8"/>
      <c r="T271" s="8"/>
      <c r="U271" s="8"/>
      <c r="V271" s="8"/>
      <c r="W271" s="8"/>
      <c r="X271" s="8"/>
      <c r="Y271" s="8"/>
      <c r="Z271" s="8"/>
    </row>
    <row r="272">
      <c r="A272" s="7" t="s">
        <v>453</v>
      </c>
      <c r="B272" s="7" t="s">
        <v>456</v>
      </c>
      <c r="C272" s="7" t="s">
        <v>51</v>
      </c>
      <c r="D272" s="7">
        <v>4.5</v>
      </c>
      <c r="E272" s="8"/>
      <c r="F272" s="8"/>
      <c r="G272" s="8"/>
      <c r="H272" s="8"/>
      <c r="I272" s="8"/>
      <c r="J272" s="9"/>
      <c r="K272" s="8"/>
      <c r="L272" s="8"/>
      <c r="M272" s="8"/>
      <c r="N272" s="8"/>
      <c r="O272" s="8"/>
      <c r="P272" s="8"/>
      <c r="Q272" s="8"/>
      <c r="R272" s="8"/>
      <c r="S272" s="8"/>
      <c r="T272" s="8"/>
      <c r="U272" s="8"/>
      <c r="V272" s="8"/>
      <c r="W272" s="8"/>
      <c r="X272" s="8"/>
      <c r="Y272" s="8"/>
      <c r="Z272" s="8"/>
    </row>
    <row r="273">
      <c r="A273" s="7" t="s">
        <v>453</v>
      </c>
      <c r="B273" s="7" t="s">
        <v>457</v>
      </c>
      <c r="C273" s="7" t="s">
        <v>57</v>
      </c>
      <c r="D273" s="7">
        <v>3.25</v>
      </c>
      <c r="E273" s="8"/>
      <c r="F273" s="8"/>
      <c r="G273" s="8"/>
      <c r="H273" s="8"/>
      <c r="I273" s="8"/>
      <c r="J273" s="9"/>
      <c r="K273" s="8"/>
      <c r="L273" s="8"/>
      <c r="M273" s="8"/>
      <c r="N273" s="8"/>
      <c r="O273" s="8"/>
      <c r="P273" s="8"/>
      <c r="Q273" s="8"/>
      <c r="R273" s="8"/>
      <c r="S273" s="8"/>
      <c r="T273" s="8"/>
      <c r="U273" s="8"/>
      <c r="V273" s="8"/>
      <c r="W273" s="8"/>
      <c r="X273" s="8"/>
      <c r="Y273" s="8"/>
      <c r="Z273" s="8"/>
    </row>
    <row r="274">
      <c r="A274" s="7" t="s">
        <v>453</v>
      </c>
      <c r="B274" s="7" t="s">
        <v>458</v>
      </c>
      <c r="C274" s="7" t="s">
        <v>51</v>
      </c>
      <c r="D274" s="7">
        <v>7.3</v>
      </c>
      <c r="E274" s="8"/>
      <c r="F274" s="8"/>
      <c r="G274" s="8"/>
      <c r="H274" s="8"/>
      <c r="I274" s="8"/>
      <c r="J274" s="9"/>
      <c r="K274" s="8"/>
      <c r="L274" s="8"/>
      <c r="M274" s="8"/>
      <c r="N274" s="8"/>
      <c r="O274" s="8"/>
      <c r="P274" s="8"/>
      <c r="Q274" s="8"/>
      <c r="R274" s="8"/>
      <c r="S274" s="8"/>
      <c r="T274" s="8"/>
      <c r="U274" s="8"/>
      <c r="V274" s="8"/>
      <c r="W274" s="8"/>
      <c r="X274" s="8"/>
      <c r="Y274" s="8"/>
      <c r="Z274" s="8"/>
    </row>
    <row r="275">
      <c r="A275" s="7" t="s">
        <v>453</v>
      </c>
      <c r="B275" s="7" t="s">
        <v>365</v>
      </c>
      <c r="C275" s="7" t="s">
        <v>51</v>
      </c>
      <c r="D275" s="7">
        <v>7.0</v>
      </c>
      <c r="E275" s="8"/>
      <c r="F275" s="8"/>
      <c r="G275" s="8"/>
      <c r="H275" s="8"/>
      <c r="I275" s="8"/>
      <c r="J275" s="9"/>
      <c r="K275" s="8"/>
      <c r="L275" s="8"/>
      <c r="M275" s="8"/>
      <c r="N275" s="8"/>
      <c r="O275" s="8"/>
      <c r="P275" s="8"/>
      <c r="Q275" s="8"/>
      <c r="R275" s="8"/>
      <c r="S275" s="8"/>
      <c r="T275" s="8"/>
      <c r="U275" s="8"/>
      <c r="V275" s="8"/>
      <c r="W275" s="8"/>
      <c r="X275" s="8"/>
      <c r="Y275" s="8"/>
      <c r="Z275" s="8"/>
    </row>
    <row r="276">
      <c r="A276" s="7" t="s">
        <v>453</v>
      </c>
      <c r="B276" s="7" t="s">
        <v>459</v>
      </c>
      <c r="C276" s="7" t="s">
        <v>51</v>
      </c>
      <c r="D276" s="7">
        <v>6.5</v>
      </c>
      <c r="E276" s="8"/>
      <c r="F276" s="8"/>
      <c r="G276" s="8"/>
      <c r="H276" s="8"/>
      <c r="I276" s="8"/>
      <c r="J276" s="9"/>
      <c r="K276" s="8"/>
      <c r="L276" s="8"/>
      <c r="M276" s="8"/>
      <c r="N276" s="8"/>
      <c r="O276" s="8"/>
      <c r="P276" s="8"/>
      <c r="Q276" s="8"/>
      <c r="R276" s="8"/>
      <c r="S276" s="8"/>
      <c r="T276" s="8"/>
      <c r="U276" s="8"/>
      <c r="V276" s="8"/>
      <c r="W276" s="8"/>
      <c r="X276" s="8"/>
      <c r="Y276" s="8"/>
      <c r="Z276" s="8"/>
    </row>
    <row r="277">
      <c r="A277" s="7" t="s">
        <v>453</v>
      </c>
      <c r="B277" s="7" t="s">
        <v>460</v>
      </c>
      <c r="C277" s="7" t="s">
        <v>51</v>
      </c>
      <c r="D277" s="7"/>
      <c r="E277" s="8"/>
      <c r="F277" s="8"/>
      <c r="G277" s="8"/>
      <c r="H277" s="8"/>
      <c r="I277" s="8"/>
      <c r="J277" s="9"/>
      <c r="K277" s="8"/>
      <c r="L277" s="8"/>
      <c r="M277" s="8"/>
      <c r="N277" s="8"/>
      <c r="O277" s="8"/>
      <c r="P277" s="8"/>
      <c r="Q277" s="8"/>
      <c r="R277" s="8"/>
      <c r="S277" s="8"/>
      <c r="T277" s="8"/>
      <c r="U277" s="8"/>
      <c r="V277" s="8"/>
      <c r="W277" s="8"/>
      <c r="X277" s="8"/>
      <c r="Y277" s="8"/>
      <c r="Z277" s="8"/>
    </row>
    <row r="278">
      <c r="A278" s="7" t="s">
        <v>453</v>
      </c>
      <c r="B278" s="7" t="s">
        <v>461</v>
      </c>
      <c r="C278" s="7" t="s">
        <v>51</v>
      </c>
      <c r="D278" s="7"/>
      <c r="E278" s="8"/>
      <c r="F278" s="8"/>
      <c r="G278" s="8"/>
      <c r="H278" s="8"/>
      <c r="I278" s="8"/>
      <c r="J278" s="9"/>
      <c r="K278" s="8"/>
      <c r="L278" s="8"/>
      <c r="M278" s="8"/>
      <c r="N278" s="8"/>
      <c r="O278" s="8"/>
      <c r="P278" s="8"/>
      <c r="Q278" s="8"/>
      <c r="R278" s="8"/>
      <c r="S278" s="8"/>
      <c r="T278" s="8"/>
      <c r="U278" s="8"/>
      <c r="V278" s="8"/>
      <c r="W278" s="8"/>
      <c r="X278" s="8"/>
      <c r="Y278" s="8"/>
      <c r="Z278" s="8"/>
    </row>
    <row r="279">
      <c r="A279" s="7" t="s">
        <v>453</v>
      </c>
      <c r="B279" s="7" t="s">
        <v>462</v>
      </c>
      <c r="C279" s="7" t="s">
        <v>134</v>
      </c>
      <c r="D279" s="7"/>
      <c r="E279" s="8"/>
      <c r="F279" s="8"/>
      <c r="G279" s="8"/>
      <c r="H279" s="8"/>
      <c r="I279" s="8"/>
      <c r="J279" s="9"/>
      <c r="K279" s="8"/>
      <c r="L279" s="8"/>
      <c r="M279" s="8"/>
      <c r="N279" s="8"/>
      <c r="O279" s="8"/>
      <c r="P279" s="8"/>
      <c r="Q279" s="8"/>
      <c r="R279" s="8"/>
      <c r="S279" s="8"/>
      <c r="T279" s="8"/>
      <c r="U279" s="8"/>
      <c r="V279" s="8"/>
      <c r="W279" s="8"/>
      <c r="X279" s="8"/>
      <c r="Y279" s="8"/>
      <c r="Z279" s="8"/>
    </row>
    <row r="280">
      <c r="A280" s="7" t="s">
        <v>463</v>
      </c>
      <c r="B280" s="7" t="s">
        <v>464</v>
      </c>
      <c r="C280" s="7" t="s">
        <v>51</v>
      </c>
      <c r="D280" s="7">
        <v>2.5</v>
      </c>
      <c r="E280" s="8"/>
      <c r="F280" s="8"/>
      <c r="G280" s="8"/>
      <c r="H280" s="7"/>
      <c r="I280" s="7"/>
      <c r="J280" s="9"/>
      <c r="K280" s="8"/>
      <c r="L280" s="8"/>
      <c r="M280" s="8"/>
      <c r="N280" s="8"/>
      <c r="O280" s="8"/>
      <c r="P280" s="8"/>
      <c r="Q280" s="8"/>
      <c r="R280" s="8"/>
      <c r="S280" s="8"/>
      <c r="T280" s="8"/>
      <c r="U280" s="8"/>
      <c r="V280" s="8"/>
      <c r="W280" s="8"/>
      <c r="X280" s="8"/>
      <c r="Y280" s="8"/>
      <c r="Z280" s="8"/>
    </row>
    <row r="281">
      <c r="A281" s="7" t="s">
        <v>463</v>
      </c>
      <c r="B281" s="7" t="s">
        <v>465</v>
      </c>
      <c r="C281" s="7" t="s">
        <v>51</v>
      </c>
      <c r="D281" s="7">
        <v>5.0</v>
      </c>
      <c r="E281" s="8"/>
      <c r="F281" s="8"/>
      <c r="G281" s="8"/>
      <c r="H281" s="7"/>
      <c r="I281" s="7"/>
      <c r="J281" s="9"/>
      <c r="K281" s="8"/>
      <c r="L281" s="8"/>
      <c r="M281" s="8"/>
      <c r="N281" s="8"/>
      <c r="O281" s="8"/>
      <c r="P281" s="8"/>
      <c r="Q281" s="8"/>
      <c r="R281" s="8"/>
      <c r="S281" s="8"/>
      <c r="T281" s="8"/>
      <c r="U281" s="8"/>
      <c r="V281" s="8"/>
      <c r="W281" s="8"/>
      <c r="X281" s="8"/>
      <c r="Y281" s="8"/>
      <c r="Z281" s="8"/>
    </row>
    <row r="282">
      <c r="A282" s="7" t="s">
        <v>463</v>
      </c>
      <c r="B282" s="7" t="s">
        <v>466</v>
      </c>
      <c r="C282" s="7" t="s">
        <v>51</v>
      </c>
      <c r="D282" s="7">
        <v>6.0</v>
      </c>
      <c r="E282" s="8"/>
      <c r="F282" s="8"/>
      <c r="G282" s="8"/>
      <c r="H282" s="7"/>
      <c r="I282" s="7"/>
      <c r="J282" s="9"/>
      <c r="K282" s="8"/>
      <c r="L282" s="8"/>
      <c r="M282" s="8"/>
      <c r="N282" s="8"/>
      <c r="O282" s="8"/>
      <c r="P282" s="8"/>
      <c r="Q282" s="8"/>
      <c r="R282" s="8"/>
      <c r="S282" s="8"/>
      <c r="T282" s="8"/>
      <c r="U282" s="8"/>
      <c r="V282" s="8"/>
      <c r="W282" s="8"/>
      <c r="X282" s="8"/>
      <c r="Y282" s="8"/>
      <c r="Z282" s="8"/>
    </row>
    <row r="283">
      <c r="A283" s="7" t="s">
        <v>463</v>
      </c>
      <c r="B283" s="7" t="s">
        <v>467</v>
      </c>
      <c r="C283" s="7" t="s">
        <v>57</v>
      </c>
      <c r="D283" s="7">
        <v>7.5</v>
      </c>
      <c r="E283" s="8"/>
      <c r="F283" s="8"/>
      <c r="G283" s="8"/>
      <c r="H283" s="7"/>
      <c r="I283" s="7"/>
      <c r="J283" s="9"/>
      <c r="K283" s="8"/>
      <c r="L283" s="8"/>
      <c r="M283" s="8"/>
      <c r="N283" s="8"/>
      <c r="O283" s="8"/>
      <c r="P283" s="8"/>
      <c r="Q283" s="8"/>
      <c r="R283" s="8"/>
      <c r="S283" s="8"/>
      <c r="T283" s="8"/>
      <c r="U283" s="8"/>
      <c r="V283" s="8"/>
      <c r="W283" s="8"/>
      <c r="X283" s="8"/>
      <c r="Y283" s="8"/>
      <c r="Z283" s="8"/>
    </row>
    <row r="284">
      <c r="A284" s="7" t="s">
        <v>468</v>
      </c>
      <c r="B284" s="7" t="s">
        <v>469</v>
      </c>
      <c r="C284" s="7">
        <v>1.0</v>
      </c>
      <c r="D284" s="7">
        <v>7.3</v>
      </c>
      <c r="E284" s="8"/>
      <c r="F284" s="8"/>
      <c r="G284" s="8"/>
      <c r="H284" s="8"/>
      <c r="I284" s="8"/>
      <c r="J284" s="9"/>
      <c r="K284" s="8"/>
      <c r="L284" s="8"/>
      <c r="M284" s="8"/>
      <c r="N284" s="8"/>
      <c r="O284" s="8"/>
      <c r="P284" s="8"/>
      <c r="Q284" s="8"/>
      <c r="R284" s="8"/>
      <c r="S284" s="8"/>
      <c r="T284" s="8"/>
      <c r="U284" s="8"/>
      <c r="V284" s="8"/>
      <c r="W284" s="8"/>
      <c r="X284" s="8"/>
      <c r="Y284" s="8"/>
      <c r="Z284" s="8"/>
    </row>
    <row r="285">
      <c r="A285" s="7" t="s">
        <v>470</v>
      </c>
      <c r="B285" s="7" t="s">
        <v>471</v>
      </c>
      <c r="C285" s="7" t="s">
        <v>51</v>
      </c>
      <c r="D285" s="7"/>
      <c r="E285" s="8"/>
      <c r="F285" s="8"/>
      <c r="G285" s="8"/>
      <c r="H285" s="8"/>
      <c r="I285" s="8"/>
      <c r="J285" s="9"/>
      <c r="K285" s="8"/>
      <c r="L285" s="8"/>
      <c r="M285" s="8"/>
      <c r="N285" s="8"/>
      <c r="O285" s="8"/>
      <c r="P285" s="8"/>
      <c r="Q285" s="8"/>
      <c r="R285" s="8"/>
      <c r="S285" s="8"/>
      <c r="T285" s="8"/>
      <c r="U285" s="8"/>
      <c r="V285" s="8"/>
      <c r="W285" s="8"/>
      <c r="X285" s="8"/>
      <c r="Y285" s="8"/>
      <c r="Z285" s="8"/>
    </row>
    <row r="286">
      <c r="A286" s="7" t="s">
        <v>472</v>
      </c>
      <c r="B286" s="7" t="s">
        <v>473</v>
      </c>
      <c r="C286" s="7">
        <v>28.0</v>
      </c>
      <c r="D286" s="7"/>
      <c r="E286" s="8"/>
      <c r="F286" s="8"/>
      <c r="G286" s="8"/>
      <c r="H286" s="8"/>
      <c r="I286" s="8"/>
      <c r="J286" s="9"/>
      <c r="K286" s="8"/>
      <c r="L286" s="8"/>
      <c r="M286" s="8"/>
      <c r="N286" s="8"/>
      <c r="O286" s="8"/>
      <c r="P286" s="8"/>
      <c r="Q286" s="8"/>
      <c r="R286" s="8"/>
      <c r="S286" s="8"/>
      <c r="T286" s="8"/>
      <c r="U286" s="8"/>
      <c r="V286" s="8"/>
      <c r="W286" s="8"/>
      <c r="X286" s="8"/>
      <c r="Y286" s="8"/>
      <c r="Z286" s="8"/>
    </row>
    <row r="287">
      <c r="A287" s="7" t="s">
        <v>474</v>
      </c>
      <c r="B287" s="7" t="s">
        <v>475</v>
      </c>
      <c r="C287" s="7">
        <v>44.0</v>
      </c>
      <c r="D287" s="7">
        <v>12.0</v>
      </c>
      <c r="E287" s="8"/>
      <c r="F287" s="8"/>
      <c r="G287" s="8"/>
      <c r="H287" s="8"/>
      <c r="I287" s="8"/>
      <c r="J287" s="9"/>
      <c r="K287" s="8"/>
      <c r="L287" s="8"/>
      <c r="M287" s="8"/>
      <c r="N287" s="8"/>
      <c r="O287" s="8"/>
      <c r="P287" s="8"/>
      <c r="Q287" s="8"/>
      <c r="R287" s="8"/>
      <c r="S287" s="8"/>
      <c r="T287" s="8"/>
      <c r="U287" s="8"/>
      <c r="V287" s="8"/>
      <c r="W287" s="8"/>
      <c r="X287" s="8"/>
      <c r="Y287" s="8"/>
      <c r="Z287" s="8"/>
    </row>
    <row r="288">
      <c r="A288" s="7" t="s">
        <v>476</v>
      </c>
      <c r="B288" s="7" t="s">
        <v>477</v>
      </c>
      <c r="C288" s="7" t="s">
        <v>478</v>
      </c>
      <c r="D288" s="7">
        <v>11.0</v>
      </c>
      <c r="E288" s="8"/>
      <c r="F288" s="8"/>
      <c r="G288" s="8"/>
      <c r="H288" s="8"/>
      <c r="I288" s="8"/>
      <c r="J288" s="9"/>
      <c r="K288" s="8"/>
      <c r="L288" s="8"/>
      <c r="M288" s="8"/>
      <c r="N288" s="8"/>
      <c r="O288" s="8"/>
      <c r="P288" s="8"/>
      <c r="Q288" s="8"/>
      <c r="R288" s="8"/>
      <c r="S288" s="8"/>
      <c r="T288" s="8"/>
      <c r="U288" s="8"/>
      <c r="V288" s="8"/>
      <c r="W288" s="8"/>
      <c r="X288" s="8"/>
      <c r="Y288" s="8"/>
      <c r="Z288" s="8"/>
    </row>
    <row r="289">
      <c r="A289" s="10" t="s">
        <v>479</v>
      </c>
      <c r="B289" s="10" t="s">
        <v>480</v>
      </c>
      <c r="C289" s="10" t="s">
        <v>481</v>
      </c>
      <c r="D289" s="10">
        <v>9.0</v>
      </c>
      <c r="E289" s="11"/>
      <c r="F289" s="11"/>
      <c r="G289" s="10" t="s">
        <v>482</v>
      </c>
      <c r="H289" s="11"/>
      <c r="I289" s="11"/>
      <c r="J289" s="12"/>
      <c r="K289" s="11"/>
      <c r="L289" s="11"/>
      <c r="M289" s="11"/>
      <c r="N289" s="11"/>
      <c r="O289" s="11"/>
      <c r="P289" s="11"/>
      <c r="Q289" s="11"/>
      <c r="R289" s="11"/>
      <c r="S289" s="11"/>
      <c r="T289" s="11"/>
      <c r="U289" s="11"/>
      <c r="V289" s="11"/>
      <c r="W289" s="11"/>
      <c r="X289" s="11"/>
      <c r="Y289" s="11"/>
      <c r="Z289" s="11"/>
    </row>
    <row r="290">
      <c r="A290" s="7" t="s">
        <v>483</v>
      </c>
      <c r="B290" s="7" t="s">
        <v>484</v>
      </c>
      <c r="C290" s="7" t="s">
        <v>51</v>
      </c>
      <c r="D290" s="7">
        <v>6.5</v>
      </c>
      <c r="E290" s="8"/>
      <c r="F290" s="8"/>
      <c r="G290" s="8"/>
      <c r="H290" s="8"/>
      <c r="I290" s="8"/>
      <c r="J290" s="9"/>
      <c r="K290" s="8"/>
      <c r="L290" s="8"/>
      <c r="M290" s="8"/>
      <c r="N290" s="8"/>
      <c r="O290" s="8"/>
      <c r="P290" s="8"/>
      <c r="Q290" s="8"/>
      <c r="R290" s="8"/>
      <c r="S290" s="8"/>
      <c r="T290" s="8"/>
      <c r="U290" s="8"/>
      <c r="V290" s="8"/>
      <c r="W290" s="8"/>
      <c r="X290" s="8"/>
      <c r="Y290" s="8"/>
      <c r="Z290" s="8"/>
    </row>
    <row r="291">
      <c r="A291" s="7" t="s">
        <v>485</v>
      </c>
      <c r="B291" s="7" t="s">
        <v>132</v>
      </c>
      <c r="C291" s="7" t="s">
        <v>51</v>
      </c>
      <c r="D291" s="7">
        <v>5.0</v>
      </c>
      <c r="E291" s="8"/>
      <c r="F291" s="8"/>
      <c r="G291" s="8"/>
      <c r="H291" s="8"/>
      <c r="I291" s="8"/>
      <c r="J291" s="9"/>
      <c r="K291" s="8"/>
      <c r="L291" s="8"/>
      <c r="M291" s="8"/>
      <c r="N291" s="8"/>
      <c r="O291" s="8"/>
      <c r="P291" s="8"/>
      <c r="Q291" s="8"/>
      <c r="R291" s="8"/>
      <c r="S291" s="8"/>
      <c r="T291" s="8"/>
      <c r="U291" s="8"/>
      <c r="V291" s="8"/>
      <c r="W291" s="8"/>
      <c r="X291" s="8"/>
      <c r="Y291" s="8"/>
      <c r="Z291" s="8"/>
    </row>
    <row r="292">
      <c r="A292" s="7" t="s">
        <v>486</v>
      </c>
      <c r="B292" s="7" t="s">
        <v>487</v>
      </c>
      <c r="C292" s="7" t="s">
        <v>488</v>
      </c>
      <c r="D292" s="7">
        <v>3.8</v>
      </c>
      <c r="E292" s="8"/>
      <c r="F292" s="8"/>
      <c r="G292" s="8"/>
      <c r="H292" s="8"/>
      <c r="I292" s="8"/>
      <c r="J292" s="9"/>
      <c r="K292" s="8"/>
      <c r="L292" s="8"/>
      <c r="M292" s="8"/>
      <c r="N292" s="8"/>
      <c r="O292" s="8"/>
      <c r="P292" s="8"/>
      <c r="Q292" s="8"/>
      <c r="R292" s="8"/>
      <c r="S292" s="8"/>
      <c r="T292" s="8"/>
      <c r="U292" s="8"/>
      <c r="V292" s="8"/>
      <c r="W292" s="8"/>
      <c r="X292" s="8"/>
      <c r="Y292" s="8"/>
      <c r="Z292" s="8"/>
    </row>
    <row r="293">
      <c r="A293" s="7" t="s">
        <v>489</v>
      </c>
      <c r="B293" s="7" t="s">
        <v>490</v>
      </c>
      <c r="C293" s="7" t="s">
        <v>66</v>
      </c>
      <c r="D293" s="7"/>
      <c r="E293" s="8"/>
      <c r="F293" s="8"/>
      <c r="G293" s="8"/>
      <c r="H293" s="8"/>
      <c r="I293" s="8"/>
      <c r="J293" s="9"/>
      <c r="K293" s="8"/>
      <c r="L293" s="8"/>
      <c r="M293" s="8"/>
      <c r="N293" s="8"/>
      <c r="O293" s="8"/>
      <c r="P293" s="8"/>
      <c r="Q293" s="8"/>
      <c r="R293" s="8"/>
      <c r="S293" s="8"/>
      <c r="T293" s="8"/>
      <c r="U293" s="8"/>
      <c r="V293" s="8"/>
      <c r="W293" s="8"/>
      <c r="X293" s="8"/>
      <c r="Y293" s="8"/>
      <c r="Z293" s="8"/>
    </row>
    <row r="294">
      <c r="A294" s="7" t="s">
        <v>489</v>
      </c>
      <c r="B294" s="7" t="s">
        <v>491</v>
      </c>
      <c r="C294" s="7" t="s">
        <v>66</v>
      </c>
      <c r="D294" s="7"/>
      <c r="E294" s="8"/>
      <c r="F294" s="8"/>
      <c r="G294" s="8"/>
      <c r="H294" s="8"/>
      <c r="I294" s="8"/>
      <c r="J294" s="9"/>
      <c r="K294" s="8"/>
      <c r="L294" s="8"/>
      <c r="M294" s="8"/>
      <c r="N294" s="8"/>
      <c r="O294" s="8"/>
      <c r="P294" s="8"/>
      <c r="Q294" s="8"/>
      <c r="R294" s="8"/>
      <c r="S294" s="8"/>
      <c r="T294" s="8"/>
      <c r="U294" s="8"/>
      <c r="V294" s="8"/>
      <c r="W294" s="8"/>
      <c r="X294" s="8"/>
      <c r="Y294" s="8"/>
      <c r="Z294" s="8"/>
    </row>
    <row r="295">
      <c r="A295" s="7" t="s">
        <v>489</v>
      </c>
      <c r="B295" s="7" t="s">
        <v>492</v>
      </c>
      <c r="C295" s="7">
        <v>6.0</v>
      </c>
      <c r="D295" s="7"/>
      <c r="E295" s="8"/>
      <c r="F295" s="8"/>
      <c r="G295" s="8"/>
      <c r="H295" s="8"/>
      <c r="I295" s="8"/>
      <c r="J295" s="9"/>
      <c r="K295" s="8"/>
      <c r="L295" s="8"/>
      <c r="M295" s="8"/>
      <c r="N295" s="8"/>
      <c r="O295" s="8"/>
      <c r="P295" s="8"/>
      <c r="Q295" s="8"/>
      <c r="R295" s="8"/>
      <c r="S295" s="8"/>
      <c r="T295" s="8"/>
      <c r="U295" s="8"/>
      <c r="V295" s="8"/>
      <c r="W295" s="8"/>
      <c r="X295" s="8"/>
      <c r="Y295" s="8"/>
      <c r="Z295" s="8"/>
    </row>
    <row r="296">
      <c r="A296" s="7" t="s">
        <v>493</v>
      </c>
      <c r="B296" s="7" t="s">
        <v>494</v>
      </c>
      <c r="C296" s="7" t="s">
        <v>57</v>
      </c>
      <c r="D296" s="7">
        <v>8.0</v>
      </c>
      <c r="E296" s="8"/>
      <c r="F296" s="8"/>
      <c r="G296" s="8"/>
      <c r="H296" s="8"/>
      <c r="I296" s="8"/>
      <c r="J296" s="9"/>
      <c r="K296" s="8"/>
      <c r="L296" s="8"/>
      <c r="M296" s="8"/>
      <c r="N296" s="8"/>
      <c r="O296" s="8"/>
      <c r="P296" s="8"/>
      <c r="Q296" s="8"/>
      <c r="R296" s="8"/>
      <c r="S296" s="8"/>
      <c r="T296" s="8"/>
      <c r="U296" s="8"/>
      <c r="V296" s="8"/>
      <c r="W296" s="8"/>
      <c r="X296" s="8"/>
      <c r="Y296" s="8"/>
      <c r="Z296" s="8"/>
    </row>
    <row r="297">
      <c r="A297" s="7" t="s">
        <v>495</v>
      </c>
      <c r="B297" s="7" t="s">
        <v>496</v>
      </c>
      <c r="C297" s="7" t="s">
        <v>57</v>
      </c>
      <c r="D297" s="7">
        <v>6.5</v>
      </c>
      <c r="E297" s="8"/>
      <c r="F297" s="8"/>
      <c r="G297" s="8"/>
      <c r="H297" s="8"/>
      <c r="I297" s="8"/>
      <c r="J297" s="9"/>
      <c r="K297" s="8"/>
      <c r="L297" s="8"/>
      <c r="M297" s="8"/>
      <c r="N297" s="8"/>
      <c r="O297" s="8"/>
      <c r="P297" s="8"/>
      <c r="Q297" s="8"/>
      <c r="R297" s="8"/>
      <c r="S297" s="8"/>
      <c r="T297" s="8"/>
      <c r="U297" s="8"/>
      <c r="V297" s="8"/>
      <c r="W297" s="8"/>
      <c r="X297" s="8"/>
      <c r="Y297" s="8"/>
      <c r="Z297" s="8"/>
    </row>
    <row r="298">
      <c r="A298" s="7" t="s">
        <v>497</v>
      </c>
      <c r="B298" s="7" t="s">
        <v>498</v>
      </c>
      <c r="C298" s="7"/>
      <c r="D298" s="7">
        <v>2.0</v>
      </c>
      <c r="E298" s="8"/>
      <c r="F298" s="8"/>
      <c r="G298" s="8"/>
      <c r="H298" s="8"/>
      <c r="I298" s="8"/>
      <c r="J298" s="9"/>
      <c r="K298" s="8"/>
      <c r="L298" s="8"/>
      <c r="M298" s="8"/>
      <c r="N298" s="8"/>
      <c r="O298" s="8"/>
      <c r="P298" s="8"/>
      <c r="Q298" s="8"/>
      <c r="R298" s="8"/>
      <c r="S298" s="8"/>
      <c r="T298" s="8"/>
      <c r="U298" s="8"/>
      <c r="V298" s="8"/>
      <c r="W298" s="8"/>
      <c r="X298" s="8"/>
      <c r="Y298" s="8"/>
      <c r="Z298" s="8"/>
    </row>
    <row r="299">
      <c r="A299" s="7" t="s">
        <v>499</v>
      </c>
      <c r="B299" s="7" t="s">
        <v>500</v>
      </c>
      <c r="C299" s="7" t="s">
        <v>51</v>
      </c>
      <c r="D299" s="7">
        <v>11.0</v>
      </c>
      <c r="E299" s="8"/>
      <c r="F299" s="8"/>
      <c r="G299" s="8"/>
      <c r="H299" s="8"/>
      <c r="I299" s="8"/>
      <c r="J299" s="9"/>
      <c r="K299" s="8"/>
      <c r="L299" s="8"/>
      <c r="M299" s="8"/>
      <c r="N299" s="8"/>
      <c r="O299" s="8"/>
      <c r="P299" s="8"/>
      <c r="Q299" s="8"/>
      <c r="R299" s="8"/>
      <c r="S299" s="8"/>
      <c r="T299" s="8"/>
      <c r="U299" s="8"/>
      <c r="V299" s="8"/>
      <c r="W299" s="8"/>
      <c r="X299" s="8"/>
      <c r="Y299" s="8"/>
      <c r="Z299" s="8"/>
    </row>
    <row r="300">
      <c r="A300" s="7" t="s">
        <v>501</v>
      </c>
      <c r="B300" s="7" t="s">
        <v>502</v>
      </c>
      <c r="C300" s="7" t="s">
        <v>66</v>
      </c>
      <c r="D300" s="7">
        <v>4.5</v>
      </c>
      <c r="E300" s="8"/>
      <c r="F300" s="8"/>
      <c r="G300" s="8"/>
      <c r="H300" s="8"/>
      <c r="I300" s="8"/>
      <c r="J300" s="9"/>
      <c r="K300" s="8"/>
      <c r="L300" s="8"/>
      <c r="M300" s="8"/>
      <c r="N300" s="8"/>
      <c r="O300" s="8"/>
      <c r="P300" s="8"/>
      <c r="Q300" s="8"/>
      <c r="R300" s="8"/>
      <c r="S300" s="8"/>
      <c r="T300" s="8"/>
      <c r="U300" s="8"/>
      <c r="V300" s="8"/>
      <c r="W300" s="8"/>
      <c r="X300" s="8"/>
      <c r="Y300" s="8"/>
      <c r="Z300" s="8"/>
    </row>
    <row r="301">
      <c r="A301" s="7" t="s">
        <v>501</v>
      </c>
      <c r="B301" s="7" t="s">
        <v>503</v>
      </c>
      <c r="C301" s="7" t="s">
        <v>57</v>
      </c>
      <c r="D301" s="7">
        <v>8.5</v>
      </c>
      <c r="E301" s="8"/>
      <c r="F301" s="8"/>
      <c r="G301" s="8"/>
      <c r="H301" s="8"/>
      <c r="I301" s="8"/>
      <c r="J301" s="9"/>
      <c r="K301" s="8"/>
      <c r="L301" s="8"/>
      <c r="M301" s="8"/>
      <c r="N301" s="8"/>
      <c r="O301" s="8"/>
      <c r="P301" s="8"/>
      <c r="Q301" s="8"/>
      <c r="R301" s="8"/>
      <c r="S301" s="8"/>
      <c r="T301" s="8"/>
      <c r="U301" s="8"/>
      <c r="V301" s="8"/>
      <c r="W301" s="8"/>
      <c r="X301" s="8"/>
      <c r="Y301" s="8"/>
      <c r="Z301" s="8"/>
    </row>
    <row r="302">
      <c r="A302" s="7" t="s">
        <v>501</v>
      </c>
      <c r="B302" s="7" t="s">
        <v>132</v>
      </c>
      <c r="C302" s="7" t="s">
        <v>51</v>
      </c>
      <c r="D302" s="7">
        <v>7.0</v>
      </c>
      <c r="E302" s="8"/>
      <c r="F302" s="8"/>
      <c r="G302" s="8"/>
      <c r="H302" s="8"/>
      <c r="I302" s="8"/>
      <c r="J302" s="9"/>
      <c r="K302" s="8"/>
      <c r="L302" s="8"/>
      <c r="M302" s="8"/>
      <c r="N302" s="8"/>
      <c r="O302" s="8"/>
      <c r="P302" s="8"/>
      <c r="Q302" s="8"/>
      <c r="R302" s="8"/>
      <c r="S302" s="8"/>
      <c r="T302" s="8"/>
      <c r="U302" s="8"/>
      <c r="V302" s="8"/>
      <c r="W302" s="8"/>
      <c r="X302" s="8"/>
      <c r="Y302" s="8"/>
      <c r="Z302" s="8"/>
    </row>
    <row r="303">
      <c r="A303" s="7" t="s">
        <v>501</v>
      </c>
      <c r="B303" s="7" t="s">
        <v>504</v>
      </c>
      <c r="C303" s="7" t="s">
        <v>66</v>
      </c>
      <c r="D303" s="7">
        <v>7.3</v>
      </c>
      <c r="E303" s="8"/>
      <c r="F303" s="8"/>
      <c r="G303" s="8"/>
      <c r="H303" s="8"/>
      <c r="I303" s="8"/>
      <c r="J303" s="9"/>
      <c r="K303" s="8"/>
      <c r="L303" s="8"/>
      <c r="M303" s="8"/>
      <c r="N303" s="8"/>
      <c r="O303" s="8"/>
      <c r="P303" s="8"/>
      <c r="Q303" s="8"/>
      <c r="R303" s="8"/>
      <c r="S303" s="8"/>
      <c r="T303" s="8"/>
      <c r="U303" s="8"/>
      <c r="V303" s="8"/>
      <c r="W303" s="8"/>
      <c r="X303" s="8"/>
      <c r="Y303" s="8"/>
      <c r="Z303" s="8"/>
    </row>
    <row r="304">
      <c r="A304" s="7" t="s">
        <v>505</v>
      </c>
      <c r="B304" s="7" t="s">
        <v>506</v>
      </c>
      <c r="C304" s="7"/>
      <c r="D304" s="7">
        <v>3.5</v>
      </c>
      <c r="E304" s="8"/>
      <c r="F304" s="8"/>
      <c r="G304" s="8"/>
      <c r="H304" s="8"/>
      <c r="I304" s="8"/>
      <c r="J304" s="9"/>
      <c r="K304" s="8"/>
      <c r="L304" s="8"/>
      <c r="M304" s="8"/>
      <c r="N304" s="8"/>
      <c r="O304" s="8"/>
      <c r="P304" s="8"/>
      <c r="Q304" s="8"/>
      <c r="R304" s="8"/>
      <c r="S304" s="8"/>
      <c r="T304" s="8"/>
      <c r="U304" s="8"/>
      <c r="V304" s="8"/>
      <c r="W304" s="8"/>
      <c r="X304" s="8"/>
      <c r="Y304" s="8"/>
      <c r="Z304" s="8"/>
    </row>
    <row r="305">
      <c r="A305" s="7" t="s">
        <v>507</v>
      </c>
      <c r="B305" s="7" t="s">
        <v>508</v>
      </c>
      <c r="C305" s="7">
        <v>40.0</v>
      </c>
      <c r="D305" s="7">
        <v>9.0</v>
      </c>
      <c r="E305" s="8"/>
      <c r="F305" s="8"/>
      <c r="G305" s="8"/>
      <c r="H305" s="7"/>
      <c r="I305" s="8"/>
      <c r="J305" s="9"/>
      <c r="K305" s="8"/>
      <c r="L305" s="8"/>
      <c r="M305" s="8"/>
      <c r="N305" s="8"/>
      <c r="O305" s="8"/>
      <c r="P305" s="8"/>
      <c r="Q305" s="8"/>
      <c r="R305" s="8"/>
      <c r="S305" s="8"/>
      <c r="T305" s="8"/>
      <c r="U305" s="8"/>
      <c r="V305" s="8"/>
      <c r="W305" s="8"/>
      <c r="X305" s="8"/>
      <c r="Y305" s="8"/>
      <c r="Z305" s="8"/>
    </row>
    <row r="306">
      <c r="A306" s="7" t="s">
        <v>507</v>
      </c>
      <c r="B306" s="7" t="s">
        <v>509</v>
      </c>
      <c r="C306" s="7">
        <v>1.0</v>
      </c>
      <c r="D306" s="7">
        <v>4.0</v>
      </c>
      <c r="E306" s="8"/>
      <c r="F306" s="8"/>
      <c r="G306" s="8"/>
      <c r="H306" s="7"/>
      <c r="I306" s="8"/>
      <c r="J306" s="9"/>
      <c r="K306" s="8"/>
      <c r="L306" s="8"/>
      <c r="M306" s="8"/>
      <c r="N306" s="8"/>
      <c r="O306" s="8"/>
      <c r="P306" s="8"/>
      <c r="Q306" s="8"/>
      <c r="R306" s="8"/>
      <c r="S306" s="8"/>
      <c r="T306" s="8"/>
      <c r="U306" s="8"/>
      <c r="V306" s="8"/>
      <c r="W306" s="8"/>
      <c r="X306" s="8"/>
      <c r="Y306" s="8"/>
      <c r="Z306" s="8"/>
    </row>
    <row r="307">
      <c r="A307" s="7" t="s">
        <v>510</v>
      </c>
      <c r="B307" s="7" t="s">
        <v>511</v>
      </c>
      <c r="C307" s="7" t="s">
        <v>57</v>
      </c>
      <c r="D307" s="7">
        <v>2.5</v>
      </c>
      <c r="E307" s="8"/>
      <c r="F307" s="8"/>
      <c r="G307" s="8"/>
      <c r="H307" s="7"/>
      <c r="I307" s="7"/>
      <c r="J307" s="9"/>
      <c r="K307" s="8"/>
      <c r="L307" s="8"/>
      <c r="M307" s="8"/>
      <c r="N307" s="8"/>
      <c r="O307" s="8"/>
      <c r="P307" s="8"/>
      <c r="Q307" s="8"/>
      <c r="R307" s="8"/>
      <c r="S307" s="8"/>
      <c r="T307" s="8"/>
      <c r="U307" s="8"/>
      <c r="V307" s="8"/>
      <c r="W307" s="8"/>
      <c r="X307" s="8"/>
      <c r="Y307" s="8"/>
      <c r="Z307" s="8"/>
    </row>
    <row r="308">
      <c r="A308" s="10" t="s">
        <v>512</v>
      </c>
      <c r="B308" s="10" t="s">
        <v>513</v>
      </c>
      <c r="C308" s="10" t="s">
        <v>120</v>
      </c>
      <c r="D308" s="10">
        <v>3.0</v>
      </c>
      <c r="E308" s="11"/>
      <c r="F308" s="11"/>
      <c r="G308" s="11"/>
      <c r="H308" s="10" t="s">
        <v>139</v>
      </c>
      <c r="I308" s="10"/>
      <c r="J308" s="12"/>
      <c r="K308" s="11"/>
      <c r="L308" s="11"/>
      <c r="M308" s="11"/>
      <c r="N308" s="11"/>
      <c r="O308" s="11"/>
      <c r="P308" s="11"/>
      <c r="Q308" s="11"/>
      <c r="R308" s="11"/>
      <c r="S308" s="11"/>
      <c r="T308" s="11"/>
      <c r="U308" s="11"/>
      <c r="V308" s="11"/>
      <c r="W308" s="11"/>
      <c r="X308" s="11"/>
      <c r="Y308" s="11"/>
      <c r="Z308" s="11"/>
    </row>
    <row r="309">
      <c r="A309" s="7" t="s">
        <v>512</v>
      </c>
      <c r="B309" s="7" t="s">
        <v>514</v>
      </c>
      <c r="C309" s="7"/>
      <c r="D309" s="7">
        <v>15.0</v>
      </c>
      <c r="E309" s="8"/>
      <c r="F309" s="8"/>
      <c r="G309" s="8"/>
      <c r="H309" s="7"/>
      <c r="I309" s="7"/>
      <c r="J309" s="9"/>
      <c r="K309" s="8"/>
      <c r="L309" s="8"/>
      <c r="M309" s="8"/>
      <c r="N309" s="8"/>
      <c r="O309" s="8"/>
      <c r="P309" s="8"/>
      <c r="Q309" s="8"/>
      <c r="R309" s="8"/>
      <c r="S309" s="8"/>
      <c r="T309" s="8"/>
      <c r="U309" s="8"/>
      <c r="V309" s="8"/>
      <c r="W309" s="8"/>
      <c r="X309" s="8"/>
      <c r="Y309" s="8"/>
      <c r="Z309" s="8"/>
    </row>
    <row r="310">
      <c r="A310" s="7" t="s">
        <v>512</v>
      </c>
      <c r="B310" s="7" t="s">
        <v>515</v>
      </c>
      <c r="C310" s="7" t="s">
        <v>66</v>
      </c>
      <c r="D310" s="7">
        <v>10.0</v>
      </c>
      <c r="E310" s="8"/>
      <c r="F310" s="8"/>
      <c r="G310" s="8"/>
      <c r="H310" s="7"/>
      <c r="I310" s="7"/>
      <c r="J310" s="9"/>
      <c r="K310" s="8"/>
      <c r="L310" s="8"/>
      <c r="M310" s="8"/>
      <c r="N310" s="8"/>
      <c r="O310" s="8"/>
      <c r="P310" s="8"/>
      <c r="Q310" s="8"/>
      <c r="R310" s="8"/>
      <c r="S310" s="8"/>
      <c r="T310" s="8"/>
      <c r="U310" s="8"/>
      <c r="V310" s="8"/>
      <c r="W310" s="8"/>
      <c r="X310" s="8"/>
      <c r="Y310" s="8"/>
      <c r="Z310" s="8"/>
    </row>
    <row r="311">
      <c r="A311" s="7" t="s">
        <v>512</v>
      </c>
      <c r="B311" s="7" t="s">
        <v>516</v>
      </c>
      <c r="C311" s="7" t="s">
        <v>51</v>
      </c>
      <c r="D311" s="7">
        <v>5.5</v>
      </c>
      <c r="E311" s="8"/>
      <c r="F311" s="8"/>
      <c r="G311" s="8"/>
      <c r="H311" s="7"/>
      <c r="I311" s="7"/>
      <c r="J311" s="9"/>
      <c r="K311" s="8"/>
      <c r="L311" s="8"/>
      <c r="M311" s="8"/>
      <c r="N311" s="8"/>
      <c r="O311" s="8"/>
      <c r="P311" s="8"/>
      <c r="Q311" s="8"/>
      <c r="R311" s="8"/>
      <c r="S311" s="8"/>
      <c r="T311" s="8"/>
      <c r="U311" s="8"/>
      <c r="V311" s="8"/>
      <c r="W311" s="8"/>
      <c r="X311" s="8"/>
      <c r="Y311" s="8"/>
      <c r="Z311" s="8"/>
    </row>
    <row r="312">
      <c r="A312" s="7" t="s">
        <v>512</v>
      </c>
      <c r="B312" s="7" t="s">
        <v>517</v>
      </c>
      <c r="C312" s="7" t="s">
        <v>51</v>
      </c>
      <c r="D312" s="7">
        <v>4.25</v>
      </c>
      <c r="E312" s="8"/>
      <c r="F312" s="8"/>
      <c r="G312" s="8"/>
      <c r="H312" s="7"/>
      <c r="I312" s="7"/>
      <c r="J312" s="9"/>
      <c r="K312" s="8"/>
      <c r="L312" s="8"/>
      <c r="M312" s="8"/>
      <c r="N312" s="8"/>
      <c r="O312" s="8"/>
      <c r="P312" s="8"/>
      <c r="Q312" s="8"/>
      <c r="R312" s="8"/>
      <c r="S312" s="8"/>
      <c r="T312" s="8"/>
      <c r="U312" s="8"/>
      <c r="V312" s="8"/>
      <c r="W312" s="8"/>
      <c r="X312" s="8"/>
      <c r="Y312" s="8"/>
      <c r="Z312" s="8"/>
    </row>
    <row r="313">
      <c r="A313" s="7" t="s">
        <v>512</v>
      </c>
      <c r="B313" s="7" t="s">
        <v>518</v>
      </c>
      <c r="C313" s="7" t="s">
        <v>57</v>
      </c>
      <c r="D313" s="7">
        <v>4.5</v>
      </c>
      <c r="E313" s="8"/>
      <c r="F313" s="8"/>
      <c r="G313" s="8"/>
      <c r="H313" s="7"/>
      <c r="I313" s="7"/>
      <c r="J313" s="9"/>
      <c r="K313" s="8"/>
      <c r="L313" s="8"/>
      <c r="M313" s="8"/>
      <c r="N313" s="8"/>
      <c r="O313" s="8"/>
      <c r="P313" s="8"/>
      <c r="Q313" s="8"/>
      <c r="R313" s="8"/>
      <c r="S313" s="8"/>
      <c r="T313" s="8"/>
      <c r="U313" s="8"/>
      <c r="V313" s="8"/>
      <c r="W313" s="8"/>
      <c r="X313" s="8"/>
      <c r="Y313" s="8"/>
      <c r="Z313" s="8"/>
    </row>
    <row r="314">
      <c r="A314" s="7" t="s">
        <v>512</v>
      </c>
      <c r="B314" s="7" t="s">
        <v>519</v>
      </c>
      <c r="C314" s="7" t="s">
        <v>520</v>
      </c>
      <c r="D314" s="7">
        <v>20.0</v>
      </c>
      <c r="E314" s="8"/>
      <c r="F314" s="8"/>
      <c r="G314" s="8"/>
      <c r="H314" s="7"/>
      <c r="I314" s="7"/>
      <c r="J314" s="9"/>
      <c r="K314" s="8"/>
      <c r="L314" s="8"/>
      <c r="M314" s="8"/>
      <c r="N314" s="8"/>
      <c r="O314" s="8"/>
      <c r="P314" s="8"/>
      <c r="Q314" s="8"/>
      <c r="R314" s="8"/>
      <c r="S314" s="8"/>
      <c r="T314" s="8"/>
      <c r="U314" s="8"/>
      <c r="V314" s="8"/>
      <c r="W314" s="8"/>
      <c r="X314" s="8"/>
      <c r="Y314" s="8"/>
      <c r="Z314" s="8"/>
    </row>
    <row r="315">
      <c r="A315" s="7" t="s">
        <v>512</v>
      </c>
      <c r="B315" s="7" t="s">
        <v>521</v>
      </c>
      <c r="C315" s="7" t="s">
        <v>51</v>
      </c>
      <c r="D315" s="7">
        <v>3.65</v>
      </c>
      <c r="E315" s="8"/>
      <c r="F315" s="8"/>
      <c r="G315" s="8"/>
      <c r="H315" s="7"/>
      <c r="I315" s="7"/>
      <c r="J315" s="9"/>
      <c r="K315" s="8"/>
      <c r="L315" s="8"/>
      <c r="M315" s="8"/>
      <c r="N315" s="8"/>
      <c r="O315" s="8"/>
      <c r="P315" s="8"/>
      <c r="Q315" s="8"/>
      <c r="R315" s="8"/>
      <c r="S315" s="8"/>
      <c r="T315" s="8"/>
      <c r="U315" s="8"/>
      <c r="V315" s="8"/>
      <c r="W315" s="8"/>
      <c r="X315" s="8"/>
      <c r="Y315" s="8"/>
      <c r="Z315" s="8"/>
    </row>
    <row r="316">
      <c r="A316" s="7" t="s">
        <v>512</v>
      </c>
      <c r="B316" s="7" t="s">
        <v>522</v>
      </c>
      <c r="C316" s="7">
        <v>0.0</v>
      </c>
      <c r="D316" s="7">
        <v>7.5</v>
      </c>
      <c r="E316" s="8"/>
      <c r="F316" s="8"/>
      <c r="G316" s="8"/>
      <c r="H316" s="7"/>
      <c r="I316" s="7"/>
      <c r="J316" s="9"/>
      <c r="K316" s="8"/>
      <c r="L316" s="8"/>
      <c r="M316" s="8"/>
      <c r="N316" s="8"/>
      <c r="O316" s="8"/>
      <c r="P316" s="8"/>
      <c r="Q316" s="8"/>
      <c r="R316" s="8"/>
      <c r="S316" s="8"/>
      <c r="T316" s="8"/>
      <c r="U316" s="8"/>
      <c r="V316" s="8"/>
      <c r="W316" s="8"/>
      <c r="X316" s="8"/>
      <c r="Y316" s="8"/>
      <c r="Z316" s="8"/>
    </row>
    <row r="317">
      <c r="A317" s="7" t="s">
        <v>512</v>
      </c>
      <c r="B317" s="7" t="s">
        <v>523</v>
      </c>
      <c r="C317" s="7" t="s">
        <v>51</v>
      </c>
      <c r="D317" s="7">
        <v>7.5</v>
      </c>
      <c r="E317" s="8"/>
      <c r="F317" s="8"/>
      <c r="G317" s="8"/>
      <c r="H317" s="7"/>
      <c r="I317" s="7"/>
      <c r="J317" s="9"/>
      <c r="K317" s="8"/>
      <c r="L317" s="8"/>
      <c r="M317" s="8"/>
      <c r="N317" s="8"/>
      <c r="O317" s="8"/>
      <c r="P317" s="8"/>
      <c r="Q317" s="8"/>
      <c r="R317" s="8"/>
      <c r="S317" s="8"/>
      <c r="T317" s="8"/>
      <c r="U317" s="8"/>
      <c r="V317" s="8"/>
      <c r="W317" s="8"/>
      <c r="X317" s="8"/>
      <c r="Y317" s="8"/>
      <c r="Z317" s="8"/>
    </row>
    <row r="318">
      <c r="A318" s="7" t="s">
        <v>512</v>
      </c>
      <c r="B318" s="7" t="s">
        <v>524</v>
      </c>
      <c r="C318" s="7" t="s">
        <v>66</v>
      </c>
      <c r="D318" s="7">
        <v>7.3</v>
      </c>
      <c r="E318" s="8"/>
      <c r="F318" s="8"/>
      <c r="G318" s="8"/>
      <c r="H318" s="7"/>
      <c r="I318" s="7"/>
      <c r="J318" s="9"/>
      <c r="K318" s="8"/>
      <c r="L318" s="8"/>
      <c r="M318" s="8"/>
      <c r="N318" s="8"/>
      <c r="O318" s="8"/>
      <c r="P318" s="8"/>
      <c r="Q318" s="8"/>
      <c r="R318" s="8"/>
      <c r="S318" s="8"/>
      <c r="T318" s="8"/>
      <c r="U318" s="8"/>
      <c r="V318" s="8"/>
      <c r="W318" s="8"/>
      <c r="X318" s="8"/>
      <c r="Y318" s="8"/>
      <c r="Z318" s="8"/>
    </row>
    <row r="319">
      <c r="A319" s="7" t="s">
        <v>512</v>
      </c>
      <c r="B319" s="7" t="s">
        <v>525</v>
      </c>
      <c r="C319" s="7" t="s">
        <v>51</v>
      </c>
      <c r="D319" s="7">
        <v>2.5</v>
      </c>
      <c r="E319" s="8"/>
      <c r="F319" s="8"/>
      <c r="G319" s="8"/>
      <c r="H319" s="7"/>
      <c r="I319" s="7"/>
      <c r="J319" s="9"/>
      <c r="K319" s="8"/>
      <c r="L319" s="8"/>
      <c r="M319" s="8"/>
      <c r="N319" s="8"/>
      <c r="O319" s="8"/>
      <c r="P319" s="8"/>
      <c r="Q319" s="8"/>
      <c r="R319" s="8"/>
      <c r="S319" s="8"/>
      <c r="T319" s="8"/>
      <c r="U319" s="8"/>
      <c r="V319" s="8"/>
      <c r="W319" s="8"/>
      <c r="X319" s="8"/>
      <c r="Y319" s="8"/>
      <c r="Z319" s="8"/>
    </row>
    <row r="320">
      <c r="A320" s="7" t="s">
        <v>512</v>
      </c>
      <c r="B320" s="7" t="s">
        <v>526</v>
      </c>
      <c r="C320" s="7" t="s">
        <v>51</v>
      </c>
      <c r="D320" s="7">
        <v>4.5</v>
      </c>
      <c r="E320" s="8"/>
      <c r="F320" s="8"/>
      <c r="G320" s="8"/>
      <c r="H320" s="7"/>
      <c r="I320" s="7"/>
      <c r="J320" s="9"/>
      <c r="K320" s="8"/>
      <c r="L320" s="8"/>
      <c r="M320" s="8"/>
      <c r="N320" s="8"/>
      <c r="O320" s="8"/>
      <c r="P320" s="8"/>
      <c r="Q320" s="8"/>
      <c r="R320" s="8"/>
      <c r="S320" s="8"/>
      <c r="T320" s="8"/>
      <c r="U320" s="8"/>
      <c r="V320" s="8"/>
      <c r="W320" s="8"/>
      <c r="X320" s="8"/>
      <c r="Y320" s="8"/>
      <c r="Z320" s="8"/>
    </row>
    <row r="321">
      <c r="A321" s="7" t="s">
        <v>512</v>
      </c>
      <c r="B321" s="7" t="s">
        <v>527</v>
      </c>
      <c r="C321" s="7">
        <v>4.0</v>
      </c>
      <c r="D321" s="7">
        <v>6.5</v>
      </c>
      <c r="E321" s="8"/>
      <c r="F321" s="8"/>
      <c r="G321" s="8"/>
      <c r="H321" s="7"/>
      <c r="I321" s="7"/>
      <c r="J321" s="9"/>
      <c r="K321" s="8"/>
      <c r="L321" s="8"/>
      <c r="M321" s="8"/>
      <c r="N321" s="8"/>
      <c r="O321" s="8"/>
      <c r="P321" s="8"/>
      <c r="Q321" s="8"/>
      <c r="R321" s="8"/>
      <c r="S321" s="8"/>
      <c r="T321" s="8"/>
      <c r="U321" s="8"/>
      <c r="V321" s="8"/>
      <c r="W321" s="8"/>
      <c r="X321" s="8"/>
      <c r="Y321" s="8"/>
      <c r="Z321" s="8"/>
    </row>
    <row r="322">
      <c r="A322" s="7" t="s">
        <v>512</v>
      </c>
      <c r="B322" s="7" t="s">
        <v>528</v>
      </c>
      <c r="C322" s="7" t="s">
        <v>51</v>
      </c>
      <c r="D322" s="7">
        <v>8.5</v>
      </c>
      <c r="E322" s="8"/>
      <c r="F322" s="8"/>
      <c r="G322" s="8"/>
      <c r="H322" s="7"/>
      <c r="I322" s="7"/>
      <c r="J322" s="9"/>
      <c r="K322" s="8"/>
      <c r="L322" s="8"/>
      <c r="M322" s="8"/>
      <c r="N322" s="8"/>
      <c r="O322" s="8"/>
      <c r="P322" s="8"/>
      <c r="Q322" s="8"/>
      <c r="R322" s="8"/>
      <c r="S322" s="8"/>
      <c r="T322" s="8"/>
      <c r="U322" s="8"/>
      <c r="V322" s="8"/>
      <c r="W322" s="8"/>
      <c r="X322" s="8"/>
      <c r="Y322" s="8"/>
      <c r="Z322" s="8"/>
    </row>
    <row r="323">
      <c r="A323" s="7" t="s">
        <v>512</v>
      </c>
      <c r="B323" s="7" t="s">
        <v>317</v>
      </c>
      <c r="C323" s="7" t="s">
        <v>57</v>
      </c>
      <c r="D323" s="7">
        <v>3.7</v>
      </c>
      <c r="E323" s="8"/>
      <c r="F323" s="8"/>
      <c r="G323" s="8"/>
      <c r="H323" s="7"/>
      <c r="I323" s="7"/>
      <c r="J323" s="9"/>
      <c r="K323" s="8"/>
      <c r="L323" s="8"/>
      <c r="M323" s="8"/>
      <c r="N323" s="8"/>
      <c r="O323" s="8"/>
      <c r="P323" s="8"/>
      <c r="Q323" s="8"/>
      <c r="R323" s="8"/>
      <c r="S323" s="8"/>
      <c r="T323" s="8"/>
      <c r="U323" s="8"/>
      <c r="V323" s="8"/>
      <c r="W323" s="8"/>
      <c r="X323" s="8"/>
      <c r="Y323" s="8"/>
      <c r="Z323" s="8"/>
    </row>
    <row r="324">
      <c r="A324" s="7" t="s">
        <v>512</v>
      </c>
      <c r="B324" s="7" t="s">
        <v>529</v>
      </c>
      <c r="C324" s="7" t="s">
        <v>66</v>
      </c>
      <c r="D324" s="7">
        <v>7.3</v>
      </c>
      <c r="E324" s="8"/>
      <c r="F324" s="8"/>
      <c r="G324" s="8"/>
      <c r="H324" s="7"/>
      <c r="I324" s="7"/>
      <c r="J324" s="9"/>
      <c r="K324" s="8"/>
      <c r="L324" s="8"/>
      <c r="M324" s="8"/>
      <c r="N324" s="8"/>
      <c r="O324" s="8"/>
      <c r="P324" s="8"/>
      <c r="Q324" s="8"/>
      <c r="R324" s="8"/>
      <c r="S324" s="8"/>
      <c r="T324" s="8"/>
      <c r="U324" s="8"/>
      <c r="V324" s="8"/>
      <c r="W324" s="8"/>
      <c r="X324" s="8"/>
      <c r="Y324" s="8"/>
      <c r="Z324" s="8"/>
    </row>
    <row r="325">
      <c r="A325" s="7" t="s">
        <v>512</v>
      </c>
      <c r="B325" s="7" t="s">
        <v>291</v>
      </c>
      <c r="C325" s="7" t="s">
        <v>51</v>
      </c>
      <c r="D325" s="7">
        <v>5.0</v>
      </c>
      <c r="E325" s="8"/>
      <c r="F325" s="8"/>
      <c r="G325" s="8"/>
      <c r="H325" s="7"/>
      <c r="I325" s="7"/>
      <c r="J325" s="9"/>
      <c r="K325" s="8"/>
      <c r="L325" s="8"/>
      <c r="M325" s="8"/>
      <c r="N325" s="8"/>
      <c r="O325" s="8"/>
      <c r="P325" s="8"/>
      <c r="Q325" s="8"/>
      <c r="R325" s="8"/>
      <c r="S325" s="8"/>
      <c r="T325" s="8"/>
      <c r="U325" s="8"/>
      <c r="V325" s="8"/>
      <c r="W325" s="8"/>
      <c r="X325" s="8"/>
      <c r="Y325" s="8"/>
      <c r="Z325" s="8"/>
    </row>
    <row r="326">
      <c r="A326" s="7" t="s">
        <v>512</v>
      </c>
      <c r="B326" s="7" t="s">
        <v>530</v>
      </c>
      <c r="C326" s="7" t="s">
        <v>170</v>
      </c>
      <c r="D326" s="7">
        <v>5.0</v>
      </c>
      <c r="E326" s="8"/>
      <c r="F326" s="8"/>
      <c r="G326" s="8"/>
      <c r="H326" s="7"/>
      <c r="I326" s="7"/>
      <c r="J326" s="9"/>
      <c r="K326" s="8"/>
      <c r="L326" s="8"/>
      <c r="M326" s="8"/>
      <c r="N326" s="8"/>
      <c r="O326" s="8"/>
      <c r="P326" s="8"/>
      <c r="Q326" s="8"/>
      <c r="R326" s="8"/>
      <c r="S326" s="8"/>
      <c r="T326" s="8"/>
      <c r="U326" s="8"/>
      <c r="V326" s="8"/>
      <c r="W326" s="8"/>
      <c r="X326" s="8"/>
      <c r="Y326" s="8"/>
      <c r="Z326" s="8"/>
    </row>
    <row r="327">
      <c r="A327" s="7" t="s">
        <v>512</v>
      </c>
      <c r="B327" s="7" t="s">
        <v>531</v>
      </c>
      <c r="C327" s="7" t="s">
        <v>51</v>
      </c>
      <c r="D327" s="7">
        <v>7.0</v>
      </c>
      <c r="E327" s="8"/>
      <c r="F327" s="8"/>
      <c r="G327" s="8"/>
      <c r="H327" s="7"/>
      <c r="I327" s="7"/>
      <c r="J327" s="9"/>
      <c r="K327" s="8"/>
      <c r="L327" s="8"/>
      <c r="M327" s="8"/>
      <c r="N327" s="8"/>
      <c r="O327" s="8"/>
      <c r="P327" s="8"/>
      <c r="Q327" s="8"/>
      <c r="R327" s="8"/>
      <c r="S327" s="8"/>
      <c r="T327" s="8"/>
      <c r="U327" s="8"/>
      <c r="V327" s="8"/>
      <c r="W327" s="8"/>
      <c r="X327" s="8"/>
      <c r="Y327" s="8"/>
      <c r="Z327" s="8"/>
    </row>
    <row r="328">
      <c r="A328" s="10" t="s">
        <v>532</v>
      </c>
      <c r="B328" s="10" t="s">
        <v>533</v>
      </c>
      <c r="C328" s="10">
        <v>6.0</v>
      </c>
      <c r="D328" s="10">
        <v>7.3</v>
      </c>
      <c r="E328" s="11"/>
      <c r="F328" s="11"/>
      <c r="G328" s="11"/>
      <c r="H328" s="10" t="s">
        <v>84</v>
      </c>
      <c r="I328" s="10"/>
      <c r="J328" s="12"/>
      <c r="K328" s="11"/>
      <c r="L328" s="11"/>
      <c r="M328" s="11"/>
      <c r="N328" s="11"/>
      <c r="O328" s="11"/>
      <c r="P328" s="11"/>
      <c r="Q328" s="11"/>
      <c r="R328" s="11"/>
      <c r="S328" s="11"/>
      <c r="T328" s="11"/>
      <c r="U328" s="11"/>
      <c r="V328" s="11"/>
      <c r="W328" s="11"/>
      <c r="X328" s="11"/>
      <c r="Y328" s="11"/>
      <c r="Z328" s="11"/>
    </row>
    <row r="329">
      <c r="A329" s="7" t="s">
        <v>534</v>
      </c>
      <c r="B329" s="7" t="s">
        <v>535</v>
      </c>
      <c r="C329" s="7">
        <v>2.0</v>
      </c>
      <c r="D329" s="7"/>
      <c r="E329" s="8"/>
      <c r="F329" s="8"/>
      <c r="G329" s="8"/>
      <c r="H329" s="8"/>
      <c r="I329" s="8"/>
      <c r="J329" s="9"/>
      <c r="K329" s="8"/>
      <c r="L329" s="8"/>
      <c r="M329" s="8"/>
      <c r="N329" s="8"/>
      <c r="O329" s="8"/>
      <c r="P329" s="8"/>
      <c r="Q329" s="8"/>
      <c r="R329" s="8"/>
      <c r="S329" s="8"/>
      <c r="T329" s="8"/>
      <c r="U329" s="8"/>
      <c r="V329" s="8"/>
      <c r="W329" s="8"/>
      <c r="X329" s="8"/>
      <c r="Y329" s="8"/>
      <c r="Z329" s="8"/>
    </row>
    <row r="330">
      <c r="A330" s="7" t="s">
        <v>534</v>
      </c>
      <c r="B330" s="7" t="s">
        <v>536</v>
      </c>
      <c r="C330" s="7">
        <v>2.0</v>
      </c>
      <c r="D330" s="7"/>
      <c r="E330" s="8"/>
      <c r="F330" s="8"/>
      <c r="G330" s="8"/>
      <c r="H330" s="8"/>
      <c r="I330" s="8"/>
      <c r="J330" s="9"/>
      <c r="K330" s="8"/>
      <c r="L330" s="8"/>
      <c r="M330" s="8"/>
      <c r="N330" s="8"/>
      <c r="O330" s="8"/>
      <c r="P330" s="8"/>
      <c r="Q330" s="8"/>
      <c r="R330" s="8"/>
      <c r="S330" s="8"/>
      <c r="T330" s="8"/>
      <c r="U330" s="8"/>
      <c r="V330" s="8"/>
      <c r="W330" s="8"/>
      <c r="X330" s="8"/>
      <c r="Y330" s="8"/>
      <c r="Z330" s="8"/>
    </row>
    <row r="331">
      <c r="A331" s="7" t="s">
        <v>537</v>
      </c>
      <c r="B331" s="7" t="s">
        <v>469</v>
      </c>
      <c r="C331" s="7"/>
      <c r="D331" s="7">
        <v>20.0</v>
      </c>
      <c r="E331" s="8"/>
      <c r="F331" s="8"/>
      <c r="G331" s="8"/>
      <c r="H331" s="8"/>
      <c r="I331" s="8"/>
      <c r="J331" s="9"/>
      <c r="K331" s="8"/>
      <c r="L331" s="8"/>
      <c r="M331" s="8"/>
      <c r="N331" s="8"/>
      <c r="O331" s="8"/>
      <c r="P331" s="8"/>
      <c r="Q331" s="8"/>
      <c r="R331" s="8"/>
      <c r="S331" s="8"/>
      <c r="T331" s="8"/>
      <c r="U331" s="8"/>
      <c r="V331" s="8"/>
      <c r="W331" s="8"/>
      <c r="X331" s="8"/>
      <c r="Y331" s="8"/>
      <c r="Z331" s="8"/>
    </row>
    <row r="332">
      <c r="A332" s="7" t="s">
        <v>538</v>
      </c>
      <c r="B332" s="7" t="s">
        <v>207</v>
      </c>
      <c r="C332" s="7" t="s">
        <v>95</v>
      </c>
      <c r="D332" s="7">
        <v>3.65</v>
      </c>
      <c r="E332" s="8"/>
      <c r="F332" s="8"/>
      <c r="G332" s="8"/>
      <c r="H332" s="8"/>
      <c r="I332" s="8"/>
      <c r="J332" s="9"/>
      <c r="K332" s="8"/>
      <c r="L332" s="8"/>
      <c r="M332" s="8"/>
      <c r="N332" s="8"/>
      <c r="O332" s="8"/>
      <c r="P332" s="8"/>
      <c r="Q332" s="8"/>
      <c r="R332" s="8"/>
      <c r="S332" s="8"/>
      <c r="T332" s="8"/>
      <c r="U332" s="8"/>
      <c r="V332" s="8"/>
      <c r="W332" s="8"/>
      <c r="X332" s="8"/>
      <c r="Y332" s="8"/>
      <c r="Z332" s="8"/>
    </row>
    <row r="333">
      <c r="A333" s="7" t="s">
        <v>539</v>
      </c>
      <c r="B333" s="7" t="s">
        <v>540</v>
      </c>
      <c r="C333" s="7" t="s">
        <v>57</v>
      </c>
      <c r="D333" s="7">
        <v>8.0</v>
      </c>
      <c r="E333" s="8"/>
      <c r="F333" s="8"/>
      <c r="G333" s="8"/>
      <c r="H333" s="8"/>
      <c r="I333" s="8"/>
      <c r="J333" s="9"/>
      <c r="K333" s="8"/>
      <c r="L333" s="8"/>
      <c r="M333" s="8"/>
      <c r="N333" s="8"/>
      <c r="O333" s="8"/>
      <c r="P333" s="8"/>
      <c r="Q333" s="8"/>
      <c r="R333" s="8"/>
      <c r="S333" s="8"/>
      <c r="T333" s="8"/>
      <c r="U333" s="8"/>
      <c r="V333" s="8"/>
      <c r="W333" s="8"/>
      <c r="X333" s="8"/>
      <c r="Y333" s="8"/>
      <c r="Z333" s="8"/>
    </row>
    <row r="334">
      <c r="A334" s="7" t="s">
        <v>541</v>
      </c>
      <c r="B334" s="7" t="s">
        <v>542</v>
      </c>
      <c r="C334" s="7" t="s">
        <v>51</v>
      </c>
      <c r="D334" s="7">
        <v>5.0</v>
      </c>
      <c r="E334" s="8"/>
      <c r="F334" s="8"/>
      <c r="G334" s="8"/>
      <c r="H334" s="8"/>
      <c r="I334" s="8"/>
      <c r="J334" s="9"/>
      <c r="K334" s="8"/>
      <c r="L334" s="8"/>
      <c r="M334" s="8"/>
      <c r="N334" s="8"/>
      <c r="O334" s="8"/>
      <c r="P334" s="8"/>
      <c r="Q334" s="8"/>
      <c r="R334" s="8"/>
      <c r="S334" s="8"/>
      <c r="T334" s="8"/>
      <c r="U334" s="8"/>
      <c r="V334" s="8"/>
      <c r="W334" s="8"/>
      <c r="X334" s="8"/>
      <c r="Y334" s="8"/>
      <c r="Z334" s="8"/>
    </row>
    <row r="335">
      <c r="A335" s="7" t="s">
        <v>541</v>
      </c>
      <c r="B335" s="7" t="s">
        <v>102</v>
      </c>
      <c r="C335" s="7" t="s">
        <v>57</v>
      </c>
      <c r="D335" s="7">
        <v>3.25</v>
      </c>
      <c r="E335" s="8"/>
      <c r="F335" s="8"/>
      <c r="G335" s="8"/>
      <c r="H335" s="8"/>
      <c r="I335" s="8"/>
      <c r="J335" s="9"/>
      <c r="K335" s="8"/>
      <c r="L335" s="8"/>
      <c r="M335" s="8"/>
      <c r="N335" s="8"/>
      <c r="O335" s="8"/>
      <c r="P335" s="8"/>
      <c r="Q335" s="8"/>
      <c r="R335" s="8"/>
      <c r="S335" s="8"/>
      <c r="T335" s="8"/>
      <c r="U335" s="8"/>
      <c r="V335" s="8"/>
      <c r="W335" s="8"/>
      <c r="X335" s="8"/>
      <c r="Y335" s="8"/>
      <c r="Z335" s="8"/>
    </row>
    <row r="336">
      <c r="A336" s="19" t="s">
        <v>541</v>
      </c>
      <c r="B336" s="19" t="s">
        <v>543</v>
      </c>
      <c r="C336" s="19" t="s">
        <v>51</v>
      </c>
      <c r="D336" s="19">
        <v>6.3</v>
      </c>
      <c r="E336" s="20"/>
      <c r="F336" s="20"/>
      <c r="G336" s="20"/>
      <c r="H336" s="19" t="s">
        <v>425</v>
      </c>
      <c r="I336" s="20"/>
      <c r="J336" s="21"/>
      <c r="K336" s="20"/>
      <c r="L336" s="20"/>
      <c r="M336" s="20"/>
      <c r="N336" s="20"/>
      <c r="O336" s="20"/>
      <c r="P336" s="20"/>
      <c r="Q336" s="20"/>
      <c r="R336" s="20"/>
      <c r="S336" s="20"/>
      <c r="T336" s="20"/>
      <c r="U336" s="20"/>
      <c r="V336" s="20"/>
      <c r="W336" s="20"/>
      <c r="X336" s="20"/>
      <c r="Y336" s="20"/>
      <c r="Z336" s="20"/>
    </row>
    <row r="337">
      <c r="A337" s="7" t="s">
        <v>541</v>
      </c>
      <c r="B337" s="7" t="s">
        <v>544</v>
      </c>
      <c r="C337" s="7">
        <v>8.0</v>
      </c>
      <c r="D337" s="7">
        <v>10.0</v>
      </c>
      <c r="E337" s="8"/>
      <c r="F337" s="8"/>
      <c r="G337" s="8"/>
      <c r="H337" s="8"/>
      <c r="I337" s="8"/>
      <c r="J337" s="9"/>
      <c r="K337" s="8"/>
      <c r="L337" s="8"/>
      <c r="M337" s="8"/>
      <c r="N337" s="8"/>
      <c r="O337" s="8"/>
      <c r="P337" s="8"/>
      <c r="Q337" s="8"/>
      <c r="R337" s="8"/>
      <c r="S337" s="8"/>
      <c r="T337" s="8"/>
      <c r="U337" s="8"/>
      <c r="V337" s="8"/>
      <c r="W337" s="8"/>
      <c r="X337" s="8"/>
      <c r="Y337" s="8"/>
      <c r="Z337" s="8"/>
    </row>
    <row r="338">
      <c r="A338" s="7" t="s">
        <v>545</v>
      </c>
      <c r="B338" s="7" t="s">
        <v>92</v>
      </c>
      <c r="C338" s="7" t="s">
        <v>57</v>
      </c>
      <c r="D338" s="7">
        <v>2.5</v>
      </c>
      <c r="E338" s="8"/>
      <c r="F338" s="8"/>
      <c r="G338" s="8"/>
      <c r="H338" s="8"/>
      <c r="I338" s="8"/>
      <c r="J338" s="9"/>
      <c r="K338" s="8"/>
      <c r="L338" s="8"/>
      <c r="M338" s="8"/>
      <c r="N338" s="8"/>
      <c r="O338" s="8"/>
      <c r="P338" s="8"/>
      <c r="Q338" s="8"/>
      <c r="R338" s="8"/>
      <c r="S338" s="8"/>
      <c r="T338" s="8"/>
      <c r="U338" s="8"/>
      <c r="V338" s="8"/>
      <c r="W338" s="8"/>
      <c r="X338" s="8"/>
      <c r="Y338" s="8"/>
      <c r="Z338" s="8"/>
    </row>
    <row r="339">
      <c r="A339" s="7" t="s">
        <v>546</v>
      </c>
      <c r="B339" s="7" t="s">
        <v>494</v>
      </c>
      <c r="C339" s="7" t="s">
        <v>57</v>
      </c>
      <c r="D339" s="7">
        <v>3.0</v>
      </c>
      <c r="E339" s="8"/>
      <c r="F339" s="8"/>
      <c r="G339" s="8"/>
      <c r="H339" s="8"/>
      <c r="I339" s="8"/>
      <c r="J339" s="9"/>
      <c r="K339" s="8"/>
      <c r="L339" s="8"/>
      <c r="M339" s="8"/>
      <c r="N339" s="8"/>
      <c r="O339" s="8"/>
      <c r="P339" s="8"/>
      <c r="Q339" s="8"/>
      <c r="R339" s="8"/>
      <c r="S339" s="8"/>
      <c r="T339" s="8"/>
      <c r="U339" s="8"/>
      <c r="V339" s="8"/>
      <c r="W339" s="8"/>
      <c r="X339" s="8"/>
      <c r="Y339" s="8"/>
      <c r="Z339" s="8"/>
    </row>
    <row r="340">
      <c r="A340" s="7" t="s">
        <v>546</v>
      </c>
      <c r="B340" s="7" t="s">
        <v>547</v>
      </c>
      <c r="C340" s="7">
        <v>6.0</v>
      </c>
      <c r="D340" s="7">
        <v>3.0</v>
      </c>
      <c r="E340" s="8"/>
      <c r="F340" s="8"/>
      <c r="G340" s="8"/>
      <c r="H340" s="8"/>
      <c r="I340" s="8"/>
      <c r="J340" s="9"/>
      <c r="K340" s="8"/>
      <c r="L340" s="8"/>
      <c r="M340" s="8"/>
      <c r="N340" s="8"/>
      <c r="O340" s="8"/>
      <c r="P340" s="8"/>
      <c r="Q340" s="8"/>
      <c r="R340" s="8"/>
      <c r="S340" s="8"/>
      <c r="T340" s="8"/>
      <c r="U340" s="8"/>
      <c r="V340" s="8"/>
      <c r="W340" s="8"/>
      <c r="X340" s="8"/>
      <c r="Y340" s="8"/>
      <c r="Z340" s="8"/>
    </row>
    <row r="341">
      <c r="A341" s="7" t="s">
        <v>548</v>
      </c>
      <c r="B341" s="7" t="s">
        <v>549</v>
      </c>
      <c r="C341" s="7">
        <v>38.5</v>
      </c>
      <c r="D341" s="7">
        <v>12.5</v>
      </c>
      <c r="E341" s="8"/>
      <c r="F341" s="8"/>
      <c r="G341" s="8"/>
      <c r="H341" s="8"/>
      <c r="I341" s="8"/>
      <c r="J341" s="9"/>
      <c r="K341" s="8"/>
      <c r="L341" s="8"/>
      <c r="M341" s="8"/>
      <c r="N341" s="8"/>
      <c r="O341" s="8"/>
      <c r="P341" s="8"/>
      <c r="Q341" s="8"/>
      <c r="R341" s="8"/>
      <c r="S341" s="8"/>
      <c r="T341" s="8"/>
      <c r="U341" s="8"/>
      <c r="V341" s="8"/>
      <c r="W341" s="8"/>
      <c r="X341" s="8"/>
      <c r="Y341" s="8"/>
      <c r="Z341" s="8"/>
    </row>
    <row r="342">
      <c r="A342" s="7" t="s">
        <v>550</v>
      </c>
      <c r="B342" s="7" t="s">
        <v>234</v>
      </c>
      <c r="C342" s="7" t="s">
        <v>57</v>
      </c>
      <c r="D342" s="7">
        <v>10.0</v>
      </c>
      <c r="E342" s="8"/>
      <c r="F342" s="8"/>
      <c r="G342" s="8"/>
      <c r="H342" s="8"/>
      <c r="I342" s="8"/>
      <c r="J342" s="9"/>
      <c r="K342" s="8"/>
      <c r="L342" s="8"/>
      <c r="M342" s="8"/>
      <c r="N342" s="8"/>
      <c r="O342" s="8"/>
      <c r="P342" s="8"/>
      <c r="Q342" s="8"/>
      <c r="R342" s="8"/>
      <c r="S342" s="8"/>
      <c r="T342" s="8"/>
      <c r="U342" s="8"/>
      <c r="V342" s="8"/>
      <c r="W342" s="8"/>
      <c r="X342" s="8"/>
      <c r="Y342" s="8"/>
      <c r="Z342" s="8"/>
    </row>
    <row r="343">
      <c r="A343" s="14" t="s">
        <v>551</v>
      </c>
      <c r="B343" s="14" t="s">
        <v>552</v>
      </c>
      <c r="C343" s="14">
        <v>30.0</v>
      </c>
      <c r="D343" s="14"/>
      <c r="E343" s="15"/>
      <c r="F343" s="15"/>
      <c r="G343" s="15"/>
      <c r="H343" s="15"/>
      <c r="I343" s="15"/>
      <c r="J343" s="16"/>
      <c r="K343" s="15"/>
      <c r="L343" s="15"/>
      <c r="M343" s="15"/>
      <c r="N343" s="15"/>
      <c r="O343" s="15"/>
      <c r="P343" s="15"/>
      <c r="Q343" s="15"/>
      <c r="R343" s="15"/>
      <c r="S343" s="15"/>
      <c r="T343" s="15"/>
      <c r="U343" s="15"/>
      <c r="V343" s="15"/>
      <c r="W343" s="15"/>
      <c r="X343" s="15"/>
      <c r="Y343" s="15"/>
      <c r="Z343" s="15"/>
    </row>
    <row r="344">
      <c r="A344" s="14" t="s">
        <v>551</v>
      </c>
      <c r="B344" s="14" t="s">
        <v>553</v>
      </c>
      <c r="C344" s="14">
        <v>28.0</v>
      </c>
      <c r="D344" s="14"/>
      <c r="E344" s="15"/>
      <c r="F344" s="15"/>
      <c r="G344" s="15"/>
      <c r="H344" s="15"/>
      <c r="I344" s="15"/>
      <c r="J344" s="16"/>
      <c r="K344" s="15"/>
      <c r="L344" s="15"/>
      <c r="M344" s="15"/>
      <c r="N344" s="15"/>
      <c r="O344" s="15"/>
      <c r="P344" s="15"/>
      <c r="Q344" s="15"/>
      <c r="R344" s="15"/>
      <c r="S344" s="15"/>
      <c r="T344" s="15"/>
      <c r="U344" s="15"/>
      <c r="V344" s="15"/>
      <c r="W344" s="15"/>
      <c r="X344" s="15"/>
      <c r="Y344" s="15"/>
      <c r="Z344" s="15"/>
    </row>
    <row r="345">
      <c r="A345" s="14" t="s">
        <v>551</v>
      </c>
      <c r="B345" s="14" t="s">
        <v>554</v>
      </c>
      <c r="C345" s="14">
        <v>28.0</v>
      </c>
      <c r="D345" s="14"/>
      <c r="E345" s="15"/>
      <c r="F345" s="15"/>
      <c r="G345" s="15"/>
      <c r="H345" s="15"/>
      <c r="I345" s="15"/>
      <c r="J345" s="16"/>
      <c r="K345" s="15"/>
      <c r="L345" s="15"/>
      <c r="M345" s="15"/>
      <c r="N345" s="15"/>
      <c r="O345" s="15"/>
      <c r="P345" s="15"/>
      <c r="Q345" s="15"/>
      <c r="R345" s="15"/>
      <c r="S345" s="15"/>
      <c r="T345" s="15"/>
      <c r="U345" s="15"/>
      <c r="V345" s="15"/>
      <c r="W345" s="15"/>
      <c r="X345" s="15"/>
      <c r="Y345" s="15"/>
      <c r="Z345" s="15"/>
    </row>
    <row r="346">
      <c r="A346" s="7" t="s">
        <v>555</v>
      </c>
      <c r="B346" s="7" t="s">
        <v>556</v>
      </c>
      <c r="C346" s="7"/>
      <c r="D346" s="7">
        <v>4.5</v>
      </c>
      <c r="E346" s="8"/>
      <c r="F346" s="8"/>
      <c r="G346" s="8"/>
      <c r="H346" s="7"/>
      <c r="I346" s="8"/>
      <c r="J346" s="9"/>
      <c r="K346" s="8"/>
      <c r="L346" s="8"/>
      <c r="M346" s="8"/>
      <c r="N346" s="8"/>
      <c r="O346" s="8"/>
      <c r="P346" s="8"/>
      <c r="Q346" s="8"/>
      <c r="R346" s="8"/>
      <c r="S346" s="8"/>
      <c r="T346" s="8"/>
      <c r="U346" s="8"/>
      <c r="V346" s="8"/>
      <c r="W346" s="8"/>
      <c r="X346" s="8"/>
      <c r="Y346" s="8"/>
      <c r="Z346" s="8"/>
    </row>
    <row r="347">
      <c r="A347" s="7" t="s">
        <v>557</v>
      </c>
      <c r="B347" s="7" t="s">
        <v>558</v>
      </c>
      <c r="C347" s="7" t="s">
        <v>51</v>
      </c>
      <c r="D347" s="7">
        <v>6.0</v>
      </c>
      <c r="E347" s="8"/>
      <c r="F347" s="8"/>
      <c r="G347" s="8"/>
      <c r="H347" s="7"/>
      <c r="I347" s="8"/>
      <c r="J347" s="9"/>
      <c r="K347" s="8"/>
      <c r="L347" s="8"/>
      <c r="M347" s="8"/>
      <c r="N347" s="8"/>
      <c r="O347" s="8"/>
      <c r="P347" s="8"/>
      <c r="Q347" s="8"/>
      <c r="R347" s="8"/>
      <c r="S347" s="8"/>
      <c r="T347" s="8"/>
      <c r="U347" s="8"/>
      <c r="V347" s="8"/>
      <c r="W347" s="8"/>
      <c r="X347" s="8"/>
      <c r="Y347" s="8"/>
      <c r="Z347" s="8"/>
    </row>
    <row r="348">
      <c r="A348" s="7" t="s">
        <v>557</v>
      </c>
      <c r="B348" s="7" t="s">
        <v>559</v>
      </c>
      <c r="C348" s="7" t="s">
        <v>51</v>
      </c>
      <c r="D348" s="7">
        <v>3.5</v>
      </c>
      <c r="E348" s="8"/>
      <c r="F348" s="8"/>
      <c r="G348" s="8"/>
      <c r="H348" s="7"/>
      <c r="I348" s="8"/>
      <c r="J348" s="9"/>
      <c r="K348" s="8"/>
      <c r="L348" s="8"/>
      <c r="M348" s="8"/>
      <c r="N348" s="8"/>
      <c r="O348" s="8"/>
      <c r="P348" s="8"/>
      <c r="Q348" s="8"/>
      <c r="R348" s="8"/>
      <c r="S348" s="8"/>
      <c r="T348" s="8"/>
      <c r="U348" s="8"/>
      <c r="V348" s="8"/>
      <c r="W348" s="8"/>
      <c r="X348" s="8"/>
      <c r="Y348" s="8"/>
      <c r="Z348" s="8"/>
    </row>
    <row r="349">
      <c r="A349" s="7" t="s">
        <v>557</v>
      </c>
      <c r="B349" s="7" t="s">
        <v>560</v>
      </c>
      <c r="C349" s="7" t="s">
        <v>51</v>
      </c>
      <c r="D349" s="7">
        <v>7.5</v>
      </c>
      <c r="E349" s="8"/>
      <c r="F349" s="8"/>
      <c r="G349" s="8"/>
      <c r="H349" s="7"/>
      <c r="I349" s="8"/>
      <c r="J349" s="9"/>
      <c r="K349" s="8"/>
      <c r="L349" s="8"/>
      <c r="M349" s="8"/>
      <c r="N349" s="8"/>
      <c r="O349" s="8"/>
      <c r="P349" s="8"/>
      <c r="Q349" s="8"/>
      <c r="R349" s="8"/>
      <c r="S349" s="8"/>
      <c r="T349" s="8"/>
      <c r="U349" s="8"/>
      <c r="V349" s="8"/>
      <c r="W349" s="8"/>
      <c r="X349" s="8"/>
      <c r="Y349" s="8"/>
      <c r="Z349" s="8"/>
    </row>
    <row r="350">
      <c r="A350" s="7" t="s">
        <v>561</v>
      </c>
      <c r="B350" s="7" t="s">
        <v>562</v>
      </c>
      <c r="C350" s="7">
        <v>39.0</v>
      </c>
      <c r="D350" s="7"/>
      <c r="E350" s="8"/>
      <c r="F350" s="8"/>
      <c r="G350" s="8"/>
      <c r="H350" s="7"/>
      <c r="I350" s="8"/>
      <c r="J350" s="9"/>
      <c r="K350" s="8"/>
      <c r="L350" s="8"/>
      <c r="M350" s="8"/>
      <c r="N350" s="8"/>
      <c r="O350" s="8"/>
      <c r="P350" s="8"/>
      <c r="Q350" s="8"/>
      <c r="R350" s="8"/>
      <c r="S350" s="8"/>
      <c r="T350" s="8"/>
      <c r="U350" s="8"/>
      <c r="V350" s="8"/>
      <c r="W350" s="8"/>
      <c r="X350" s="8"/>
      <c r="Y350" s="8"/>
      <c r="Z350" s="8"/>
    </row>
    <row r="351">
      <c r="A351" s="7" t="s">
        <v>563</v>
      </c>
      <c r="B351" s="7" t="s">
        <v>564</v>
      </c>
      <c r="C351" s="7" t="s">
        <v>95</v>
      </c>
      <c r="D351" s="7">
        <v>4.5</v>
      </c>
      <c r="E351" s="8"/>
      <c r="F351" s="8"/>
      <c r="G351" s="8"/>
      <c r="H351" s="8"/>
      <c r="I351" s="8"/>
      <c r="J351" s="9"/>
      <c r="K351" s="8"/>
      <c r="L351" s="8"/>
      <c r="M351" s="8"/>
      <c r="N351" s="8"/>
      <c r="O351" s="8"/>
      <c r="P351" s="8"/>
      <c r="Q351" s="8"/>
      <c r="R351" s="8"/>
      <c r="S351" s="8"/>
      <c r="T351" s="8"/>
      <c r="U351" s="8"/>
      <c r="V351" s="8"/>
      <c r="W351" s="8"/>
      <c r="X351" s="8"/>
      <c r="Y351" s="8"/>
      <c r="Z351" s="8"/>
    </row>
    <row r="352">
      <c r="A352" s="7" t="s">
        <v>563</v>
      </c>
      <c r="B352" s="7" t="s">
        <v>565</v>
      </c>
      <c r="C352" s="7" t="s">
        <v>391</v>
      </c>
      <c r="D352" s="7"/>
      <c r="E352" s="8"/>
      <c r="F352" s="8"/>
      <c r="G352" s="8"/>
      <c r="H352" s="8"/>
      <c r="I352" s="8"/>
      <c r="J352" s="9"/>
      <c r="K352" s="8"/>
      <c r="L352" s="8"/>
      <c r="M352" s="8"/>
      <c r="N352" s="8"/>
      <c r="O352" s="8"/>
      <c r="P352" s="8"/>
      <c r="Q352" s="8"/>
      <c r="R352" s="8"/>
      <c r="S352" s="8"/>
      <c r="T352" s="8"/>
      <c r="U352" s="8"/>
      <c r="V352" s="8"/>
      <c r="W352" s="8"/>
      <c r="X352" s="8"/>
      <c r="Y352" s="8"/>
      <c r="Z352" s="8"/>
    </row>
    <row r="353">
      <c r="A353" s="7" t="s">
        <v>566</v>
      </c>
      <c r="B353" s="7" t="s">
        <v>567</v>
      </c>
      <c r="C353" s="7"/>
      <c r="D353" s="7">
        <v>7.5</v>
      </c>
      <c r="E353" s="8"/>
      <c r="F353" s="8"/>
      <c r="G353" s="8"/>
      <c r="H353" s="8"/>
      <c r="I353" s="8"/>
      <c r="J353" s="9"/>
      <c r="K353" s="8"/>
      <c r="L353" s="8"/>
      <c r="M353" s="8"/>
      <c r="N353" s="8"/>
      <c r="O353" s="8"/>
      <c r="P353" s="8"/>
      <c r="Q353" s="8"/>
      <c r="R353" s="8"/>
      <c r="S353" s="8"/>
      <c r="T353" s="8"/>
      <c r="U353" s="8"/>
      <c r="V353" s="8"/>
      <c r="W353" s="8"/>
      <c r="X353" s="8"/>
      <c r="Y353" s="8"/>
      <c r="Z353" s="8"/>
    </row>
    <row r="354">
      <c r="A354" s="7" t="s">
        <v>568</v>
      </c>
      <c r="B354" s="7" t="s">
        <v>553</v>
      </c>
      <c r="C354" s="7">
        <v>27.0</v>
      </c>
      <c r="D354" s="7"/>
      <c r="E354" s="8"/>
      <c r="F354" s="8"/>
      <c r="G354" s="8"/>
      <c r="H354" s="8"/>
      <c r="I354" s="8"/>
      <c r="J354" s="9"/>
      <c r="K354" s="8"/>
      <c r="L354" s="8"/>
      <c r="M354" s="8"/>
      <c r="N354" s="8"/>
      <c r="O354" s="8"/>
      <c r="P354" s="8"/>
      <c r="Q354" s="8"/>
      <c r="R354" s="8"/>
      <c r="S354" s="8"/>
      <c r="T354" s="8"/>
      <c r="U354" s="8"/>
      <c r="V354" s="8"/>
      <c r="W354" s="8"/>
      <c r="X354" s="8"/>
      <c r="Y354" s="8"/>
      <c r="Z354" s="8"/>
    </row>
    <row r="355">
      <c r="A355" s="7" t="s">
        <v>568</v>
      </c>
      <c r="B355" s="7" t="s">
        <v>569</v>
      </c>
      <c r="C355" s="7">
        <v>27.0</v>
      </c>
      <c r="D355" s="7"/>
      <c r="E355" s="8"/>
      <c r="F355" s="8"/>
      <c r="G355" s="8"/>
      <c r="H355" s="8"/>
      <c r="I355" s="8"/>
      <c r="J355" s="9"/>
      <c r="K355" s="8"/>
      <c r="L355" s="8"/>
      <c r="M355" s="8"/>
      <c r="N355" s="8"/>
      <c r="O355" s="8"/>
      <c r="P355" s="8"/>
      <c r="Q355" s="8"/>
      <c r="R355" s="8"/>
      <c r="S355" s="8"/>
      <c r="T355" s="8"/>
      <c r="U355" s="8"/>
      <c r="V355" s="8"/>
      <c r="W355" s="8"/>
      <c r="X355" s="8"/>
      <c r="Y355" s="8"/>
      <c r="Z355" s="8"/>
    </row>
    <row r="356">
      <c r="A356" s="7" t="s">
        <v>570</v>
      </c>
      <c r="B356" s="7" t="s">
        <v>571</v>
      </c>
      <c r="C356" s="7" t="s">
        <v>66</v>
      </c>
      <c r="D356" s="7">
        <v>12.0</v>
      </c>
      <c r="E356" s="8"/>
      <c r="F356" s="8"/>
      <c r="G356" s="8"/>
      <c r="H356" s="8"/>
      <c r="I356" s="8"/>
      <c r="J356" s="9"/>
      <c r="K356" s="8"/>
      <c r="L356" s="8"/>
      <c r="M356" s="8"/>
      <c r="N356" s="8"/>
      <c r="O356" s="8"/>
      <c r="P356" s="8"/>
      <c r="Q356" s="8"/>
      <c r="R356" s="8"/>
      <c r="S356" s="8"/>
      <c r="T356" s="8"/>
      <c r="U356" s="8"/>
      <c r="V356" s="8"/>
      <c r="W356" s="8"/>
      <c r="X356" s="8"/>
      <c r="Y356" s="8"/>
      <c r="Z356" s="8"/>
    </row>
    <row r="357">
      <c r="A357" s="7" t="s">
        <v>570</v>
      </c>
      <c r="B357" s="7" t="s">
        <v>572</v>
      </c>
      <c r="C357" s="7" t="s">
        <v>51</v>
      </c>
      <c r="D357" s="7">
        <v>9.0</v>
      </c>
      <c r="E357" s="8"/>
      <c r="F357" s="8"/>
      <c r="G357" s="8"/>
      <c r="H357" s="8"/>
      <c r="I357" s="8"/>
      <c r="J357" s="9"/>
      <c r="K357" s="8"/>
      <c r="L357" s="8"/>
      <c r="M357" s="8"/>
      <c r="N357" s="8"/>
      <c r="O357" s="8"/>
      <c r="P357" s="8"/>
      <c r="Q357" s="8"/>
      <c r="R357" s="8"/>
      <c r="S357" s="8"/>
      <c r="T357" s="8"/>
      <c r="U357" s="8"/>
      <c r="V357" s="8"/>
      <c r="W357" s="8"/>
      <c r="X357" s="8"/>
      <c r="Y357" s="8"/>
      <c r="Z357" s="8"/>
    </row>
    <row r="358">
      <c r="A358" s="7" t="s">
        <v>570</v>
      </c>
      <c r="B358" s="7" t="s">
        <v>573</v>
      </c>
      <c r="C358" s="7"/>
      <c r="D358" s="7">
        <v>7.5</v>
      </c>
      <c r="E358" s="8"/>
      <c r="F358" s="8"/>
      <c r="G358" s="8"/>
      <c r="H358" s="8"/>
      <c r="I358" s="8"/>
      <c r="J358" s="9"/>
      <c r="K358" s="8"/>
      <c r="L358" s="8"/>
      <c r="M358" s="8"/>
      <c r="N358" s="8"/>
      <c r="O358" s="8"/>
      <c r="P358" s="8"/>
      <c r="Q358" s="8"/>
      <c r="R358" s="8"/>
      <c r="S358" s="8"/>
      <c r="T358" s="8"/>
      <c r="U358" s="8"/>
      <c r="V358" s="8"/>
      <c r="W358" s="8"/>
      <c r="X358" s="8"/>
      <c r="Y358" s="8"/>
      <c r="Z358" s="8"/>
    </row>
    <row r="359">
      <c r="A359" s="7" t="s">
        <v>570</v>
      </c>
      <c r="B359" s="7" t="s">
        <v>574</v>
      </c>
      <c r="C359" s="7">
        <v>8.0</v>
      </c>
      <c r="D359" s="7">
        <v>9.8</v>
      </c>
      <c r="E359" s="8"/>
      <c r="F359" s="8"/>
      <c r="G359" s="8"/>
      <c r="H359" s="8"/>
      <c r="I359" s="8"/>
      <c r="J359" s="9"/>
      <c r="K359" s="8"/>
      <c r="L359" s="8"/>
      <c r="M359" s="8"/>
      <c r="N359" s="8"/>
      <c r="O359" s="8"/>
      <c r="P359" s="8"/>
      <c r="Q359" s="8"/>
      <c r="R359" s="8"/>
      <c r="S359" s="8"/>
      <c r="T359" s="8"/>
      <c r="U359" s="8"/>
      <c r="V359" s="8"/>
      <c r="W359" s="8"/>
      <c r="X359" s="8"/>
      <c r="Y359" s="8"/>
      <c r="Z359" s="8"/>
    </row>
    <row r="360">
      <c r="A360" s="7" t="s">
        <v>570</v>
      </c>
      <c r="B360" s="7" t="s">
        <v>575</v>
      </c>
      <c r="C360" s="7" t="s">
        <v>51</v>
      </c>
      <c r="D360" s="7">
        <v>10.0</v>
      </c>
      <c r="E360" s="8"/>
      <c r="F360" s="8"/>
      <c r="G360" s="8"/>
      <c r="H360" s="7"/>
      <c r="I360" s="8"/>
      <c r="J360" s="9"/>
      <c r="K360" s="8"/>
      <c r="L360" s="8"/>
      <c r="M360" s="8"/>
      <c r="N360" s="8"/>
      <c r="O360" s="8"/>
      <c r="P360" s="8"/>
      <c r="Q360" s="8"/>
      <c r="R360" s="8"/>
      <c r="S360" s="8"/>
      <c r="T360" s="8"/>
      <c r="U360" s="8"/>
      <c r="V360" s="8"/>
      <c r="W360" s="8"/>
      <c r="X360" s="8"/>
      <c r="Y360" s="8"/>
      <c r="Z360" s="8"/>
    </row>
    <row r="361">
      <c r="A361" s="10" t="s">
        <v>576</v>
      </c>
      <c r="B361" s="10" t="s">
        <v>577</v>
      </c>
      <c r="C361" s="10" t="s">
        <v>51</v>
      </c>
      <c r="D361" s="10">
        <v>10.0</v>
      </c>
      <c r="E361" s="11"/>
      <c r="F361" s="11"/>
      <c r="G361" s="11"/>
      <c r="H361" s="10" t="s">
        <v>375</v>
      </c>
      <c r="I361" s="11"/>
      <c r="J361" s="12"/>
      <c r="K361" s="11"/>
      <c r="L361" s="11"/>
      <c r="M361" s="11"/>
      <c r="N361" s="11"/>
      <c r="O361" s="11"/>
      <c r="P361" s="11"/>
      <c r="Q361" s="11"/>
      <c r="R361" s="11"/>
      <c r="S361" s="11"/>
      <c r="T361" s="11"/>
      <c r="U361" s="11"/>
      <c r="V361" s="11"/>
      <c r="W361" s="11"/>
      <c r="X361" s="11"/>
      <c r="Y361" s="11"/>
      <c r="Z361" s="11"/>
    </row>
    <row r="362">
      <c r="A362" s="7" t="s">
        <v>578</v>
      </c>
      <c r="B362" s="7" t="s">
        <v>579</v>
      </c>
      <c r="C362" s="7"/>
      <c r="D362" s="7">
        <v>2.75</v>
      </c>
      <c r="E362" s="8"/>
      <c r="F362" s="8"/>
      <c r="G362" s="8"/>
      <c r="H362" s="8"/>
      <c r="I362" s="8"/>
      <c r="J362" s="9"/>
      <c r="K362" s="8"/>
      <c r="L362" s="8"/>
      <c r="M362" s="8"/>
      <c r="N362" s="8"/>
      <c r="O362" s="8"/>
      <c r="P362" s="8"/>
      <c r="Q362" s="8"/>
      <c r="R362" s="8"/>
      <c r="S362" s="8"/>
      <c r="T362" s="8"/>
      <c r="U362" s="8"/>
      <c r="V362" s="8"/>
      <c r="W362" s="8"/>
      <c r="X362" s="8"/>
      <c r="Y362" s="8"/>
      <c r="Z362" s="8"/>
    </row>
    <row r="363">
      <c r="A363" s="7" t="s">
        <v>580</v>
      </c>
      <c r="B363" s="7" t="s">
        <v>581</v>
      </c>
      <c r="C363" s="7" t="s">
        <v>66</v>
      </c>
      <c r="D363" s="7">
        <v>5.0</v>
      </c>
      <c r="E363" s="8"/>
      <c r="F363" s="8"/>
      <c r="G363" s="8"/>
      <c r="H363" s="8"/>
      <c r="I363" s="8"/>
      <c r="J363" s="9"/>
      <c r="K363" s="8"/>
      <c r="L363" s="8"/>
      <c r="M363" s="8"/>
      <c r="N363" s="8"/>
      <c r="O363" s="8"/>
      <c r="P363" s="8"/>
      <c r="Q363" s="8"/>
      <c r="R363" s="8"/>
      <c r="S363" s="8"/>
      <c r="T363" s="8"/>
      <c r="U363" s="8"/>
      <c r="V363" s="8"/>
      <c r="W363" s="8"/>
      <c r="X363" s="8"/>
      <c r="Y363" s="8"/>
      <c r="Z363" s="8"/>
    </row>
    <row r="364">
      <c r="A364" s="7" t="s">
        <v>582</v>
      </c>
      <c r="B364" s="7" t="s">
        <v>583</v>
      </c>
      <c r="C364" s="7">
        <v>1.0</v>
      </c>
      <c r="D364" s="7"/>
      <c r="E364" s="8"/>
      <c r="F364" s="8"/>
      <c r="G364" s="8"/>
      <c r="H364" s="8"/>
      <c r="I364" s="8"/>
      <c r="J364" s="9"/>
      <c r="K364" s="8"/>
      <c r="L364" s="8"/>
      <c r="M364" s="8"/>
      <c r="N364" s="8"/>
      <c r="O364" s="8"/>
      <c r="P364" s="8"/>
      <c r="Q364" s="8"/>
      <c r="R364" s="8"/>
      <c r="S364" s="8"/>
      <c r="T364" s="8"/>
      <c r="U364" s="8"/>
      <c r="V364" s="8"/>
      <c r="W364" s="8"/>
      <c r="X364" s="8"/>
      <c r="Y364" s="8"/>
      <c r="Z364" s="8"/>
    </row>
    <row r="365">
      <c r="A365" s="7" t="s">
        <v>582</v>
      </c>
      <c r="B365" s="7" t="s">
        <v>584</v>
      </c>
      <c r="C365" s="7">
        <v>38.0</v>
      </c>
      <c r="D365" s="7"/>
      <c r="E365" s="8"/>
      <c r="F365" s="8"/>
      <c r="G365" s="8"/>
      <c r="H365" s="8"/>
      <c r="I365" s="8"/>
      <c r="J365" s="9"/>
      <c r="K365" s="8"/>
      <c r="L365" s="8"/>
      <c r="M365" s="8"/>
      <c r="N365" s="8"/>
      <c r="O365" s="8"/>
      <c r="P365" s="8"/>
      <c r="Q365" s="8"/>
      <c r="R365" s="8"/>
      <c r="S365" s="8"/>
      <c r="T365" s="8"/>
      <c r="U365" s="8"/>
      <c r="V365" s="8"/>
      <c r="W365" s="8"/>
      <c r="X365" s="8"/>
      <c r="Y365" s="8"/>
      <c r="Z365" s="8"/>
    </row>
    <row r="366">
      <c r="A366" s="7" t="s">
        <v>582</v>
      </c>
      <c r="B366" s="7" t="s">
        <v>585</v>
      </c>
      <c r="C366" s="7">
        <v>38.0</v>
      </c>
      <c r="D366" s="7"/>
      <c r="E366" s="8"/>
      <c r="F366" s="8"/>
      <c r="G366" s="8"/>
      <c r="H366" s="8"/>
      <c r="I366" s="8"/>
      <c r="J366" s="9"/>
      <c r="K366" s="8"/>
      <c r="L366" s="8"/>
      <c r="M366" s="8"/>
      <c r="N366" s="8"/>
      <c r="O366" s="8"/>
      <c r="P366" s="8"/>
      <c r="Q366" s="8"/>
      <c r="R366" s="8"/>
      <c r="S366" s="8"/>
      <c r="T366" s="8"/>
      <c r="U366" s="8"/>
      <c r="V366" s="8"/>
      <c r="W366" s="8"/>
      <c r="X366" s="8"/>
      <c r="Y366" s="8"/>
      <c r="Z366" s="8"/>
    </row>
    <row r="367">
      <c r="A367" s="7" t="s">
        <v>582</v>
      </c>
      <c r="B367" s="7" t="s">
        <v>586</v>
      </c>
      <c r="C367" s="7">
        <v>38.0</v>
      </c>
      <c r="D367" s="7"/>
      <c r="E367" s="8"/>
      <c r="F367" s="8"/>
      <c r="G367" s="8"/>
      <c r="H367" s="8"/>
      <c r="I367" s="8"/>
      <c r="J367" s="9"/>
      <c r="K367" s="8"/>
      <c r="L367" s="8"/>
      <c r="M367" s="8"/>
      <c r="N367" s="8"/>
      <c r="O367" s="8"/>
      <c r="P367" s="8"/>
      <c r="Q367" s="8"/>
      <c r="R367" s="8"/>
      <c r="S367" s="8"/>
      <c r="T367" s="8"/>
      <c r="U367" s="8"/>
      <c r="V367" s="8"/>
      <c r="W367" s="8"/>
      <c r="X367" s="8"/>
      <c r="Y367" s="8"/>
      <c r="Z367" s="8"/>
    </row>
    <row r="368">
      <c r="A368" s="7" t="s">
        <v>587</v>
      </c>
      <c r="B368" s="7" t="s">
        <v>588</v>
      </c>
      <c r="C368" s="7" t="s">
        <v>57</v>
      </c>
      <c r="D368" s="7">
        <v>3.65</v>
      </c>
      <c r="E368" s="8"/>
      <c r="F368" s="8"/>
      <c r="G368" s="8"/>
      <c r="H368" s="8"/>
      <c r="I368" s="7"/>
      <c r="J368" s="9"/>
      <c r="K368" s="8"/>
      <c r="L368" s="8"/>
      <c r="M368" s="8"/>
      <c r="N368" s="8"/>
      <c r="O368" s="8"/>
      <c r="P368" s="8"/>
      <c r="Q368" s="8"/>
      <c r="R368" s="8"/>
      <c r="S368" s="8"/>
      <c r="T368" s="8"/>
      <c r="U368" s="8"/>
      <c r="V368" s="8"/>
      <c r="W368" s="8"/>
      <c r="X368" s="8"/>
      <c r="Y368" s="8"/>
      <c r="Z368" s="8"/>
    </row>
    <row r="369">
      <c r="A369" s="7" t="s">
        <v>587</v>
      </c>
      <c r="B369" s="7" t="s">
        <v>589</v>
      </c>
      <c r="C369" s="7">
        <v>25.0</v>
      </c>
      <c r="D369" s="7">
        <v>10.0</v>
      </c>
      <c r="E369" s="8"/>
      <c r="F369" s="8"/>
      <c r="G369" s="8"/>
      <c r="H369" s="8"/>
      <c r="I369" s="22" t="s">
        <v>590</v>
      </c>
      <c r="J369" s="9"/>
      <c r="K369" s="8"/>
      <c r="L369" s="8"/>
      <c r="M369" s="8"/>
      <c r="N369" s="8"/>
      <c r="O369" s="8"/>
      <c r="P369" s="8"/>
      <c r="Q369" s="8"/>
      <c r="R369" s="8"/>
      <c r="S369" s="8"/>
      <c r="T369" s="8"/>
      <c r="U369" s="8"/>
      <c r="V369" s="8"/>
      <c r="W369" s="8"/>
      <c r="X369" s="8"/>
      <c r="Y369" s="8"/>
      <c r="Z369" s="8"/>
    </row>
    <row r="370">
      <c r="A370" s="7" t="s">
        <v>591</v>
      </c>
      <c r="B370" s="7" t="s">
        <v>592</v>
      </c>
      <c r="C370" s="7" t="s">
        <v>57</v>
      </c>
      <c r="D370" s="7">
        <v>9.0</v>
      </c>
      <c r="E370" s="8"/>
      <c r="F370" s="8"/>
      <c r="G370" s="8"/>
      <c r="H370" s="8"/>
      <c r="I370" s="8"/>
      <c r="J370" s="9"/>
      <c r="K370" s="8"/>
      <c r="L370" s="8"/>
      <c r="M370" s="8"/>
      <c r="N370" s="8"/>
      <c r="O370" s="8"/>
      <c r="P370" s="8"/>
      <c r="Q370" s="8"/>
      <c r="R370" s="8"/>
      <c r="S370" s="8"/>
      <c r="T370" s="8"/>
      <c r="U370" s="8"/>
      <c r="V370" s="8"/>
      <c r="W370" s="8"/>
      <c r="X370" s="8"/>
      <c r="Y370" s="8"/>
      <c r="Z370" s="8"/>
    </row>
    <row r="371">
      <c r="A371" s="7" t="s">
        <v>593</v>
      </c>
      <c r="B371" s="7" t="s">
        <v>526</v>
      </c>
      <c r="C371" s="7" t="s">
        <v>51</v>
      </c>
      <c r="D371" s="7">
        <v>6.5</v>
      </c>
      <c r="E371" s="8"/>
      <c r="F371" s="8"/>
      <c r="G371" s="8"/>
      <c r="H371" s="8"/>
      <c r="I371" s="8"/>
      <c r="J371" s="9"/>
      <c r="K371" s="8"/>
      <c r="L371" s="8"/>
      <c r="M371" s="8"/>
      <c r="N371" s="8"/>
      <c r="O371" s="8"/>
      <c r="P371" s="8"/>
      <c r="Q371" s="8"/>
      <c r="R371" s="8"/>
      <c r="S371" s="8"/>
      <c r="T371" s="8"/>
      <c r="U371" s="8"/>
      <c r="V371" s="8"/>
      <c r="W371" s="8"/>
      <c r="X371" s="8"/>
      <c r="Y371" s="8"/>
      <c r="Z371" s="8"/>
    </row>
    <row r="372">
      <c r="A372" s="7" t="s">
        <v>594</v>
      </c>
      <c r="B372" s="7" t="s">
        <v>595</v>
      </c>
      <c r="C372" s="7" t="s">
        <v>51</v>
      </c>
      <c r="D372" s="7">
        <v>2.5</v>
      </c>
      <c r="E372" s="8"/>
      <c r="F372" s="8"/>
      <c r="G372" s="8"/>
      <c r="H372" s="8"/>
      <c r="I372" s="8"/>
      <c r="J372" s="9"/>
      <c r="K372" s="8"/>
      <c r="L372" s="8"/>
      <c r="M372" s="8"/>
      <c r="N372" s="8"/>
      <c r="O372" s="8"/>
      <c r="P372" s="8"/>
      <c r="Q372" s="8"/>
      <c r="R372" s="8"/>
      <c r="S372" s="8"/>
      <c r="T372" s="8"/>
      <c r="U372" s="8"/>
      <c r="V372" s="8"/>
      <c r="W372" s="8"/>
      <c r="X372" s="8"/>
      <c r="Y372" s="8"/>
      <c r="Z372" s="8"/>
    </row>
    <row r="373">
      <c r="A373" s="7" t="s">
        <v>596</v>
      </c>
      <c r="B373" s="7" t="s">
        <v>597</v>
      </c>
      <c r="C373" s="7">
        <v>4.0</v>
      </c>
      <c r="D373" s="7">
        <v>10.0</v>
      </c>
      <c r="E373" s="8"/>
      <c r="F373" s="8"/>
      <c r="G373" s="8"/>
      <c r="H373" s="8"/>
      <c r="I373" s="8"/>
      <c r="J373" s="9"/>
      <c r="K373" s="8"/>
      <c r="L373" s="8"/>
      <c r="M373" s="8"/>
      <c r="N373" s="8"/>
      <c r="O373" s="8"/>
      <c r="P373" s="8"/>
      <c r="Q373" s="8"/>
      <c r="R373" s="8"/>
      <c r="S373" s="8"/>
      <c r="T373" s="8"/>
      <c r="U373" s="8"/>
      <c r="V373" s="8"/>
      <c r="W373" s="8"/>
      <c r="X373" s="8"/>
      <c r="Y373" s="8"/>
      <c r="Z373" s="8"/>
    </row>
    <row r="374">
      <c r="A374" s="7" t="s">
        <v>598</v>
      </c>
      <c r="B374" s="7" t="s">
        <v>599</v>
      </c>
      <c r="C374" s="7" t="s">
        <v>95</v>
      </c>
      <c r="D374" s="7">
        <v>6.5</v>
      </c>
      <c r="E374" s="8"/>
      <c r="F374" s="8"/>
      <c r="G374" s="8"/>
      <c r="H374" s="8"/>
      <c r="I374" s="8"/>
      <c r="J374" s="9"/>
      <c r="K374" s="8"/>
      <c r="L374" s="8"/>
      <c r="M374" s="8"/>
      <c r="N374" s="8"/>
      <c r="O374" s="8"/>
      <c r="P374" s="8"/>
      <c r="Q374" s="8"/>
      <c r="R374" s="8"/>
      <c r="S374" s="8"/>
      <c r="T374" s="8"/>
      <c r="U374" s="8"/>
      <c r="V374" s="8"/>
      <c r="W374" s="8"/>
      <c r="X374" s="8"/>
      <c r="Y374" s="8"/>
      <c r="Z374" s="8"/>
    </row>
    <row r="375">
      <c r="A375" s="7" t="s">
        <v>600</v>
      </c>
      <c r="B375" s="7" t="s">
        <v>230</v>
      </c>
      <c r="C375" s="7" t="s">
        <v>57</v>
      </c>
      <c r="D375" s="7">
        <v>11.0</v>
      </c>
      <c r="E375" s="8"/>
      <c r="F375" s="8"/>
      <c r="G375" s="8"/>
      <c r="H375" s="8"/>
      <c r="I375" s="8"/>
      <c r="J375" s="9"/>
      <c r="K375" s="8"/>
      <c r="L375" s="8"/>
      <c r="M375" s="8"/>
      <c r="N375" s="8"/>
      <c r="O375" s="8"/>
      <c r="P375" s="8"/>
      <c r="Q375" s="8"/>
      <c r="R375" s="8"/>
      <c r="S375" s="8"/>
      <c r="T375" s="8"/>
      <c r="U375" s="8"/>
      <c r="V375" s="8"/>
      <c r="W375" s="8"/>
      <c r="X375" s="8"/>
      <c r="Y375" s="8"/>
      <c r="Z375" s="8"/>
    </row>
    <row r="376">
      <c r="A376" s="7" t="s">
        <v>601</v>
      </c>
      <c r="B376" s="7" t="s">
        <v>602</v>
      </c>
      <c r="C376" s="7" t="s">
        <v>57</v>
      </c>
      <c r="D376" s="7">
        <v>4.5</v>
      </c>
      <c r="E376" s="8"/>
      <c r="F376" s="8"/>
      <c r="G376" s="8"/>
      <c r="H376" s="8"/>
      <c r="I376" s="8"/>
      <c r="J376" s="9"/>
      <c r="K376" s="8"/>
      <c r="L376" s="8"/>
      <c r="M376" s="8"/>
      <c r="N376" s="8"/>
      <c r="O376" s="8"/>
      <c r="P376" s="8"/>
      <c r="Q376" s="8"/>
      <c r="R376" s="8"/>
      <c r="S376" s="8"/>
      <c r="T376" s="8"/>
      <c r="U376" s="8"/>
      <c r="V376" s="8"/>
      <c r="W376" s="8"/>
      <c r="X376" s="8"/>
      <c r="Y376" s="8"/>
      <c r="Z376" s="8"/>
    </row>
    <row r="377">
      <c r="A377" s="7" t="s">
        <v>603</v>
      </c>
      <c r="B377" s="7" t="s">
        <v>604</v>
      </c>
      <c r="C377" s="7" t="s">
        <v>57</v>
      </c>
      <c r="D377" s="7">
        <v>8.3</v>
      </c>
      <c r="E377" s="8"/>
      <c r="F377" s="8"/>
      <c r="G377" s="8"/>
      <c r="H377" s="8"/>
      <c r="I377" s="8"/>
      <c r="J377" s="9"/>
      <c r="K377" s="8"/>
      <c r="L377" s="8"/>
      <c r="M377" s="8"/>
      <c r="N377" s="8"/>
      <c r="O377" s="8"/>
      <c r="P377" s="8"/>
      <c r="Q377" s="8"/>
      <c r="R377" s="8"/>
      <c r="S377" s="8"/>
      <c r="T377" s="8"/>
      <c r="U377" s="8"/>
      <c r="V377" s="8"/>
      <c r="W377" s="8"/>
      <c r="X377" s="8"/>
      <c r="Y377" s="8"/>
      <c r="Z377" s="8"/>
    </row>
    <row r="378">
      <c r="A378" s="7" t="s">
        <v>605</v>
      </c>
      <c r="B378" s="7" t="s">
        <v>606</v>
      </c>
      <c r="C378" s="7" t="s">
        <v>51</v>
      </c>
      <c r="D378" s="7"/>
      <c r="E378" s="8"/>
      <c r="F378" s="8"/>
      <c r="G378" s="8"/>
      <c r="H378" s="8"/>
      <c r="I378" s="8"/>
      <c r="J378" s="9"/>
      <c r="K378" s="8"/>
      <c r="L378" s="8"/>
      <c r="M378" s="8"/>
      <c r="N378" s="8"/>
      <c r="O378" s="8"/>
      <c r="P378" s="8"/>
      <c r="Q378" s="8"/>
      <c r="R378" s="8"/>
      <c r="S378" s="8"/>
      <c r="T378" s="8"/>
      <c r="U378" s="8"/>
      <c r="V378" s="8"/>
      <c r="W378" s="8"/>
      <c r="X378" s="8"/>
      <c r="Y378" s="8"/>
      <c r="Z378" s="8"/>
    </row>
    <row r="379">
      <c r="A379" s="7" t="s">
        <v>607</v>
      </c>
      <c r="B379" s="7" t="s">
        <v>608</v>
      </c>
      <c r="C379" s="7" t="s">
        <v>51</v>
      </c>
      <c r="D379" s="7"/>
      <c r="E379" s="8"/>
      <c r="F379" s="8"/>
      <c r="G379" s="8"/>
      <c r="H379" s="8"/>
      <c r="I379" s="8"/>
      <c r="J379" s="9"/>
      <c r="K379" s="8"/>
      <c r="L379" s="8"/>
      <c r="M379" s="8"/>
      <c r="N379" s="8"/>
      <c r="O379" s="8"/>
      <c r="P379" s="8"/>
      <c r="Q379" s="8"/>
      <c r="R379" s="8"/>
      <c r="S379" s="8"/>
      <c r="T379" s="8"/>
      <c r="U379" s="8"/>
      <c r="V379" s="8"/>
      <c r="W379" s="8"/>
      <c r="X379" s="8"/>
      <c r="Y379" s="8"/>
      <c r="Z379" s="8"/>
    </row>
    <row r="380">
      <c r="A380" s="7" t="s">
        <v>607</v>
      </c>
      <c r="B380" s="7" t="s">
        <v>609</v>
      </c>
      <c r="C380" s="7" t="s">
        <v>51</v>
      </c>
      <c r="D380" s="7"/>
      <c r="E380" s="8"/>
      <c r="F380" s="8"/>
      <c r="G380" s="8"/>
      <c r="H380" s="8"/>
      <c r="I380" s="8"/>
      <c r="J380" s="9"/>
      <c r="K380" s="8"/>
      <c r="L380" s="8"/>
      <c r="M380" s="8"/>
      <c r="N380" s="8"/>
      <c r="O380" s="8"/>
      <c r="P380" s="8"/>
      <c r="Q380" s="8"/>
      <c r="R380" s="8"/>
      <c r="S380" s="8"/>
      <c r="T380" s="8"/>
      <c r="U380" s="8"/>
      <c r="V380" s="8"/>
      <c r="W380" s="8"/>
      <c r="X380" s="8"/>
      <c r="Y380" s="8"/>
      <c r="Z380" s="8"/>
    </row>
    <row r="381">
      <c r="A381" s="7" t="s">
        <v>610</v>
      </c>
      <c r="B381" s="7" t="s">
        <v>611</v>
      </c>
      <c r="C381" s="7" t="s">
        <v>51</v>
      </c>
      <c r="D381" s="7"/>
      <c r="E381" s="8"/>
      <c r="F381" s="8"/>
      <c r="G381" s="8"/>
      <c r="H381" s="8"/>
      <c r="I381" s="8"/>
      <c r="J381" s="9"/>
      <c r="K381" s="8"/>
      <c r="L381" s="8"/>
      <c r="M381" s="8"/>
      <c r="N381" s="8"/>
      <c r="O381" s="8"/>
      <c r="P381" s="8"/>
      <c r="Q381" s="8"/>
      <c r="R381" s="8"/>
      <c r="S381" s="8"/>
      <c r="T381" s="8"/>
      <c r="U381" s="8"/>
      <c r="V381" s="8"/>
      <c r="W381" s="8"/>
      <c r="X381" s="8"/>
      <c r="Y381" s="8"/>
      <c r="Z381" s="8"/>
    </row>
    <row r="382">
      <c r="A382" s="7" t="s">
        <v>612</v>
      </c>
      <c r="B382" s="7" t="s">
        <v>613</v>
      </c>
      <c r="C382" s="7" t="s">
        <v>51</v>
      </c>
      <c r="D382" s="7">
        <v>8.3</v>
      </c>
      <c r="E382" s="8"/>
      <c r="F382" s="8"/>
      <c r="G382" s="8"/>
      <c r="H382" s="7" t="s">
        <v>614</v>
      </c>
      <c r="I382" s="8"/>
      <c r="J382" s="9"/>
      <c r="K382" s="8"/>
      <c r="L382" s="8"/>
      <c r="M382" s="8"/>
      <c r="N382" s="8"/>
      <c r="O382" s="8"/>
      <c r="P382" s="8"/>
      <c r="Q382" s="8"/>
      <c r="R382" s="8"/>
      <c r="S382" s="8"/>
      <c r="T382" s="8"/>
      <c r="U382" s="8"/>
      <c r="V382" s="8"/>
      <c r="W382" s="8"/>
      <c r="X382" s="8"/>
      <c r="Y382" s="8"/>
      <c r="Z382" s="8"/>
    </row>
    <row r="383">
      <c r="A383" s="14" t="s">
        <v>615</v>
      </c>
      <c r="B383" s="14" t="s">
        <v>616</v>
      </c>
      <c r="C383" s="14">
        <v>26.0</v>
      </c>
      <c r="D383" s="14">
        <v>10.0</v>
      </c>
      <c r="E383" s="15"/>
      <c r="F383" s="15"/>
      <c r="G383" s="15"/>
      <c r="H383" s="15"/>
      <c r="I383" s="15"/>
      <c r="J383" s="16"/>
      <c r="K383" s="15"/>
      <c r="L383" s="15"/>
      <c r="M383" s="15"/>
      <c r="N383" s="15"/>
      <c r="O383" s="15"/>
      <c r="P383" s="15"/>
      <c r="Q383" s="15"/>
      <c r="R383" s="15"/>
      <c r="S383" s="15"/>
      <c r="T383" s="15"/>
      <c r="U383" s="15"/>
      <c r="V383" s="15"/>
      <c r="W383" s="15"/>
      <c r="X383" s="15"/>
      <c r="Y383" s="15"/>
      <c r="Z383" s="15"/>
    </row>
    <row r="384">
      <c r="A384" s="7" t="s">
        <v>615</v>
      </c>
      <c r="B384" s="7" t="s">
        <v>617</v>
      </c>
      <c r="C384" s="7" t="s">
        <v>51</v>
      </c>
      <c r="D384" s="7">
        <v>7.0</v>
      </c>
      <c r="E384" s="8"/>
      <c r="F384" s="8"/>
      <c r="G384" s="8"/>
      <c r="H384" s="8"/>
      <c r="I384" s="8"/>
      <c r="J384" s="9"/>
      <c r="K384" s="8"/>
      <c r="L384" s="8"/>
      <c r="M384" s="8"/>
      <c r="N384" s="8"/>
      <c r="O384" s="8"/>
      <c r="P384" s="8"/>
      <c r="Q384" s="8"/>
      <c r="R384" s="8"/>
      <c r="S384" s="8"/>
      <c r="T384" s="8"/>
      <c r="U384" s="8"/>
      <c r="V384" s="8"/>
      <c r="W384" s="8"/>
      <c r="X384" s="8"/>
      <c r="Y384" s="8"/>
      <c r="Z384" s="8"/>
    </row>
    <row r="385">
      <c r="A385" s="7" t="s">
        <v>618</v>
      </c>
      <c r="B385" s="7" t="s">
        <v>619</v>
      </c>
      <c r="C385" s="7" t="s">
        <v>57</v>
      </c>
      <c r="D385" s="7">
        <v>5.0</v>
      </c>
      <c r="E385" s="8"/>
      <c r="F385" s="8"/>
      <c r="G385" s="8"/>
      <c r="H385" s="8"/>
      <c r="I385" s="8"/>
      <c r="J385" s="9"/>
      <c r="K385" s="8"/>
      <c r="L385" s="8"/>
      <c r="M385" s="8"/>
      <c r="N385" s="8"/>
      <c r="O385" s="8"/>
      <c r="P385" s="8"/>
      <c r="Q385" s="8"/>
      <c r="R385" s="8"/>
      <c r="S385" s="8"/>
      <c r="T385" s="8"/>
      <c r="U385" s="8"/>
      <c r="V385" s="8"/>
      <c r="W385" s="8"/>
      <c r="X385" s="8"/>
      <c r="Y385" s="8"/>
      <c r="Z385" s="8"/>
    </row>
    <row r="386">
      <c r="A386" s="23" t="s">
        <v>615</v>
      </c>
      <c r="B386" s="23" t="s">
        <v>620</v>
      </c>
      <c r="C386" s="23" t="s">
        <v>621</v>
      </c>
      <c r="D386" s="23">
        <v>10.0</v>
      </c>
      <c r="E386" s="24"/>
      <c r="F386" s="24"/>
      <c r="G386" s="24"/>
      <c r="H386" s="23" t="s">
        <v>384</v>
      </c>
      <c r="I386" s="24"/>
      <c r="J386" s="25"/>
      <c r="K386" s="24"/>
      <c r="L386" s="24"/>
      <c r="M386" s="24"/>
      <c r="N386" s="24"/>
      <c r="O386" s="24"/>
      <c r="P386" s="24"/>
      <c r="Q386" s="24"/>
      <c r="R386" s="24"/>
      <c r="S386" s="24"/>
      <c r="T386" s="24"/>
      <c r="U386" s="24"/>
      <c r="V386" s="24"/>
      <c r="W386" s="24"/>
      <c r="X386" s="24"/>
      <c r="Y386" s="24"/>
      <c r="Z386" s="24"/>
    </row>
    <row r="387">
      <c r="A387" s="7" t="s">
        <v>622</v>
      </c>
      <c r="B387" s="7" t="s">
        <v>623</v>
      </c>
      <c r="C387" s="7"/>
      <c r="D387" s="7">
        <v>9.0</v>
      </c>
      <c r="E387" s="8"/>
      <c r="F387" s="8"/>
      <c r="G387" s="8"/>
      <c r="H387" s="8"/>
      <c r="I387" s="8"/>
      <c r="J387" s="9"/>
      <c r="K387" s="8"/>
      <c r="L387" s="8"/>
      <c r="M387" s="8"/>
      <c r="N387" s="8"/>
      <c r="O387" s="8"/>
      <c r="P387" s="8"/>
      <c r="Q387" s="8"/>
      <c r="R387" s="8"/>
      <c r="S387" s="8"/>
      <c r="T387" s="8"/>
      <c r="U387" s="8"/>
      <c r="V387" s="8"/>
      <c r="W387" s="8"/>
      <c r="X387" s="8"/>
      <c r="Y387" s="8"/>
      <c r="Z387" s="8"/>
    </row>
    <row r="388">
      <c r="A388" s="7" t="s">
        <v>624</v>
      </c>
      <c r="B388" s="7" t="s">
        <v>625</v>
      </c>
      <c r="C388" s="7"/>
      <c r="D388" s="7">
        <v>7.3</v>
      </c>
      <c r="E388" s="8"/>
      <c r="F388" s="8"/>
      <c r="G388" s="8"/>
      <c r="H388" s="8"/>
      <c r="I388" s="8"/>
      <c r="J388" s="9"/>
      <c r="K388" s="8"/>
      <c r="L388" s="8"/>
      <c r="M388" s="8"/>
      <c r="N388" s="8"/>
      <c r="O388" s="8"/>
      <c r="P388" s="8"/>
      <c r="Q388" s="8"/>
      <c r="R388" s="8"/>
      <c r="S388" s="8"/>
      <c r="T388" s="8"/>
      <c r="U388" s="8"/>
      <c r="V388" s="8"/>
      <c r="W388" s="8"/>
      <c r="X388" s="8"/>
      <c r="Y388" s="8"/>
      <c r="Z388" s="8"/>
    </row>
    <row r="389">
      <c r="A389" s="7" t="s">
        <v>626</v>
      </c>
      <c r="B389" s="7" t="s">
        <v>627</v>
      </c>
      <c r="C389" s="7" t="s">
        <v>628</v>
      </c>
      <c r="D389" s="7">
        <v>21.0</v>
      </c>
      <c r="E389" s="8"/>
      <c r="F389" s="8"/>
      <c r="G389" s="8"/>
      <c r="H389" s="8"/>
      <c r="I389" s="8"/>
      <c r="J389" s="9"/>
      <c r="K389" s="8"/>
      <c r="L389" s="8"/>
      <c r="M389" s="8"/>
      <c r="N389" s="8"/>
      <c r="O389" s="8"/>
      <c r="P389" s="8"/>
      <c r="Q389" s="8"/>
      <c r="R389" s="8"/>
      <c r="S389" s="8"/>
      <c r="T389" s="8"/>
      <c r="U389" s="8"/>
      <c r="V389" s="8"/>
      <c r="W389" s="8"/>
      <c r="X389" s="8"/>
      <c r="Y389" s="8"/>
      <c r="Z389" s="8"/>
    </row>
    <row r="390">
      <c r="A390" s="7" t="s">
        <v>629</v>
      </c>
      <c r="B390" s="7" t="s">
        <v>630</v>
      </c>
      <c r="C390" s="7" t="s">
        <v>57</v>
      </c>
      <c r="D390" s="7">
        <v>2.5</v>
      </c>
      <c r="E390" s="8"/>
      <c r="F390" s="8"/>
      <c r="G390" s="8"/>
      <c r="H390" s="8"/>
      <c r="I390" s="8"/>
      <c r="J390" s="9"/>
      <c r="K390" s="8"/>
      <c r="L390" s="8"/>
      <c r="M390" s="8"/>
      <c r="N390" s="8"/>
      <c r="O390" s="8"/>
      <c r="P390" s="8"/>
      <c r="Q390" s="8"/>
      <c r="R390" s="8"/>
      <c r="S390" s="8"/>
      <c r="T390" s="8"/>
      <c r="U390" s="8"/>
      <c r="V390" s="8"/>
      <c r="W390" s="8"/>
      <c r="X390" s="8"/>
      <c r="Y390" s="8"/>
      <c r="Z390" s="8"/>
    </row>
    <row r="391">
      <c r="A391" s="10" t="s">
        <v>631</v>
      </c>
      <c r="B391" s="10" t="s">
        <v>632</v>
      </c>
      <c r="C391" s="10" t="s">
        <v>628</v>
      </c>
      <c r="D391" s="10">
        <v>8.0</v>
      </c>
      <c r="E391" s="11"/>
      <c r="F391" s="11"/>
      <c r="G391" s="11"/>
      <c r="H391" s="10" t="s">
        <v>219</v>
      </c>
      <c r="I391" s="11"/>
      <c r="J391" s="12"/>
      <c r="K391" s="11"/>
      <c r="L391" s="11"/>
      <c r="M391" s="11"/>
      <c r="N391" s="11"/>
      <c r="O391" s="11"/>
      <c r="P391" s="11"/>
      <c r="Q391" s="11"/>
      <c r="R391" s="11"/>
      <c r="S391" s="11"/>
      <c r="T391" s="11"/>
      <c r="U391" s="11"/>
      <c r="V391" s="11"/>
      <c r="W391" s="11"/>
      <c r="X391" s="11"/>
      <c r="Y391" s="11"/>
      <c r="Z391" s="11"/>
    </row>
    <row r="392">
      <c r="A392" s="7" t="s">
        <v>631</v>
      </c>
      <c r="B392" s="7" t="s">
        <v>633</v>
      </c>
      <c r="C392" s="7" t="s">
        <v>66</v>
      </c>
      <c r="D392" s="7">
        <v>9.0</v>
      </c>
      <c r="E392" s="8"/>
      <c r="F392" s="8"/>
      <c r="G392" s="8"/>
      <c r="H392" s="8"/>
      <c r="I392" s="8"/>
      <c r="J392" s="9"/>
      <c r="K392" s="8"/>
      <c r="L392" s="8"/>
      <c r="M392" s="8"/>
      <c r="N392" s="8"/>
      <c r="O392" s="8"/>
      <c r="P392" s="8"/>
      <c r="Q392" s="8"/>
      <c r="R392" s="8"/>
      <c r="S392" s="8"/>
      <c r="T392" s="8"/>
      <c r="U392" s="8"/>
      <c r="V392" s="8"/>
      <c r="W392" s="8"/>
      <c r="X392" s="8"/>
      <c r="Y392" s="8"/>
      <c r="Z392" s="8"/>
    </row>
    <row r="393">
      <c r="A393" s="7" t="s">
        <v>631</v>
      </c>
      <c r="B393" s="7" t="s">
        <v>634</v>
      </c>
      <c r="C393" s="7" t="s">
        <v>95</v>
      </c>
      <c r="D393" s="7">
        <v>10.0</v>
      </c>
      <c r="E393" s="8"/>
      <c r="F393" s="8"/>
      <c r="G393" s="8"/>
      <c r="H393" s="8"/>
      <c r="I393" s="8"/>
      <c r="J393" s="9"/>
      <c r="K393" s="8"/>
      <c r="L393" s="8"/>
      <c r="M393" s="8"/>
      <c r="N393" s="8"/>
      <c r="O393" s="8"/>
      <c r="P393" s="8"/>
      <c r="Q393" s="8"/>
      <c r="R393" s="8"/>
      <c r="S393" s="8"/>
      <c r="T393" s="8"/>
      <c r="U393" s="8"/>
      <c r="V393" s="8"/>
      <c r="W393" s="8"/>
      <c r="X393" s="8"/>
      <c r="Y393" s="8"/>
      <c r="Z393" s="8"/>
    </row>
    <row r="394">
      <c r="A394" s="7" t="s">
        <v>631</v>
      </c>
      <c r="B394" s="7" t="s">
        <v>635</v>
      </c>
      <c r="C394" s="7" t="s">
        <v>57</v>
      </c>
      <c r="D394" s="7">
        <v>2.5</v>
      </c>
      <c r="E394" s="8"/>
      <c r="F394" s="8"/>
      <c r="G394" s="8"/>
      <c r="H394" s="8"/>
      <c r="I394" s="8"/>
      <c r="J394" s="9"/>
      <c r="K394" s="8"/>
      <c r="L394" s="8"/>
      <c r="M394" s="8"/>
      <c r="N394" s="8"/>
      <c r="O394" s="8"/>
      <c r="P394" s="8"/>
      <c r="Q394" s="8"/>
      <c r="R394" s="8"/>
      <c r="S394" s="8"/>
      <c r="T394" s="8"/>
      <c r="U394" s="8"/>
      <c r="V394" s="8"/>
      <c r="W394" s="8"/>
      <c r="X394" s="8"/>
      <c r="Y394" s="8"/>
      <c r="Z394" s="8"/>
    </row>
    <row r="395">
      <c r="A395" s="7" t="s">
        <v>631</v>
      </c>
      <c r="B395" s="7" t="s">
        <v>636</v>
      </c>
      <c r="C395" s="7" t="s">
        <v>57</v>
      </c>
      <c r="D395" s="7">
        <v>10.0</v>
      </c>
      <c r="E395" s="8"/>
      <c r="F395" s="8"/>
      <c r="G395" s="8"/>
      <c r="H395" s="8"/>
      <c r="I395" s="8"/>
      <c r="J395" s="9"/>
      <c r="K395" s="8"/>
      <c r="L395" s="8"/>
      <c r="M395" s="8"/>
      <c r="N395" s="8"/>
      <c r="O395" s="8"/>
      <c r="P395" s="8"/>
      <c r="Q395" s="8"/>
      <c r="R395" s="8"/>
      <c r="S395" s="8"/>
      <c r="T395" s="8"/>
      <c r="U395" s="8"/>
      <c r="V395" s="8"/>
      <c r="W395" s="8"/>
      <c r="X395" s="8"/>
      <c r="Y395" s="8"/>
      <c r="Z395" s="8"/>
    </row>
    <row r="396">
      <c r="A396" s="7" t="s">
        <v>631</v>
      </c>
      <c r="B396" s="7" t="s">
        <v>637</v>
      </c>
      <c r="C396" s="7" t="s">
        <v>66</v>
      </c>
      <c r="D396" s="7">
        <v>3.5</v>
      </c>
      <c r="E396" s="8"/>
      <c r="F396" s="8"/>
      <c r="G396" s="8"/>
      <c r="H396" s="8"/>
      <c r="I396" s="8"/>
      <c r="J396" s="9"/>
      <c r="K396" s="8"/>
      <c r="L396" s="8"/>
      <c r="M396" s="8"/>
      <c r="N396" s="8"/>
      <c r="O396" s="8"/>
      <c r="P396" s="8"/>
      <c r="Q396" s="8"/>
      <c r="R396" s="8"/>
      <c r="S396" s="8"/>
      <c r="T396" s="8"/>
      <c r="U396" s="8"/>
      <c r="V396" s="8"/>
      <c r="W396" s="8"/>
      <c r="X396" s="8"/>
      <c r="Y396" s="8"/>
      <c r="Z396" s="8"/>
    </row>
    <row r="397">
      <c r="A397" s="7" t="s">
        <v>638</v>
      </c>
      <c r="B397" s="7" t="s">
        <v>639</v>
      </c>
      <c r="C397" s="7"/>
      <c r="D397" s="7">
        <v>6.5</v>
      </c>
      <c r="E397" s="8"/>
      <c r="F397" s="8"/>
      <c r="G397" s="8"/>
      <c r="H397" s="8"/>
      <c r="I397" s="8"/>
      <c r="J397" s="9"/>
      <c r="K397" s="8"/>
      <c r="L397" s="8"/>
      <c r="M397" s="8"/>
      <c r="N397" s="8"/>
      <c r="O397" s="8"/>
      <c r="P397" s="8"/>
      <c r="Q397" s="8"/>
      <c r="R397" s="8"/>
      <c r="S397" s="8"/>
      <c r="T397" s="8"/>
      <c r="U397" s="8"/>
      <c r="V397" s="8"/>
      <c r="W397" s="8"/>
      <c r="X397" s="8"/>
      <c r="Y397" s="8"/>
      <c r="Z397" s="8"/>
    </row>
    <row r="398">
      <c r="A398" s="7" t="s">
        <v>640</v>
      </c>
      <c r="B398" s="7" t="s">
        <v>641</v>
      </c>
      <c r="C398" s="7">
        <v>0.0</v>
      </c>
      <c r="D398" s="7">
        <v>8.0</v>
      </c>
      <c r="E398" s="8"/>
      <c r="F398" s="8"/>
      <c r="G398" s="8"/>
      <c r="H398" s="8"/>
      <c r="I398" s="8"/>
      <c r="J398" s="9"/>
      <c r="K398" s="8"/>
      <c r="L398" s="8"/>
      <c r="M398" s="8"/>
      <c r="N398" s="8"/>
      <c r="O398" s="8"/>
      <c r="P398" s="8"/>
      <c r="Q398" s="8"/>
      <c r="R398" s="8"/>
      <c r="S398" s="8"/>
      <c r="T398" s="8"/>
      <c r="U398" s="8"/>
      <c r="V398" s="8"/>
      <c r="W398" s="8"/>
      <c r="X398" s="8"/>
      <c r="Y398" s="8"/>
      <c r="Z398" s="8"/>
    </row>
    <row r="399">
      <c r="A399" s="7" t="s">
        <v>640</v>
      </c>
      <c r="B399" s="7" t="s">
        <v>642</v>
      </c>
      <c r="C399" s="7">
        <v>2.0</v>
      </c>
      <c r="D399" s="7">
        <v>5.0</v>
      </c>
      <c r="E399" s="8"/>
      <c r="F399" s="8"/>
      <c r="G399" s="8"/>
      <c r="H399" s="8"/>
      <c r="I399" s="8"/>
      <c r="J399" s="9"/>
      <c r="K399" s="8"/>
      <c r="L399" s="8"/>
      <c r="M399" s="8"/>
      <c r="N399" s="8"/>
      <c r="O399" s="8"/>
      <c r="P399" s="8"/>
      <c r="Q399" s="8"/>
      <c r="R399" s="8"/>
      <c r="S399" s="8"/>
      <c r="T399" s="8"/>
      <c r="U399" s="8"/>
      <c r="V399" s="8"/>
      <c r="W399" s="8"/>
      <c r="X399" s="8"/>
      <c r="Y399" s="8"/>
      <c r="Z399" s="8"/>
    </row>
    <row r="400">
      <c r="A400" s="7" t="s">
        <v>640</v>
      </c>
      <c r="B400" s="7" t="s">
        <v>643</v>
      </c>
      <c r="C400" s="7" t="s">
        <v>644</v>
      </c>
      <c r="D400" s="7">
        <v>9.0</v>
      </c>
      <c r="E400" s="8"/>
      <c r="F400" s="8"/>
      <c r="G400" s="8"/>
      <c r="H400" s="8"/>
      <c r="I400" s="8"/>
      <c r="J400" s="9"/>
      <c r="K400" s="8"/>
      <c r="L400" s="8"/>
      <c r="M400" s="8"/>
      <c r="N400" s="8"/>
      <c r="O400" s="8"/>
      <c r="P400" s="8"/>
      <c r="Q400" s="8"/>
      <c r="R400" s="8"/>
      <c r="S400" s="8"/>
      <c r="T400" s="8"/>
      <c r="U400" s="8"/>
      <c r="V400" s="8"/>
      <c r="W400" s="8"/>
      <c r="X400" s="8"/>
      <c r="Y400" s="8"/>
      <c r="Z400" s="8"/>
    </row>
    <row r="401">
      <c r="A401" s="7" t="s">
        <v>645</v>
      </c>
      <c r="B401" s="7" t="s">
        <v>646</v>
      </c>
      <c r="C401" s="7" t="s">
        <v>57</v>
      </c>
      <c r="D401" s="7">
        <v>10.0</v>
      </c>
      <c r="E401" s="8"/>
      <c r="F401" s="8"/>
      <c r="G401" s="8"/>
      <c r="H401" s="8"/>
      <c r="I401" s="8"/>
      <c r="J401" s="9"/>
      <c r="K401" s="8"/>
      <c r="L401" s="8"/>
      <c r="M401" s="8"/>
      <c r="N401" s="8"/>
      <c r="O401" s="8"/>
      <c r="P401" s="8"/>
      <c r="Q401" s="8"/>
      <c r="R401" s="8"/>
      <c r="S401" s="8"/>
      <c r="T401" s="8"/>
      <c r="U401" s="8"/>
      <c r="V401" s="8"/>
      <c r="W401" s="8"/>
      <c r="X401" s="8"/>
      <c r="Y401" s="8"/>
      <c r="Z401" s="8"/>
    </row>
    <row r="402">
      <c r="A402" s="7" t="s">
        <v>647</v>
      </c>
      <c r="B402" s="7" t="s">
        <v>50</v>
      </c>
      <c r="C402" s="7" t="s">
        <v>57</v>
      </c>
      <c r="D402" s="7">
        <v>10.0</v>
      </c>
      <c r="E402" s="8"/>
      <c r="F402" s="8"/>
      <c r="G402" s="8"/>
      <c r="H402" s="8"/>
      <c r="I402" s="8"/>
      <c r="J402" s="9"/>
      <c r="K402" s="8"/>
      <c r="L402" s="8"/>
      <c r="M402" s="8"/>
      <c r="N402" s="8"/>
      <c r="O402" s="8"/>
      <c r="P402" s="8"/>
      <c r="Q402" s="8"/>
      <c r="R402" s="8"/>
      <c r="S402" s="8"/>
      <c r="T402" s="8"/>
      <c r="U402" s="8"/>
      <c r="V402" s="8"/>
      <c r="W402" s="8"/>
      <c r="X402" s="8"/>
      <c r="Y402" s="8"/>
      <c r="Z402" s="8"/>
    </row>
    <row r="403">
      <c r="A403" s="7" t="s">
        <v>648</v>
      </c>
      <c r="B403" s="7" t="s">
        <v>649</v>
      </c>
      <c r="C403" s="7" t="s">
        <v>51</v>
      </c>
      <c r="D403" s="7">
        <v>4.3</v>
      </c>
      <c r="E403" s="8"/>
      <c r="F403" s="8"/>
      <c r="G403" s="8"/>
      <c r="H403" s="8"/>
      <c r="I403" s="8"/>
      <c r="J403" s="9"/>
      <c r="K403" s="8"/>
      <c r="L403" s="8"/>
      <c r="M403" s="8"/>
      <c r="N403" s="8"/>
      <c r="O403" s="8"/>
      <c r="P403" s="8"/>
      <c r="Q403" s="8"/>
      <c r="R403" s="8"/>
      <c r="S403" s="8"/>
      <c r="T403" s="8"/>
      <c r="U403" s="8"/>
      <c r="V403" s="8"/>
      <c r="W403" s="8"/>
      <c r="X403" s="8"/>
      <c r="Y403" s="8"/>
      <c r="Z403" s="8"/>
    </row>
    <row r="404">
      <c r="A404" s="7" t="s">
        <v>650</v>
      </c>
      <c r="B404" s="7" t="s">
        <v>651</v>
      </c>
      <c r="C404" s="7" t="s">
        <v>66</v>
      </c>
      <c r="D404" s="7">
        <v>6.5</v>
      </c>
      <c r="E404" s="8"/>
      <c r="F404" s="8"/>
      <c r="G404" s="8"/>
      <c r="H404" s="8"/>
      <c r="I404" s="8"/>
      <c r="J404" s="9"/>
      <c r="K404" s="8"/>
      <c r="L404" s="8"/>
      <c r="M404" s="8"/>
      <c r="N404" s="8"/>
      <c r="O404" s="8"/>
      <c r="P404" s="8"/>
      <c r="Q404" s="8"/>
      <c r="R404" s="8"/>
      <c r="S404" s="8"/>
      <c r="T404" s="8"/>
      <c r="U404" s="8"/>
      <c r="V404" s="8"/>
      <c r="W404" s="8"/>
      <c r="X404" s="8"/>
      <c r="Y404" s="8"/>
      <c r="Z404" s="8"/>
    </row>
    <row r="405">
      <c r="A405" s="10" t="s">
        <v>652</v>
      </c>
      <c r="B405" s="10" t="s">
        <v>653</v>
      </c>
      <c r="C405" s="10" t="s">
        <v>51</v>
      </c>
      <c r="D405" s="10">
        <v>7.3</v>
      </c>
      <c r="E405" s="11"/>
      <c r="F405" s="11"/>
      <c r="G405" s="11"/>
      <c r="H405" s="10" t="s">
        <v>155</v>
      </c>
      <c r="I405" s="11"/>
      <c r="J405" s="12"/>
      <c r="K405" s="11"/>
      <c r="L405" s="11"/>
      <c r="M405" s="11"/>
      <c r="N405" s="11"/>
      <c r="O405" s="11"/>
      <c r="P405" s="11"/>
      <c r="Q405" s="11"/>
      <c r="R405" s="11"/>
      <c r="S405" s="11"/>
      <c r="T405" s="11"/>
      <c r="U405" s="11"/>
      <c r="V405" s="11"/>
      <c r="W405" s="11"/>
      <c r="X405" s="11"/>
      <c r="Y405" s="11"/>
      <c r="Z405" s="11"/>
    </row>
    <row r="406">
      <c r="A406" s="7" t="s">
        <v>652</v>
      </c>
      <c r="B406" s="7" t="s">
        <v>418</v>
      </c>
      <c r="C406" s="7">
        <v>9.0</v>
      </c>
      <c r="D406" s="7">
        <v>9.0</v>
      </c>
      <c r="E406" s="7"/>
      <c r="F406" s="7"/>
      <c r="G406" s="8"/>
      <c r="H406" s="7"/>
      <c r="I406" s="7"/>
      <c r="J406" s="9"/>
      <c r="K406" s="8"/>
      <c r="L406" s="8"/>
      <c r="M406" s="8"/>
      <c r="N406" s="8"/>
      <c r="O406" s="8"/>
      <c r="P406" s="8"/>
      <c r="Q406" s="8"/>
      <c r="R406" s="8"/>
      <c r="S406" s="8"/>
      <c r="T406" s="8"/>
      <c r="U406" s="8"/>
      <c r="V406" s="8"/>
      <c r="W406" s="8"/>
      <c r="X406" s="8"/>
      <c r="Y406" s="8"/>
      <c r="Z406" s="8"/>
    </row>
    <row r="407">
      <c r="A407" s="7" t="s">
        <v>652</v>
      </c>
      <c r="B407" s="7" t="s">
        <v>654</v>
      </c>
      <c r="C407" s="7" t="s">
        <v>57</v>
      </c>
      <c r="D407" s="7">
        <v>6.5</v>
      </c>
      <c r="E407" s="7"/>
      <c r="F407" s="7"/>
      <c r="G407" s="8"/>
      <c r="H407" s="7"/>
      <c r="I407" s="7"/>
      <c r="J407" s="9"/>
      <c r="K407" s="8"/>
      <c r="L407" s="8"/>
      <c r="M407" s="8"/>
      <c r="N407" s="8"/>
      <c r="O407" s="8"/>
      <c r="P407" s="8"/>
      <c r="Q407" s="8"/>
      <c r="R407" s="8"/>
      <c r="S407" s="8"/>
      <c r="T407" s="8"/>
      <c r="U407" s="8"/>
      <c r="V407" s="8"/>
      <c r="W407" s="8"/>
      <c r="X407" s="8"/>
      <c r="Y407" s="8"/>
      <c r="Z407" s="8"/>
    </row>
    <row r="408">
      <c r="A408" s="7" t="s">
        <v>652</v>
      </c>
      <c r="B408" s="7" t="s">
        <v>655</v>
      </c>
      <c r="C408" s="7">
        <v>9.0</v>
      </c>
      <c r="D408" s="7">
        <v>8.8</v>
      </c>
      <c r="E408" s="7"/>
      <c r="F408" s="7"/>
      <c r="G408" s="8"/>
      <c r="H408" s="7"/>
      <c r="I408" s="7"/>
      <c r="J408" s="9"/>
      <c r="K408" s="8"/>
      <c r="L408" s="8"/>
      <c r="M408" s="8"/>
      <c r="N408" s="8"/>
      <c r="O408" s="8"/>
      <c r="P408" s="8"/>
      <c r="Q408" s="8"/>
      <c r="R408" s="8"/>
      <c r="S408" s="8"/>
      <c r="T408" s="8"/>
      <c r="U408" s="8"/>
      <c r="V408" s="8"/>
      <c r="W408" s="8"/>
      <c r="X408" s="8"/>
      <c r="Y408" s="8"/>
      <c r="Z408" s="8"/>
    </row>
    <row r="409">
      <c r="A409" s="7" t="s">
        <v>652</v>
      </c>
      <c r="B409" s="7" t="s">
        <v>656</v>
      </c>
      <c r="C409" s="7" t="s">
        <v>51</v>
      </c>
      <c r="D409" s="7">
        <v>3.65</v>
      </c>
      <c r="E409" s="7"/>
      <c r="F409" s="7"/>
      <c r="G409" s="8"/>
      <c r="H409" s="7"/>
      <c r="I409" s="7"/>
      <c r="J409" s="9"/>
      <c r="K409" s="8"/>
      <c r="L409" s="8"/>
      <c r="M409" s="8"/>
      <c r="N409" s="8"/>
      <c r="O409" s="8"/>
      <c r="P409" s="8"/>
      <c r="Q409" s="8"/>
      <c r="R409" s="8"/>
      <c r="S409" s="8"/>
      <c r="T409" s="8"/>
      <c r="U409" s="8"/>
      <c r="V409" s="8"/>
      <c r="W409" s="8"/>
      <c r="X409" s="8"/>
      <c r="Y409" s="8"/>
      <c r="Z409" s="8"/>
    </row>
    <row r="410">
      <c r="A410" s="7" t="s">
        <v>652</v>
      </c>
      <c r="B410" s="7" t="s">
        <v>657</v>
      </c>
      <c r="C410" s="7" t="s">
        <v>51</v>
      </c>
      <c r="D410" s="7">
        <v>7.0</v>
      </c>
      <c r="E410" s="7"/>
      <c r="F410" s="7"/>
      <c r="G410" s="8"/>
      <c r="H410" s="7"/>
      <c r="I410" s="7"/>
      <c r="J410" s="9"/>
      <c r="K410" s="8"/>
      <c r="L410" s="8"/>
      <c r="M410" s="8"/>
      <c r="N410" s="8"/>
      <c r="O410" s="8"/>
      <c r="P410" s="8"/>
      <c r="Q410" s="8"/>
      <c r="R410" s="8"/>
      <c r="S410" s="8"/>
      <c r="T410" s="8"/>
      <c r="U410" s="8"/>
      <c r="V410" s="8"/>
      <c r="W410" s="8"/>
      <c r="X410" s="8"/>
      <c r="Y410" s="8"/>
      <c r="Z410" s="8"/>
    </row>
    <row r="411">
      <c r="A411" s="7" t="s">
        <v>652</v>
      </c>
      <c r="B411" s="7" t="s">
        <v>658</v>
      </c>
      <c r="C411" s="7" t="s">
        <v>57</v>
      </c>
      <c r="D411" s="7">
        <v>3.65</v>
      </c>
      <c r="E411" s="7"/>
      <c r="F411" s="7"/>
      <c r="G411" s="8"/>
      <c r="H411" s="7"/>
      <c r="I411" s="7"/>
      <c r="J411" s="9"/>
      <c r="K411" s="8"/>
      <c r="L411" s="8"/>
      <c r="M411" s="8"/>
      <c r="N411" s="8"/>
      <c r="O411" s="8"/>
      <c r="P411" s="8"/>
      <c r="Q411" s="8"/>
      <c r="R411" s="8"/>
      <c r="S411" s="8"/>
      <c r="T411" s="8"/>
      <c r="U411" s="8"/>
      <c r="V411" s="8"/>
      <c r="W411" s="8"/>
      <c r="X411" s="8"/>
      <c r="Y411" s="8"/>
      <c r="Z411" s="8"/>
    </row>
    <row r="412">
      <c r="A412" s="7" t="s">
        <v>652</v>
      </c>
      <c r="B412" s="7" t="s">
        <v>659</v>
      </c>
      <c r="C412" s="7" t="s">
        <v>66</v>
      </c>
      <c r="D412" s="7">
        <v>5.0</v>
      </c>
      <c r="E412" s="7"/>
      <c r="F412" s="7"/>
      <c r="G412" s="8"/>
      <c r="H412" s="7"/>
      <c r="I412" s="7"/>
      <c r="J412" s="9"/>
      <c r="K412" s="8"/>
      <c r="L412" s="8"/>
      <c r="M412" s="8"/>
      <c r="N412" s="8"/>
      <c r="O412" s="8"/>
      <c r="P412" s="8"/>
      <c r="Q412" s="8"/>
      <c r="R412" s="8"/>
      <c r="S412" s="8"/>
      <c r="T412" s="8"/>
      <c r="U412" s="8"/>
      <c r="V412" s="8"/>
      <c r="W412" s="8"/>
      <c r="X412" s="8"/>
      <c r="Y412" s="8"/>
      <c r="Z412" s="8"/>
    </row>
    <row r="413">
      <c r="A413" s="7" t="s">
        <v>652</v>
      </c>
      <c r="B413" s="7" t="s">
        <v>660</v>
      </c>
      <c r="C413" s="7" t="s">
        <v>66</v>
      </c>
      <c r="D413" s="7">
        <v>2.5</v>
      </c>
      <c r="E413" s="7"/>
      <c r="F413" s="7"/>
      <c r="G413" s="8"/>
      <c r="H413" s="7"/>
      <c r="I413" s="7"/>
      <c r="J413" s="9"/>
      <c r="K413" s="8"/>
      <c r="L413" s="8"/>
      <c r="M413" s="8"/>
      <c r="N413" s="8"/>
      <c r="O413" s="8"/>
      <c r="P413" s="8"/>
      <c r="Q413" s="8"/>
      <c r="R413" s="8"/>
      <c r="S413" s="8"/>
      <c r="T413" s="8"/>
      <c r="U413" s="8"/>
      <c r="V413" s="8"/>
      <c r="W413" s="8"/>
      <c r="X413" s="8"/>
      <c r="Y413" s="8"/>
      <c r="Z413" s="8"/>
    </row>
    <row r="414">
      <c r="A414" s="7" t="s">
        <v>652</v>
      </c>
      <c r="B414" s="7" t="s">
        <v>661</v>
      </c>
      <c r="C414" s="7" t="s">
        <v>57</v>
      </c>
      <c r="D414" s="7">
        <v>3.65</v>
      </c>
      <c r="E414" s="7"/>
      <c r="F414" s="7"/>
      <c r="G414" s="8"/>
      <c r="H414" s="7"/>
      <c r="I414" s="7"/>
      <c r="J414" s="9"/>
      <c r="K414" s="8"/>
      <c r="L414" s="8"/>
      <c r="M414" s="8"/>
      <c r="N414" s="8"/>
      <c r="O414" s="8"/>
      <c r="P414" s="8"/>
      <c r="Q414" s="8"/>
      <c r="R414" s="8"/>
      <c r="S414" s="8"/>
      <c r="T414" s="8"/>
      <c r="U414" s="8"/>
      <c r="V414" s="8"/>
      <c r="W414" s="8"/>
      <c r="X414" s="8"/>
      <c r="Y414" s="8"/>
      <c r="Z414" s="8"/>
    </row>
    <row r="415">
      <c r="A415" s="7" t="s">
        <v>652</v>
      </c>
      <c r="B415" s="7" t="s">
        <v>662</v>
      </c>
      <c r="C415" s="7">
        <v>4.0</v>
      </c>
      <c r="D415" s="7">
        <v>3.0</v>
      </c>
      <c r="E415" s="7"/>
      <c r="F415" s="7"/>
      <c r="G415" s="8"/>
      <c r="H415" s="7"/>
      <c r="I415" s="7"/>
      <c r="J415" s="9"/>
      <c r="K415" s="8"/>
      <c r="L415" s="8"/>
      <c r="M415" s="8"/>
      <c r="N415" s="8"/>
      <c r="O415" s="8"/>
      <c r="P415" s="8"/>
      <c r="Q415" s="8"/>
      <c r="R415" s="8"/>
      <c r="S415" s="8"/>
      <c r="T415" s="8"/>
      <c r="U415" s="8"/>
      <c r="V415" s="8"/>
      <c r="W415" s="8"/>
      <c r="X415" s="8"/>
      <c r="Y415" s="8"/>
      <c r="Z415" s="8"/>
    </row>
    <row r="416">
      <c r="A416" s="7" t="s">
        <v>652</v>
      </c>
      <c r="B416" s="7" t="s">
        <v>663</v>
      </c>
      <c r="C416" s="7">
        <v>6.0</v>
      </c>
      <c r="D416" s="7">
        <v>8.0</v>
      </c>
      <c r="E416" s="7"/>
      <c r="F416" s="7"/>
      <c r="G416" s="8"/>
      <c r="H416" s="7"/>
      <c r="I416" s="7"/>
      <c r="J416" s="9"/>
      <c r="K416" s="8"/>
      <c r="L416" s="8"/>
      <c r="M416" s="8"/>
      <c r="N416" s="8"/>
      <c r="O416" s="8"/>
      <c r="P416" s="8"/>
      <c r="Q416" s="8"/>
      <c r="R416" s="8"/>
      <c r="S416" s="8"/>
      <c r="T416" s="8"/>
      <c r="U416" s="8"/>
      <c r="V416" s="8"/>
      <c r="W416" s="8"/>
      <c r="X416" s="8"/>
      <c r="Y416" s="8"/>
      <c r="Z416" s="8"/>
    </row>
    <row r="417">
      <c r="A417" s="7" t="s">
        <v>652</v>
      </c>
      <c r="B417" s="7" t="s">
        <v>525</v>
      </c>
      <c r="C417" s="7" t="s">
        <v>51</v>
      </c>
      <c r="D417" s="7">
        <v>5.0</v>
      </c>
      <c r="E417" s="7"/>
      <c r="F417" s="7"/>
      <c r="G417" s="8"/>
      <c r="H417" s="7"/>
      <c r="I417" s="7"/>
      <c r="J417" s="9"/>
      <c r="K417" s="8"/>
      <c r="L417" s="8"/>
      <c r="M417" s="8"/>
      <c r="N417" s="8"/>
      <c r="O417" s="8"/>
      <c r="P417" s="8"/>
      <c r="Q417" s="8"/>
      <c r="R417" s="8"/>
      <c r="S417" s="8"/>
      <c r="T417" s="8"/>
      <c r="U417" s="8"/>
      <c r="V417" s="8"/>
      <c r="W417" s="8"/>
      <c r="X417" s="8"/>
      <c r="Y417" s="8"/>
      <c r="Z417" s="8"/>
    </row>
    <row r="418">
      <c r="A418" s="7" t="s">
        <v>652</v>
      </c>
      <c r="B418" s="7" t="s">
        <v>664</v>
      </c>
      <c r="C418" s="7">
        <v>7.5</v>
      </c>
      <c r="D418" s="7">
        <v>4.0</v>
      </c>
      <c r="E418" s="7"/>
      <c r="F418" s="7"/>
      <c r="G418" s="8"/>
      <c r="H418" s="7"/>
      <c r="I418" s="7"/>
      <c r="J418" s="9"/>
      <c r="K418" s="8"/>
      <c r="L418" s="8"/>
      <c r="M418" s="8"/>
      <c r="N418" s="8"/>
      <c r="O418" s="8"/>
      <c r="P418" s="8"/>
      <c r="Q418" s="8"/>
      <c r="R418" s="8"/>
      <c r="S418" s="8"/>
      <c r="T418" s="8"/>
      <c r="U418" s="8"/>
      <c r="V418" s="8"/>
      <c r="W418" s="8"/>
      <c r="X418" s="8"/>
      <c r="Y418" s="8"/>
      <c r="Z418" s="8"/>
    </row>
    <row r="419">
      <c r="A419" s="7" t="s">
        <v>652</v>
      </c>
      <c r="B419" s="7" t="s">
        <v>665</v>
      </c>
      <c r="C419" s="7" t="s">
        <v>57</v>
      </c>
      <c r="D419" s="7">
        <v>5.0</v>
      </c>
      <c r="E419" s="7"/>
      <c r="F419" s="7"/>
      <c r="G419" s="8"/>
      <c r="H419" s="7"/>
      <c r="I419" s="7"/>
      <c r="J419" s="9"/>
      <c r="K419" s="8"/>
      <c r="L419" s="8"/>
      <c r="M419" s="8"/>
      <c r="N419" s="8"/>
      <c r="O419" s="8"/>
      <c r="P419" s="8"/>
      <c r="Q419" s="8"/>
      <c r="R419" s="8"/>
      <c r="S419" s="8"/>
      <c r="T419" s="8"/>
      <c r="U419" s="8"/>
      <c r="V419" s="8"/>
      <c r="W419" s="8"/>
      <c r="X419" s="8"/>
      <c r="Y419" s="8"/>
      <c r="Z419" s="8"/>
    </row>
    <row r="420">
      <c r="A420" s="7" t="s">
        <v>652</v>
      </c>
      <c r="B420" s="7" t="s">
        <v>666</v>
      </c>
      <c r="C420" s="7">
        <v>7.0</v>
      </c>
      <c r="D420" s="7">
        <v>4.5</v>
      </c>
      <c r="E420" s="7"/>
      <c r="F420" s="7"/>
      <c r="G420" s="8"/>
      <c r="H420" s="7"/>
      <c r="I420" s="7"/>
      <c r="J420" s="9"/>
      <c r="K420" s="8"/>
      <c r="L420" s="8"/>
      <c r="M420" s="8"/>
      <c r="N420" s="8"/>
      <c r="O420" s="8"/>
      <c r="P420" s="8"/>
      <c r="Q420" s="8"/>
      <c r="R420" s="8"/>
      <c r="S420" s="8"/>
      <c r="T420" s="8"/>
      <c r="U420" s="8"/>
      <c r="V420" s="8"/>
      <c r="W420" s="8"/>
      <c r="X420" s="8"/>
      <c r="Y420" s="8"/>
      <c r="Z420" s="8"/>
    </row>
    <row r="421">
      <c r="A421" s="7" t="s">
        <v>652</v>
      </c>
      <c r="B421" s="7" t="s">
        <v>667</v>
      </c>
      <c r="C421" s="7" t="s">
        <v>120</v>
      </c>
      <c r="D421" s="7">
        <v>5.0</v>
      </c>
      <c r="E421" s="7"/>
      <c r="F421" s="7"/>
      <c r="G421" s="8"/>
      <c r="H421" s="7"/>
      <c r="I421" s="7"/>
      <c r="J421" s="9"/>
      <c r="K421" s="8"/>
      <c r="L421" s="8"/>
      <c r="M421" s="8"/>
      <c r="N421" s="8"/>
      <c r="O421" s="8"/>
      <c r="P421" s="8"/>
      <c r="Q421" s="8"/>
      <c r="R421" s="8"/>
      <c r="S421" s="8"/>
      <c r="T421" s="8"/>
      <c r="U421" s="8"/>
      <c r="V421" s="8"/>
      <c r="W421" s="8"/>
      <c r="X421" s="8"/>
      <c r="Y421" s="8"/>
      <c r="Z421" s="8"/>
    </row>
    <row r="422">
      <c r="A422" s="7" t="s">
        <v>652</v>
      </c>
      <c r="B422" s="7" t="s">
        <v>668</v>
      </c>
      <c r="C422" s="7" t="s">
        <v>120</v>
      </c>
      <c r="D422" s="7">
        <v>5.0</v>
      </c>
      <c r="E422" s="7"/>
      <c r="F422" s="7"/>
      <c r="G422" s="8"/>
      <c r="H422" s="7"/>
      <c r="I422" s="7"/>
      <c r="J422" s="9"/>
      <c r="K422" s="8"/>
      <c r="L422" s="8"/>
      <c r="M422" s="8"/>
      <c r="N422" s="8"/>
      <c r="O422" s="8"/>
      <c r="P422" s="8"/>
      <c r="Q422" s="8"/>
      <c r="R422" s="8"/>
      <c r="S422" s="8"/>
      <c r="T422" s="8"/>
      <c r="U422" s="8"/>
      <c r="V422" s="8"/>
      <c r="W422" s="8"/>
      <c r="X422" s="8"/>
      <c r="Y422" s="8"/>
      <c r="Z422" s="8"/>
    </row>
    <row r="423">
      <c r="A423" s="7" t="s">
        <v>652</v>
      </c>
      <c r="B423" s="7" t="s">
        <v>669</v>
      </c>
      <c r="C423" s="7" t="s">
        <v>120</v>
      </c>
      <c r="D423" s="7">
        <v>5.0</v>
      </c>
      <c r="E423" s="7"/>
      <c r="F423" s="7"/>
      <c r="G423" s="8"/>
      <c r="H423" s="7"/>
      <c r="I423" s="7"/>
      <c r="J423" s="9"/>
      <c r="K423" s="8"/>
      <c r="L423" s="8"/>
      <c r="M423" s="8"/>
      <c r="N423" s="8"/>
      <c r="O423" s="8"/>
      <c r="P423" s="8"/>
      <c r="Q423" s="8"/>
      <c r="R423" s="8"/>
      <c r="S423" s="8"/>
      <c r="T423" s="8"/>
      <c r="U423" s="8"/>
      <c r="V423" s="8"/>
      <c r="W423" s="8"/>
      <c r="X423" s="8"/>
      <c r="Y423" s="8"/>
      <c r="Z423" s="8"/>
    </row>
    <row r="424">
      <c r="A424" s="7" t="s">
        <v>652</v>
      </c>
      <c r="B424" s="7" t="s">
        <v>670</v>
      </c>
      <c r="C424" s="7" t="s">
        <v>51</v>
      </c>
      <c r="D424" s="7">
        <v>9.0</v>
      </c>
      <c r="E424" s="7"/>
      <c r="F424" s="7"/>
      <c r="G424" s="8"/>
      <c r="H424" s="7"/>
      <c r="I424" s="7"/>
      <c r="J424" s="9"/>
      <c r="K424" s="8"/>
      <c r="L424" s="8"/>
      <c r="M424" s="8"/>
      <c r="N424" s="8"/>
      <c r="O424" s="8"/>
      <c r="P424" s="8"/>
      <c r="Q424" s="8"/>
      <c r="R424" s="8"/>
      <c r="S424" s="8"/>
      <c r="T424" s="8"/>
      <c r="U424" s="8"/>
      <c r="V424" s="8"/>
      <c r="W424" s="8"/>
      <c r="X424" s="8"/>
      <c r="Y424" s="8"/>
      <c r="Z424" s="8"/>
    </row>
    <row r="425">
      <c r="A425" s="7" t="s">
        <v>652</v>
      </c>
      <c r="B425" s="7" t="s">
        <v>671</v>
      </c>
      <c r="C425" s="7" t="s">
        <v>51</v>
      </c>
      <c r="D425" s="7">
        <v>10.0</v>
      </c>
      <c r="E425" s="7"/>
      <c r="F425" s="7"/>
      <c r="G425" s="8"/>
      <c r="H425" s="7"/>
      <c r="I425" s="7"/>
      <c r="J425" s="9"/>
      <c r="K425" s="8"/>
      <c r="L425" s="8"/>
      <c r="M425" s="8"/>
      <c r="N425" s="8"/>
      <c r="O425" s="8"/>
      <c r="P425" s="8"/>
      <c r="Q425" s="8"/>
      <c r="R425" s="8"/>
      <c r="S425" s="8"/>
      <c r="T425" s="8"/>
      <c r="U425" s="8"/>
      <c r="V425" s="8"/>
      <c r="W425" s="8"/>
      <c r="X425" s="8"/>
      <c r="Y425" s="8"/>
      <c r="Z425" s="8"/>
    </row>
    <row r="426">
      <c r="A426" s="7" t="s">
        <v>652</v>
      </c>
      <c r="B426" s="7" t="s">
        <v>672</v>
      </c>
      <c r="C426" s="7">
        <v>7.5</v>
      </c>
      <c r="D426" s="7">
        <v>14.5</v>
      </c>
      <c r="E426" s="7"/>
      <c r="F426" s="7"/>
      <c r="G426" s="8"/>
      <c r="H426" s="7"/>
      <c r="I426" s="7"/>
      <c r="J426" s="9"/>
      <c r="K426" s="8"/>
      <c r="L426" s="8"/>
      <c r="M426" s="8"/>
      <c r="N426" s="8"/>
      <c r="O426" s="8"/>
      <c r="P426" s="8"/>
      <c r="Q426" s="8"/>
      <c r="R426" s="8"/>
      <c r="S426" s="8"/>
      <c r="T426" s="8"/>
      <c r="U426" s="8"/>
      <c r="V426" s="8"/>
      <c r="W426" s="8"/>
      <c r="X426" s="8"/>
      <c r="Y426" s="8"/>
      <c r="Z426" s="8"/>
    </row>
    <row r="427">
      <c r="A427" s="7" t="s">
        <v>652</v>
      </c>
      <c r="B427" s="7" t="s">
        <v>673</v>
      </c>
      <c r="C427" s="7" t="s">
        <v>51</v>
      </c>
      <c r="D427" s="7">
        <v>3.65</v>
      </c>
      <c r="E427" s="8"/>
      <c r="F427" s="8"/>
      <c r="G427" s="8"/>
      <c r="H427" s="7"/>
      <c r="I427" s="7"/>
      <c r="J427" s="9"/>
      <c r="K427" s="8"/>
      <c r="L427" s="8"/>
      <c r="M427" s="8"/>
      <c r="N427" s="8"/>
      <c r="O427" s="8"/>
      <c r="P427" s="8"/>
      <c r="Q427" s="8"/>
      <c r="R427" s="8"/>
      <c r="S427" s="8"/>
      <c r="T427" s="8"/>
      <c r="U427" s="8"/>
      <c r="V427" s="8"/>
      <c r="W427" s="8"/>
      <c r="X427" s="8"/>
      <c r="Y427" s="8"/>
      <c r="Z427" s="8"/>
    </row>
    <row r="428">
      <c r="A428" s="7" t="s">
        <v>652</v>
      </c>
      <c r="B428" s="7" t="s">
        <v>674</v>
      </c>
      <c r="C428" s="7" t="s">
        <v>51</v>
      </c>
      <c r="D428" s="7">
        <v>5.5</v>
      </c>
      <c r="E428" s="8"/>
      <c r="F428" s="8"/>
      <c r="G428" s="8"/>
      <c r="H428" s="7"/>
      <c r="I428" s="7"/>
      <c r="J428" s="9"/>
      <c r="K428" s="8"/>
      <c r="L428" s="8"/>
      <c r="M428" s="8"/>
      <c r="N428" s="8"/>
      <c r="O428" s="8"/>
      <c r="P428" s="8"/>
      <c r="Q428" s="8"/>
      <c r="R428" s="8"/>
      <c r="S428" s="8"/>
      <c r="T428" s="8"/>
      <c r="U428" s="8"/>
      <c r="V428" s="8"/>
      <c r="W428" s="8"/>
      <c r="X428" s="8"/>
      <c r="Y428" s="8"/>
      <c r="Z428" s="8"/>
    </row>
    <row r="429">
      <c r="A429" s="7" t="s">
        <v>652</v>
      </c>
      <c r="B429" s="7" t="s">
        <v>675</v>
      </c>
      <c r="C429" s="7" t="s">
        <v>51</v>
      </c>
      <c r="D429" s="7">
        <v>3.65</v>
      </c>
      <c r="E429" s="8"/>
      <c r="F429" s="8"/>
      <c r="G429" s="8"/>
      <c r="H429" s="7"/>
      <c r="I429" s="7"/>
      <c r="J429" s="9"/>
      <c r="K429" s="8"/>
      <c r="L429" s="8"/>
      <c r="M429" s="8"/>
      <c r="N429" s="8"/>
      <c r="O429" s="8"/>
      <c r="P429" s="8"/>
      <c r="Q429" s="8"/>
      <c r="R429" s="8"/>
      <c r="S429" s="8"/>
      <c r="T429" s="8"/>
      <c r="U429" s="8"/>
      <c r="V429" s="8"/>
      <c r="W429" s="8"/>
      <c r="X429" s="8"/>
      <c r="Y429" s="8"/>
      <c r="Z429" s="8"/>
    </row>
    <row r="430">
      <c r="A430" s="7" t="s">
        <v>652</v>
      </c>
      <c r="B430" s="7" t="s">
        <v>676</v>
      </c>
      <c r="C430" s="7">
        <v>4.0</v>
      </c>
      <c r="D430" s="7">
        <v>5.0</v>
      </c>
      <c r="E430" s="8"/>
      <c r="F430" s="8"/>
      <c r="G430" s="8"/>
      <c r="H430" s="7"/>
      <c r="I430" s="7"/>
      <c r="J430" s="9"/>
      <c r="K430" s="8"/>
      <c r="L430" s="8"/>
      <c r="M430" s="8"/>
      <c r="N430" s="8"/>
      <c r="O430" s="8"/>
      <c r="P430" s="8"/>
      <c r="Q430" s="8"/>
      <c r="R430" s="8"/>
      <c r="S430" s="8"/>
      <c r="T430" s="8"/>
      <c r="U430" s="8"/>
      <c r="V430" s="8"/>
      <c r="W430" s="8"/>
      <c r="X430" s="8"/>
      <c r="Y430" s="8"/>
      <c r="Z430" s="8"/>
    </row>
    <row r="431">
      <c r="A431" s="7" t="s">
        <v>652</v>
      </c>
      <c r="B431" s="7" t="s">
        <v>677</v>
      </c>
      <c r="C431" s="7">
        <v>2.0</v>
      </c>
      <c r="D431" s="7">
        <v>10.0</v>
      </c>
      <c r="E431" s="8"/>
      <c r="F431" s="8"/>
      <c r="G431" s="8"/>
      <c r="H431" s="7"/>
      <c r="I431" s="7"/>
      <c r="J431" s="9"/>
      <c r="K431" s="8"/>
      <c r="L431" s="8"/>
      <c r="M431" s="8"/>
      <c r="N431" s="8"/>
      <c r="O431" s="8"/>
      <c r="P431" s="8"/>
      <c r="Q431" s="8"/>
      <c r="R431" s="8"/>
      <c r="S431" s="8"/>
      <c r="T431" s="8"/>
      <c r="U431" s="8"/>
      <c r="V431" s="8"/>
      <c r="W431" s="8"/>
      <c r="X431" s="8"/>
      <c r="Y431" s="8"/>
      <c r="Z431" s="8"/>
    </row>
    <row r="432">
      <c r="A432" s="7" t="s">
        <v>652</v>
      </c>
      <c r="B432" s="7" t="s">
        <v>678</v>
      </c>
      <c r="C432" s="7" t="s">
        <v>57</v>
      </c>
      <c r="D432" s="7">
        <v>5.5</v>
      </c>
      <c r="E432" s="8"/>
      <c r="F432" s="8"/>
      <c r="G432" s="8"/>
      <c r="H432" s="7"/>
      <c r="I432" s="7"/>
      <c r="J432" s="9"/>
      <c r="K432" s="8"/>
      <c r="L432" s="8"/>
      <c r="M432" s="8"/>
      <c r="N432" s="8"/>
      <c r="O432" s="8"/>
      <c r="P432" s="8"/>
      <c r="Q432" s="8"/>
      <c r="R432" s="8"/>
      <c r="S432" s="8"/>
      <c r="T432" s="8"/>
      <c r="U432" s="8"/>
      <c r="V432" s="8"/>
      <c r="W432" s="8"/>
      <c r="X432" s="8"/>
      <c r="Y432" s="8"/>
      <c r="Z432" s="8"/>
    </row>
    <row r="433">
      <c r="A433" s="7" t="s">
        <v>652</v>
      </c>
      <c r="B433" s="7" t="s">
        <v>679</v>
      </c>
      <c r="C433" s="7" t="s">
        <v>66</v>
      </c>
      <c r="D433" s="7">
        <v>4.25</v>
      </c>
      <c r="E433" s="8"/>
      <c r="F433" s="8"/>
      <c r="G433" s="8"/>
      <c r="H433" s="7"/>
      <c r="I433" s="7"/>
      <c r="J433" s="9"/>
      <c r="K433" s="8"/>
      <c r="L433" s="8"/>
      <c r="M433" s="8"/>
      <c r="N433" s="8"/>
      <c r="O433" s="8"/>
      <c r="P433" s="8"/>
      <c r="Q433" s="8"/>
      <c r="R433" s="8"/>
      <c r="S433" s="8"/>
      <c r="T433" s="8"/>
      <c r="U433" s="8"/>
      <c r="V433" s="8"/>
      <c r="W433" s="8"/>
      <c r="X433" s="8"/>
      <c r="Y433" s="8"/>
      <c r="Z433" s="8"/>
    </row>
    <row r="434">
      <c r="A434" s="7" t="s">
        <v>652</v>
      </c>
      <c r="B434" s="7" t="s">
        <v>680</v>
      </c>
      <c r="C434" s="7" t="s">
        <v>51</v>
      </c>
      <c r="D434" s="7">
        <v>4.5</v>
      </c>
      <c r="E434" s="8"/>
      <c r="F434" s="8"/>
      <c r="G434" s="8"/>
      <c r="H434" s="7"/>
      <c r="I434" s="7"/>
      <c r="J434" s="9"/>
      <c r="K434" s="8"/>
      <c r="L434" s="8"/>
      <c r="M434" s="8"/>
      <c r="N434" s="8"/>
      <c r="O434" s="8"/>
      <c r="P434" s="8"/>
      <c r="Q434" s="8"/>
      <c r="R434" s="8"/>
      <c r="S434" s="8"/>
      <c r="T434" s="8"/>
      <c r="U434" s="8"/>
      <c r="V434" s="8"/>
      <c r="W434" s="8"/>
      <c r="X434" s="8"/>
      <c r="Y434" s="8"/>
      <c r="Z434" s="8"/>
    </row>
    <row r="435">
      <c r="A435" s="7" t="s">
        <v>652</v>
      </c>
      <c r="B435" s="7" t="s">
        <v>681</v>
      </c>
      <c r="C435" s="7" t="s">
        <v>66</v>
      </c>
      <c r="D435" s="7">
        <v>5.0</v>
      </c>
      <c r="E435" s="8"/>
      <c r="F435" s="8"/>
      <c r="G435" s="8"/>
      <c r="H435" s="7"/>
      <c r="I435" s="7"/>
      <c r="J435" s="9"/>
      <c r="K435" s="8"/>
      <c r="L435" s="8"/>
      <c r="M435" s="8"/>
      <c r="N435" s="8"/>
      <c r="O435" s="8"/>
      <c r="P435" s="8"/>
      <c r="Q435" s="8"/>
      <c r="R435" s="8"/>
      <c r="S435" s="8"/>
      <c r="T435" s="8"/>
      <c r="U435" s="8"/>
      <c r="V435" s="8"/>
      <c r="W435" s="8"/>
      <c r="X435" s="8"/>
      <c r="Y435" s="8"/>
      <c r="Z435" s="8"/>
    </row>
    <row r="436">
      <c r="A436" s="7" t="s">
        <v>652</v>
      </c>
      <c r="B436" s="7" t="s">
        <v>682</v>
      </c>
      <c r="C436" s="7" t="s">
        <v>57</v>
      </c>
      <c r="D436" s="7">
        <v>5.0</v>
      </c>
      <c r="E436" s="8"/>
      <c r="F436" s="8"/>
      <c r="G436" s="8"/>
      <c r="H436" s="7"/>
      <c r="I436" s="7"/>
      <c r="J436" s="9"/>
      <c r="K436" s="8"/>
      <c r="L436" s="8"/>
      <c r="M436" s="8"/>
      <c r="N436" s="8"/>
      <c r="O436" s="8"/>
      <c r="P436" s="8"/>
      <c r="Q436" s="8"/>
      <c r="R436" s="8"/>
      <c r="S436" s="8"/>
      <c r="T436" s="8"/>
      <c r="U436" s="8"/>
      <c r="V436" s="8"/>
      <c r="W436" s="8"/>
      <c r="X436" s="8"/>
      <c r="Y436" s="8"/>
      <c r="Z436" s="8"/>
    </row>
    <row r="437">
      <c r="A437" s="7" t="s">
        <v>652</v>
      </c>
      <c r="B437" s="7" t="s">
        <v>683</v>
      </c>
      <c r="C437" s="7" t="s">
        <v>51</v>
      </c>
      <c r="D437" s="7">
        <v>3.65</v>
      </c>
      <c r="E437" s="8"/>
      <c r="F437" s="8"/>
      <c r="G437" s="8"/>
      <c r="H437" s="7"/>
      <c r="I437" s="7"/>
      <c r="J437" s="9"/>
      <c r="K437" s="8"/>
      <c r="L437" s="8"/>
      <c r="M437" s="8"/>
      <c r="N437" s="8"/>
      <c r="O437" s="8"/>
      <c r="P437" s="8"/>
      <c r="Q437" s="8"/>
      <c r="R437" s="8"/>
      <c r="S437" s="8"/>
      <c r="T437" s="8"/>
      <c r="U437" s="8"/>
      <c r="V437" s="8"/>
      <c r="W437" s="8"/>
      <c r="X437" s="8"/>
      <c r="Y437" s="8"/>
      <c r="Z437" s="8"/>
    </row>
    <row r="438">
      <c r="A438" s="7" t="s">
        <v>652</v>
      </c>
      <c r="B438" s="7" t="s">
        <v>684</v>
      </c>
      <c r="C438" s="7" t="s">
        <v>51</v>
      </c>
      <c r="D438" s="7">
        <v>6.0</v>
      </c>
      <c r="E438" s="8"/>
      <c r="F438" s="8"/>
      <c r="G438" s="8"/>
      <c r="H438" s="7"/>
      <c r="I438" s="7"/>
      <c r="J438" s="9"/>
      <c r="K438" s="8"/>
      <c r="L438" s="8"/>
      <c r="M438" s="8"/>
      <c r="N438" s="8"/>
      <c r="O438" s="8"/>
      <c r="P438" s="8"/>
      <c r="Q438" s="8"/>
      <c r="R438" s="8"/>
      <c r="S438" s="8"/>
      <c r="T438" s="8"/>
      <c r="U438" s="8"/>
      <c r="V438" s="8"/>
      <c r="W438" s="8"/>
      <c r="X438" s="8"/>
      <c r="Y438" s="8"/>
      <c r="Z438" s="8"/>
    </row>
    <row r="439">
      <c r="A439" s="7" t="s">
        <v>652</v>
      </c>
      <c r="B439" s="7" t="s">
        <v>685</v>
      </c>
      <c r="C439" s="7" t="s">
        <v>57</v>
      </c>
      <c r="D439" s="7">
        <v>9.0</v>
      </c>
      <c r="E439" s="8"/>
      <c r="F439" s="8"/>
      <c r="G439" s="8"/>
      <c r="H439" s="7"/>
      <c r="I439" s="7"/>
      <c r="J439" s="9"/>
      <c r="K439" s="8"/>
      <c r="L439" s="8"/>
      <c r="M439" s="8"/>
      <c r="N439" s="8"/>
      <c r="O439" s="8"/>
      <c r="P439" s="8"/>
      <c r="Q439" s="8"/>
      <c r="R439" s="8"/>
      <c r="S439" s="8"/>
      <c r="T439" s="8"/>
      <c r="U439" s="8"/>
      <c r="V439" s="8"/>
      <c r="W439" s="8"/>
      <c r="X439" s="8"/>
      <c r="Y439" s="8"/>
      <c r="Z439" s="8"/>
    </row>
    <row r="440">
      <c r="A440" s="7" t="s">
        <v>652</v>
      </c>
      <c r="B440" s="7" t="s">
        <v>686</v>
      </c>
      <c r="C440" s="7" t="s">
        <v>120</v>
      </c>
      <c r="D440" s="7">
        <v>9.0</v>
      </c>
      <c r="E440" s="8"/>
      <c r="F440" s="8"/>
      <c r="G440" s="8"/>
      <c r="H440" s="7"/>
      <c r="I440" s="7" t="s">
        <v>687</v>
      </c>
      <c r="J440" s="9"/>
      <c r="K440" s="8"/>
      <c r="L440" s="8"/>
      <c r="M440" s="8"/>
      <c r="N440" s="8"/>
      <c r="O440" s="8"/>
      <c r="P440" s="8"/>
      <c r="Q440" s="8"/>
      <c r="R440" s="8"/>
      <c r="S440" s="8"/>
      <c r="T440" s="8"/>
      <c r="U440" s="8"/>
      <c r="V440" s="8"/>
      <c r="W440" s="8"/>
      <c r="X440" s="8"/>
      <c r="Y440" s="8"/>
      <c r="Z440" s="8"/>
    </row>
    <row r="441">
      <c r="A441" s="7" t="s">
        <v>652</v>
      </c>
      <c r="B441" s="7" t="s">
        <v>688</v>
      </c>
      <c r="C441" s="7" t="s">
        <v>120</v>
      </c>
      <c r="D441" s="7">
        <v>6.0</v>
      </c>
      <c r="E441" s="8"/>
      <c r="F441" s="8"/>
      <c r="G441" s="8"/>
      <c r="H441" s="7"/>
      <c r="I441" s="22" t="s">
        <v>689</v>
      </c>
      <c r="J441" s="9"/>
      <c r="K441" s="8"/>
      <c r="L441" s="8"/>
      <c r="M441" s="8"/>
      <c r="N441" s="8"/>
      <c r="O441" s="8"/>
      <c r="P441" s="8"/>
      <c r="Q441" s="8"/>
      <c r="R441" s="8"/>
      <c r="S441" s="8"/>
      <c r="T441" s="8"/>
      <c r="U441" s="8"/>
      <c r="V441" s="8"/>
      <c r="W441" s="8"/>
      <c r="X441" s="8"/>
      <c r="Y441" s="8"/>
      <c r="Z441" s="8"/>
    </row>
    <row r="442">
      <c r="A442" s="7" t="s">
        <v>652</v>
      </c>
      <c r="B442" s="7" t="s">
        <v>690</v>
      </c>
      <c r="C442" s="7" t="s">
        <v>51</v>
      </c>
      <c r="D442" s="7">
        <v>6.0</v>
      </c>
      <c r="E442" s="8"/>
      <c r="F442" s="8"/>
      <c r="G442" s="8"/>
      <c r="H442" s="7"/>
      <c r="I442" s="8"/>
      <c r="J442" s="9"/>
      <c r="K442" s="8"/>
      <c r="L442" s="8"/>
      <c r="M442" s="8"/>
      <c r="N442" s="8"/>
      <c r="O442" s="8"/>
      <c r="P442" s="8"/>
      <c r="Q442" s="8"/>
      <c r="R442" s="8"/>
      <c r="S442" s="8"/>
      <c r="T442" s="8"/>
      <c r="U442" s="8"/>
      <c r="V442" s="8"/>
      <c r="W442" s="8"/>
      <c r="X442" s="8"/>
      <c r="Y442" s="8"/>
      <c r="Z442" s="8"/>
    </row>
    <row r="443">
      <c r="A443" s="7" t="s">
        <v>652</v>
      </c>
      <c r="B443" s="7" t="s">
        <v>691</v>
      </c>
      <c r="C443" s="7" t="s">
        <v>66</v>
      </c>
      <c r="D443" s="7">
        <v>9.0</v>
      </c>
      <c r="E443" s="8"/>
      <c r="F443" s="8"/>
      <c r="G443" s="8"/>
      <c r="H443" s="7"/>
      <c r="I443" s="8"/>
      <c r="J443" s="9"/>
      <c r="K443" s="8"/>
      <c r="L443" s="8"/>
      <c r="M443" s="8"/>
      <c r="N443" s="8"/>
      <c r="O443" s="8"/>
      <c r="P443" s="8"/>
      <c r="Q443" s="8"/>
      <c r="R443" s="8"/>
      <c r="S443" s="8"/>
      <c r="T443" s="8"/>
      <c r="U443" s="8"/>
      <c r="V443" s="8"/>
      <c r="W443" s="8"/>
      <c r="X443" s="8"/>
      <c r="Y443" s="8"/>
      <c r="Z443" s="8"/>
    </row>
    <row r="444">
      <c r="A444" s="7" t="s">
        <v>652</v>
      </c>
      <c r="B444" s="7" t="s">
        <v>692</v>
      </c>
      <c r="C444" s="7" t="s">
        <v>57</v>
      </c>
      <c r="D444" s="7">
        <v>10.0</v>
      </c>
      <c r="E444" s="8"/>
      <c r="F444" s="8"/>
      <c r="G444" s="8"/>
      <c r="H444" s="7"/>
      <c r="I444" s="8"/>
      <c r="J444" s="9"/>
      <c r="K444" s="8"/>
      <c r="L444" s="8"/>
      <c r="M444" s="8"/>
      <c r="N444" s="8"/>
      <c r="O444" s="8"/>
      <c r="P444" s="8"/>
      <c r="Q444" s="8"/>
      <c r="R444" s="8"/>
      <c r="S444" s="8"/>
      <c r="T444" s="8"/>
      <c r="U444" s="8"/>
      <c r="V444" s="8"/>
      <c r="W444" s="8"/>
      <c r="X444" s="8"/>
      <c r="Y444" s="8"/>
      <c r="Z444" s="8"/>
    </row>
    <row r="445">
      <c r="A445" s="7" t="s">
        <v>652</v>
      </c>
      <c r="B445" s="7" t="s">
        <v>693</v>
      </c>
      <c r="C445" s="7" t="s">
        <v>66</v>
      </c>
      <c r="D445" s="7">
        <v>6.0</v>
      </c>
      <c r="E445" s="8"/>
      <c r="F445" s="8"/>
      <c r="G445" s="8"/>
      <c r="H445" s="7"/>
      <c r="I445" s="8"/>
      <c r="J445" s="9"/>
      <c r="K445" s="8"/>
      <c r="L445" s="8"/>
      <c r="M445" s="8"/>
      <c r="N445" s="8"/>
      <c r="O445" s="8"/>
      <c r="P445" s="8"/>
      <c r="Q445" s="8"/>
      <c r="R445" s="8"/>
      <c r="S445" s="8"/>
      <c r="T445" s="8"/>
      <c r="U445" s="8"/>
      <c r="V445" s="8"/>
      <c r="W445" s="8"/>
      <c r="X445" s="8"/>
      <c r="Y445" s="8"/>
      <c r="Z445" s="8"/>
    </row>
    <row r="446">
      <c r="A446" s="7" t="s">
        <v>652</v>
      </c>
      <c r="B446" s="7" t="s">
        <v>694</v>
      </c>
      <c r="C446" s="7" t="s">
        <v>66</v>
      </c>
      <c r="D446" s="7">
        <v>6.0</v>
      </c>
      <c r="E446" s="8"/>
      <c r="F446" s="8"/>
      <c r="G446" s="8"/>
      <c r="H446" s="7"/>
      <c r="I446" s="8"/>
      <c r="J446" s="9"/>
      <c r="K446" s="8"/>
      <c r="L446" s="8"/>
      <c r="M446" s="8"/>
      <c r="N446" s="8"/>
      <c r="O446" s="8"/>
      <c r="P446" s="8"/>
      <c r="Q446" s="8"/>
      <c r="R446" s="8"/>
      <c r="S446" s="8"/>
      <c r="T446" s="8"/>
      <c r="U446" s="8"/>
      <c r="V446" s="8"/>
      <c r="W446" s="8"/>
      <c r="X446" s="8"/>
      <c r="Y446" s="8"/>
      <c r="Z446" s="8"/>
    </row>
    <row r="447">
      <c r="A447" s="7" t="s">
        <v>652</v>
      </c>
      <c r="B447" s="7" t="s">
        <v>695</v>
      </c>
      <c r="C447" s="7" t="s">
        <v>51</v>
      </c>
      <c r="D447" s="7">
        <v>6.0</v>
      </c>
      <c r="E447" s="8"/>
      <c r="F447" s="8"/>
      <c r="G447" s="8"/>
      <c r="H447" s="7"/>
      <c r="I447" s="8"/>
      <c r="J447" s="9"/>
      <c r="K447" s="8"/>
      <c r="L447" s="8"/>
      <c r="M447" s="8"/>
      <c r="N447" s="8"/>
      <c r="O447" s="8"/>
      <c r="P447" s="8"/>
      <c r="Q447" s="8"/>
      <c r="R447" s="8"/>
      <c r="S447" s="8"/>
      <c r="T447" s="8"/>
      <c r="U447" s="8"/>
      <c r="V447" s="8"/>
      <c r="W447" s="8"/>
      <c r="X447" s="8"/>
      <c r="Y447" s="8"/>
      <c r="Z447" s="8"/>
    </row>
    <row r="448">
      <c r="A448" s="7" t="s">
        <v>652</v>
      </c>
      <c r="B448" s="7" t="s">
        <v>696</v>
      </c>
      <c r="C448" s="7"/>
      <c r="D448" s="7">
        <v>4.5</v>
      </c>
      <c r="E448" s="8"/>
      <c r="F448" s="8"/>
      <c r="G448" s="8"/>
      <c r="H448" s="7"/>
      <c r="I448" s="8"/>
      <c r="J448" s="9"/>
      <c r="K448" s="8"/>
      <c r="L448" s="8"/>
      <c r="M448" s="8"/>
      <c r="N448" s="8"/>
      <c r="O448" s="8"/>
      <c r="P448" s="8"/>
      <c r="Q448" s="8"/>
      <c r="R448" s="8"/>
      <c r="S448" s="8"/>
      <c r="T448" s="8"/>
      <c r="U448" s="8"/>
      <c r="V448" s="8"/>
      <c r="W448" s="8"/>
      <c r="X448" s="8"/>
      <c r="Y448" s="8"/>
      <c r="Z448" s="8"/>
    </row>
    <row r="449">
      <c r="A449" s="7" t="s">
        <v>652</v>
      </c>
      <c r="B449" s="7" t="s">
        <v>697</v>
      </c>
      <c r="C449" s="7" t="s">
        <v>51</v>
      </c>
      <c r="D449" s="7">
        <v>5.0</v>
      </c>
      <c r="E449" s="8"/>
      <c r="F449" s="8"/>
      <c r="G449" s="8"/>
      <c r="H449" s="7"/>
      <c r="I449" s="8"/>
      <c r="J449" s="9"/>
      <c r="K449" s="8"/>
      <c r="L449" s="8"/>
      <c r="M449" s="8"/>
      <c r="N449" s="8"/>
      <c r="O449" s="8"/>
      <c r="P449" s="8"/>
      <c r="Q449" s="8"/>
      <c r="R449" s="8"/>
      <c r="S449" s="8"/>
      <c r="T449" s="8"/>
      <c r="U449" s="8"/>
      <c r="V449" s="8"/>
      <c r="W449" s="8"/>
      <c r="X449" s="8"/>
      <c r="Y449" s="8"/>
      <c r="Z449" s="8"/>
    </row>
    <row r="450">
      <c r="A450" s="7" t="s">
        <v>652</v>
      </c>
      <c r="B450" s="7" t="s">
        <v>698</v>
      </c>
      <c r="C450" s="7" t="s">
        <v>51</v>
      </c>
      <c r="D450" s="7">
        <v>10.0</v>
      </c>
      <c r="E450" s="8"/>
      <c r="F450" s="8"/>
      <c r="G450" s="8"/>
      <c r="H450" s="7"/>
      <c r="I450" s="8"/>
      <c r="J450" s="9"/>
      <c r="K450" s="8"/>
      <c r="L450" s="8"/>
      <c r="M450" s="8"/>
      <c r="N450" s="8"/>
      <c r="O450" s="8"/>
      <c r="P450" s="8"/>
      <c r="Q450" s="8"/>
      <c r="R450" s="8"/>
      <c r="S450" s="8"/>
      <c r="T450" s="8"/>
      <c r="U450" s="8"/>
      <c r="V450" s="8"/>
      <c r="W450" s="8"/>
      <c r="X450" s="8"/>
      <c r="Y450" s="8"/>
      <c r="Z450" s="8"/>
    </row>
    <row r="451">
      <c r="A451" s="7" t="s">
        <v>652</v>
      </c>
      <c r="B451" s="7" t="s">
        <v>699</v>
      </c>
      <c r="C451" s="7" t="s">
        <v>66</v>
      </c>
      <c r="D451" s="7">
        <v>6.0</v>
      </c>
      <c r="E451" s="8"/>
      <c r="F451" s="8"/>
      <c r="G451" s="8"/>
      <c r="H451" s="7"/>
      <c r="I451" s="8"/>
      <c r="J451" s="9"/>
      <c r="K451" s="8"/>
      <c r="L451" s="8"/>
      <c r="M451" s="8"/>
      <c r="N451" s="8"/>
      <c r="O451" s="8"/>
      <c r="P451" s="8"/>
      <c r="Q451" s="8"/>
      <c r="R451" s="8"/>
      <c r="S451" s="8"/>
      <c r="T451" s="8"/>
      <c r="U451" s="8"/>
      <c r="V451" s="8"/>
      <c r="W451" s="8"/>
      <c r="X451" s="8"/>
      <c r="Y451" s="8"/>
      <c r="Z451" s="8"/>
    </row>
    <row r="452">
      <c r="A452" s="7" t="s">
        <v>652</v>
      </c>
      <c r="B452" s="7" t="s">
        <v>700</v>
      </c>
      <c r="C452" s="7" t="s">
        <v>57</v>
      </c>
      <c r="D452" s="7">
        <v>6.0</v>
      </c>
      <c r="E452" s="8"/>
      <c r="F452" s="8"/>
      <c r="G452" s="8"/>
      <c r="H452" s="7"/>
      <c r="I452" s="8"/>
      <c r="J452" s="9"/>
      <c r="K452" s="8"/>
      <c r="L452" s="8"/>
      <c r="M452" s="8"/>
      <c r="N452" s="8"/>
      <c r="O452" s="8"/>
      <c r="P452" s="8"/>
      <c r="Q452" s="8"/>
      <c r="R452" s="8"/>
      <c r="S452" s="8"/>
      <c r="T452" s="8"/>
      <c r="U452" s="8"/>
      <c r="V452" s="8"/>
      <c r="W452" s="8"/>
      <c r="X452" s="8"/>
      <c r="Y452" s="8"/>
      <c r="Z452" s="8"/>
    </row>
    <row r="453">
      <c r="A453" s="7" t="s">
        <v>652</v>
      </c>
      <c r="B453" s="7" t="s">
        <v>701</v>
      </c>
      <c r="C453" s="7" t="s">
        <v>57</v>
      </c>
      <c r="D453" s="7">
        <v>2.5</v>
      </c>
      <c r="E453" s="8"/>
      <c r="F453" s="8"/>
      <c r="G453" s="8"/>
      <c r="H453" s="7"/>
      <c r="I453" s="8"/>
      <c r="J453" s="9"/>
      <c r="K453" s="8"/>
      <c r="L453" s="8"/>
      <c r="M453" s="8"/>
      <c r="N453" s="8"/>
      <c r="O453" s="8"/>
      <c r="P453" s="8"/>
      <c r="Q453" s="8"/>
      <c r="R453" s="8"/>
      <c r="S453" s="8"/>
      <c r="T453" s="8"/>
      <c r="U453" s="8"/>
      <c r="V453" s="8"/>
      <c r="W453" s="8"/>
      <c r="X453" s="8"/>
      <c r="Y453" s="8"/>
      <c r="Z453" s="8"/>
    </row>
    <row r="454">
      <c r="A454" s="7" t="s">
        <v>652</v>
      </c>
      <c r="B454" s="7" t="s">
        <v>702</v>
      </c>
      <c r="C454" s="7" t="s">
        <v>66</v>
      </c>
      <c r="D454" s="7">
        <v>7.3</v>
      </c>
      <c r="E454" s="8"/>
      <c r="F454" s="8"/>
      <c r="G454" s="8"/>
      <c r="H454" s="7"/>
      <c r="I454" s="22" t="s">
        <v>703</v>
      </c>
      <c r="J454" s="9"/>
      <c r="K454" s="8"/>
      <c r="L454" s="8"/>
      <c r="M454" s="8"/>
      <c r="N454" s="8"/>
      <c r="O454" s="8"/>
      <c r="P454" s="8"/>
      <c r="Q454" s="8"/>
      <c r="R454" s="8"/>
      <c r="S454" s="8"/>
      <c r="T454" s="8"/>
      <c r="U454" s="8"/>
      <c r="V454" s="8"/>
      <c r="W454" s="8"/>
      <c r="X454" s="8"/>
      <c r="Y454" s="8"/>
      <c r="Z454" s="8"/>
    </row>
    <row r="455">
      <c r="A455" s="14" t="s">
        <v>652</v>
      </c>
      <c r="B455" s="14" t="s">
        <v>704</v>
      </c>
      <c r="C455" s="14">
        <v>27.0</v>
      </c>
      <c r="D455" s="14"/>
      <c r="E455" s="15"/>
      <c r="F455" s="15"/>
      <c r="G455" s="15"/>
      <c r="H455" s="14"/>
      <c r="I455" s="15"/>
      <c r="J455" s="16"/>
      <c r="K455" s="15"/>
      <c r="L455" s="15"/>
      <c r="M455" s="15"/>
      <c r="N455" s="15"/>
      <c r="O455" s="15"/>
      <c r="P455" s="15"/>
      <c r="Q455" s="15"/>
      <c r="R455" s="15"/>
      <c r="S455" s="15"/>
      <c r="T455" s="15"/>
      <c r="U455" s="15"/>
      <c r="V455" s="15"/>
      <c r="W455" s="15"/>
      <c r="X455" s="15"/>
      <c r="Y455" s="15"/>
      <c r="Z455" s="15"/>
    </row>
    <row r="456">
      <c r="A456" s="7" t="s">
        <v>652</v>
      </c>
      <c r="B456" s="7" t="s">
        <v>210</v>
      </c>
      <c r="C456" s="7" t="s">
        <v>705</v>
      </c>
      <c r="D456" s="7">
        <v>10.0</v>
      </c>
      <c r="E456" s="8"/>
      <c r="F456" s="8"/>
      <c r="G456" s="8"/>
      <c r="H456" s="7"/>
      <c r="I456" s="8"/>
      <c r="J456" s="9"/>
      <c r="K456" s="8"/>
      <c r="L456" s="8"/>
      <c r="M456" s="8"/>
      <c r="N456" s="8"/>
      <c r="O456" s="8"/>
      <c r="P456" s="8"/>
      <c r="Q456" s="8"/>
      <c r="R456" s="8"/>
      <c r="S456" s="8"/>
      <c r="T456" s="8"/>
      <c r="U456" s="8"/>
      <c r="V456" s="8"/>
      <c r="W456" s="8"/>
      <c r="X456" s="8"/>
      <c r="Y456" s="8"/>
      <c r="Z456" s="8"/>
    </row>
    <row r="457">
      <c r="A457" s="7" t="s">
        <v>706</v>
      </c>
      <c r="B457" s="7" t="s">
        <v>707</v>
      </c>
      <c r="C457" s="7" t="s">
        <v>57</v>
      </c>
      <c r="D457" s="7">
        <v>5.0</v>
      </c>
      <c r="E457" s="8"/>
      <c r="F457" s="8"/>
      <c r="G457" s="8"/>
      <c r="H457" s="7"/>
      <c r="I457" s="8"/>
      <c r="J457" s="9"/>
      <c r="K457" s="8"/>
      <c r="L457" s="8"/>
      <c r="M457" s="8"/>
      <c r="N457" s="8"/>
      <c r="O457" s="8"/>
      <c r="P457" s="8"/>
      <c r="Q457" s="8"/>
      <c r="R457" s="8"/>
      <c r="S457" s="8"/>
      <c r="T457" s="8"/>
      <c r="U457" s="8"/>
      <c r="V457" s="8"/>
      <c r="W457" s="8"/>
      <c r="X457" s="8"/>
      <c r="Y457" s="8"/>
      <c r="Z457" s="8"/>
    </row>
    <row r="458">
      <c r="A458" s="7" t="s">
        <v>652</v>
      </c>
      <c r="B458" s="7" t="s">
        <v>708</v>
      </c>
      <c r="C458" s="7">
        <v>4.0</v>
      </c>
      <c r="D458" s="7">
        <v>5.0</v>
      </c>
      <c r="E458" s="8"/>
      <c r="F458" s="8"/>
      <c r="G458" s="8"/>
      <c r="H458" s="7"/>
      <c r="I458" s="8"/>
      <c r="J458" s="9"/>
      <c r="K458" s="8"/>
      <c r="L458" s="8"/>
      <c r="M458" s="8"/>
      <c r="N458" s="8"/>
      <c r="O458" s="8"/>
      <c r="P458" s="8"/>
      <c r="Q458" s="8"/>
      <c r="R458" s="8"/>
      <c r="S458" s="8"/>
      <c r="T458" s="8"/>
      <c r="U458" s="8"/>
      <c r="V458" s="8"/>
      <c r="W458" s="8"/>
      <c r="X458" s="8"/>
      <c r="Y458" s="8"/>
      <c r="Z458" s="8"/>
    </row>
    <row r="459">
      <c r="A459" s="7" t="s">
        <v>652</v>
      </c>
      <c r="B459" s="7" t="s">
        <v>709</v>
      </c>
      <c r="C459" s="7">
        <v>2.0</v>
      </c>
      <c r="D459" s="7">
        <v>7.5</v>
      </c>
      <c r="E459" s="8"/>
      <c r="F459" s="8"/>
      <c r="G459" s="8"/>
      <c r="H459" s="7"/>
      <c r="I459" s="8"/>
      <c r="J459" s="9"/>
      <c r="K459" s="8"/>
      <c r="L459" s="8"/>
      <c r="M459" s="8"/>
      <c r="N459" s="8"/>
      <c r="O459" s="8"/>
      <c r="P459" s="8"/>
      <c r="Q459" s="8"/>
      <c r="R459" s="8"/>
      <c r="S459" s="8"/>
      <c r="T459" s="8"/>
      <c r="U459" s="8"/>
      <c r="V459" s="8"/>
      <c r="W459" s="8"/>
      <c r="X459" s="8"/>
      <c r="Y459" s="8"/>
      <c r="Z459" s="8"/>
    </row>
    <row r="460">
      <c r="A460" s="7" t="s">
        <v>706</v>
      </c>
      <c r="B460" s="7" t="s">
        <v>710</v>
      </c>
      <c r="C460" s="7" t="s">
        <v>66</v>
      </c>
      <c r="D460" s="7">
        <v>5.0</v>
      </c>
      <c r="E460" s="8"/>
      <c r="F460" s="8"/>
      <c r="G460" s="8"/>
      <c r="H460" s="7"/>
      <c r="I460" s="8"/>
      <c r="J460" s="9"/>
      <c r="K460" s="8"/>
      <c r="L460" s="8"/>
      <c r="M460" s="8"/>
      <c r="N460" s="8"/>
      <c r="O460" s="8"/>
      <c r="P460" s="8"/>
      <c r="Q460" s="8"/>
      <c r="R460" s="8"/>
      <c r="S460" s="8"/>
      <c r="T460" s="8"/>
      <c r="U460" s="8"/>
      <c r="V460" s="8"/>
      <c r="W460" s="8"/>
      <c r="X460" s="8"/>
      <c r="Y460" s="8"/>
      <c r="Z460" s="8"/>
    </row>
    <row r="461">
      <c r="A461" s="7" t="s">
        <v>652</v>
      </c>
      <c r="B461" s="7" t="s">
        <v>711</v>
      </c>
      <c r="C461" s="7" t="s">
        <v>51</v>
      </c>
      <c r="D461" s="7">
        <v>10.0</v>
      </c>
      <c r="E461" s="8"/>
      <c r="F461" s="8"/>
      <c r="G461" s="8"/>
      <c r="H461" s="7"/>
      <c r="I461" s="8"/>
      <c r="J461" s="9"/>
      <c r="K461" s="8"/>
      <c r="L461" s="8"/>
      <c r="M461" s="8"/>
      <c r="N461" s="8"/>
      <c r="O461" s="8"/>
      <c r="P461" s="8"/>
      <c r="Q461" s="8"/>
      <c r="R461" s="8"/>
      <c r="S461" s="8"/>
      <c r="T461" s="8"/>
      <c r="U461" s="8"/>
      <c r="V461" s="8"/>
      <c r="W461" s="8"/>
      <c r="X461" s="8"/>
      <c r="Y461" s="8"/>
      <c r="Z461" s="8"/>
    </row>
    <row r="462">
      <c r="A462" s="7" t="s">
        <v>652</v>
      </c>
      <c r="B462" s="7" t="s">
        <v>712</v>
      </c>
      <c r="C462" s="7" t="s">
        <v>51</v>
      </c>
      <c r="D462" s="7">
        <v>7.0</v>
      </c>
      <c r="E462" s="8"/>
      <c r="F462" s="8"/>
      <c r="G462" s="8"/>
      <c r="H462" s="7"/>
      <c r="I462" s="8"/>
      <c r="J462" s="9"/>
      <c r="K462" s="8"/>
      <c r="L462" s="8"/>
      <c r="M462" s="8"/>
      <c r="N462" s="8"/>
      <c r="O462" s="8"/>
      <c r="P462" s="8"/>
      <c r="Q462" s="8"/>
      <c r="R462" s="8"/>
      <c r="S462" s="8"/>
      <c r="T462" s="8"/>
      <c r="U462" s="8"/>
      <c r="V462" s="8"/>
      <c r="W462" s="8"/>
      <c r="X462" s="8"/>
      <c r="Y462" s="8"/>
      <c r="Z462" s="8"/>
    </row>
    <row r="463">
      <c r="A463" s="7" t="s">
        <v>706</v>
      </c>
      <c r="B463" s="7" t="s">
        <v>713</v>
      </c>
      <c r="C463" s="7" t="s">
        <v>51</v>
      </c>
      <c r="D463" s="7">
        <v>6.3</v>
      </c>
      <c r="E463" s="8"/>
      <c r="F463" s="8"/>
      <c r="G463" s="8"/>
      <c r="H463" s="7"/>
      <c r="I463" s="8"/>
      <c r="J463" s="9"/>
      <c r="K463" s="8"/>
      <c r="L463" s="8"/>
      <c r="M463" s="8"/>
      <c r="N463" s="8"/>
      <c r="O463" s="8"/>
      <c r="P463" s="8"/>
      <c r="Q463" s="8"/>
      <c r="R463" s="8"/>
      <c r="S463" s="8"/>
      <c r="T463" s="8"/>
      <c r="U463" s="8"/>
      <c r="V463" s="8"/>
      <c r="W463" s="8"/>
      <c r="X463" s="8"/>
      <c r="Y463" s="8"/>
      <c r="Z463" s="8"/>
    </row>
    <row r="464">
      <c r="A464" s="7" t="s">
        <v>706</v>
      </c>
      <c r="B464" s="7" t="s">
        <v>714</v>
      </c>
      <c r="C464" s="7" t="s">
        <v>51</v>
      </c>
      <c r="D464" s="7">
        <v>10.0</v>
      </c>
      <c r="E464" s="8"/>
      <c r="F464" s="8"/>
      <c r="G464" s="8"/>
      <c r="H464" s="7"/>
      <c r="I464" s="8"/>
      <c r="J464" s="9"/>
      <c r="K464" s="8"/>
      <c r="L464" s="8"/>
      <c r="M464" s="8"/>
      <c r="N464" s="8"/>
      <c r="O464" s="8"/>
      <c r="P464" s="8"/>
      <c r="Q464" s="8"/>
      <c r="R464" s="8"/>
      <c r="S464" s="8"/>
      <c r="T464" s="8"/>
      <c r="U464" s="8"/>
      <c r="V464" s="8"/>
      <c r="W464" s="8"/>
      <c r="X464" s="8"/>
      <c r="Y464" s="8"/>
      <c r="Z464" s="8"/>
    </row>
    <row r="465">
      <c r="A465" s="7" t="s">
        <v>706</v>
      </c>
      <c r="B465" s="7" t="s">
        <v>715</v>
      </c>
      <c r="C465" s="7" t="s">
        <v>51</v>
      </c>
      <c r="D465" s="7">
        <v>10.0</v>
      </c>
      <c r="E465" s="8"/>
      <c r="F465" s="8"/>
      <c r="G465" s="8"/>
      <c r="H465" s="7"/>
      <c r="I465" s="8"/>
      <c r="J465" s="9"/>
      <c r="K465" s="8"/>
      <c r="L465" s="8"/>
      <c r="M465" s="8"/>
      <c r="N465" s="8"/>
      <c r="O465" s="8"/>
      <c r="P465" s="8"/>
      <c r="Q465" s="8"/>
      <c r="R465" s="8"/>
      <c r="S465" s="8"/>
      <c r="T465" s="8"/>
      <c r="U465" s="8"/>
      <c r="V465" s="8"/>
      <c r="W465" s="8"/>
      <c r="X465" s="8"/>
      <c r="Y465" s="8"/>
      <c r="Z465" s="8"/>
    </row>
    <row r="466">
      <c r="A466" s="14" t="s">
        <v>706</v>
      </c>
      <c r="B466" s="14" t="s">
        <v>716</v>
      </c>
      <c r="C466" s="14" t="s">
        <v>51</v>
      </c>
      <c r="D466" s="14">
        <v>4.3</v>
      </c>
      <c r="E466" s="15"/>
      <c r="F466" s="15"/>
      <c r="G466" s="15"/>
      <c r="H466" s="14" t="s">
        <v>717</v>
      </c>
      <c r="I466" s="15"/>
      <c r="J466" s="16"/>
      <c r="K466" s="15"/>
      <c r="L466" s="15"/>
      <c r="M466" s="15"/>
      <c r="N466" s="15"/>
      <c r="O466" s="15"/>
      <c r="P466" s="15"/>
      <c r="Q466" s="15"/>
      <c r="R466" s="15"/>
      <c r="S466" s="15"/>
      <c r="T466" s="15"/>
      <c r="U466" s="15"/>
      <c r="V466" s="15"/>
      <c r="W466" s="15"/>
      <c r="X466" s="15"/>
      <c r="Y466" s="15"/>
      <c r="Z466" s="15"/>
    </row>
    <row r="467">
      <c r="A467" s="7" t="s">
        <v>706</v>
      </c>
      <c r="B467" s="7" t="s">
        <v>718</v>
      </c>
      <c r="C467" s="7">
        <v>0.0</v>
      </c>
      <c r="D467" s="7">
        <v>7.5</v>
      </c>
      <c r="E467" s="8"/>
      <c r="F467" s="8"/>
      <c r="G467" s="8"/>
      <c r="H467" s="8"/>
      <c r="I467" s="8"/>
      <c r="J467" s="9"/>
      <c r="K467" s="8"/>
      <c r="L467" s="8"/>
      <c r="M467" s="8"/>
      <c r="N467" s="8"/>
      <c r="O467" s="8"/>
      <c r="P467" s="8"/>
      <c r="Q467" s="8"/>
      <c r="R467" s="8"/>
      <c r="S467" s="8"/>
      <c r="T467" s="8"/>
      <c r="U467" s="8"/>
      <c r="V467" s="8"/>
      <c r="W467" s="8"/>
      <c r="X467" s="8"/>
      <c r="Y467" s="8"/>
      <c r="Z467" s="8"/>
    </row>
    <row r="468">
      <c r="A468" s="7" t="s">
        <v>652</v>
      </c>
      <c r="B468" s="7" t="s">
        <v>719</v>
      </c>
      <c r="C468" s="7" t="s">
        <v>66</v>
      </c>
      <c r="D468" s="7">
        <v>4.0</v>
      </c>
      <c r="E468" s="8"/>
      <c r="F468" s="8"/>
      <c r="G468" s="8"/>
      <c r="H468" s="7"/>
      <c r="I468" s="8"/>
      <c r="J468" s="9"/>
      <c r="K468" s="8"/>
      <c r="L468" s="8"/>
      <c r="M468" s="8"/>
      <c r="N468" s="8"/>
      <c r="O468" s="8"/>
      <c r="P468" s="8"/>
      <c r="Q468" s="8"/>
      <c r="R468" s="8"/>
      <c r="S468" s="8"/>
      <c r="T468" s="8"/>
      <c r="U468" s="8"/>
      <c r="V468" s="8"/>
      <c r="W468" s="8"/>
      <c r="X468" s="8"/>
      <c r="Y468" s="8"/>
      <c r="Z468" s="8"/>
    </row>
    <row r="469">
      <c r="A469" s="7" t="s">
        <v>652</v>
      </c>
      <c r="B469" s="7" t="s">
        <v>720</v>
      </c>
      <c r="C469" s="7">
        <v>4.0</v>
      </c>
      <c r="D469" s="7">
        <v>8.0</v>
      </c>
      <c r="E469" s="8"/>
      <c r="F469" s="8"/>
      <c r="G469" s="8"/>
      <c r="H469" s="8"/>
      <c r="I469" s="8"/>
      <c r="J469" s="9"/>
      <c r="K469" s="8"/>
      <c r="L469" s="8"/>
      <c r="M469" s="8"/>
      <c r="N469" s="8"/>
      <c r="O469" s="8"/>
      <c r="P469" s="8"/>
      <c r="Q469" s="8"/>
      <c r="R469" s="8"/>
      <c r="S469" s="8"/>
      <c r="T469" s="8"/>
      <c r="U469" s="8"/>
      <c r="V469" s="8"/>
      <c r="W469" s="8"/>
      <c r="X469" s="8"/>
      <c r="Y469" s="8"/>
      <c r="Z469" s="8"/>
    </row>
    <row r="470">
      <c r="A470" s="10" t="s">
        <v>652</v>
      </c>
      <c r="B470" s="10" t="s">
        <v>721</v>
      </c>
      <c r="C470" s="10">
        <v>0.0</v>
      </c>
      <c r="D470" s="10">
        <v>8.3</v>
      </c>
      <c r="E470" s="11"/>
      <c r="F470" s="11"/>
      <c r="G470" s="11"/>
      <c r="H470" s="10" t="s">
        <v>219</v>
      </c>
      <c r="I470" s="11"/>
      <c r="J470" s="12"/>
      <c r="K470" s="11"/>
      <c r="L470" s="11"/>
      <c r="M470" s="11"/>
      <c r="N470" s="11"/>
      <c r="O470" s="11"/>
      <c r="P470" s="11"/>
      <c r="Q470" s="11"/>
      <c r="R470" s="11"/>
      <c r="S470" s="11"/>
      <c r="T470" s="11"/>
      <c r="U470" s="11"/>
      <c r="V470" s="11"/>
      <c r="W470" s="11"/>
      <c r="X470" s="11"/>
      <c r="Y470" s="11"/>
      <c r="Z470" s="11"/>
    </row>
    <row r="471">
      <c r="A471" s="7" t="s">
        <v>652</v>
      </c>
      <c r="B471" s="7" t="s">
        <v>722</v>
      </c>
      <c r="C471" s="7">
        <v>4.0</v>
      </c>
      <c r="D471" s="7">
        <v>8.3</v>
      </c>
      <c r="E471" s="8"/>
      <c r="F471" s="8"/>
      <c r="G471" s="8"/>
      <c r="H471" s="8"/>
      <c r="I471" s="8"/>
      <c r="J471" s="9"/>
      <c r="K471" s="8"/>
      <c r="L471" s="8"/>
      <c r="M471" s="8"/>
      <c r="N471" s="8"/>
      <c r="O471" s="8"/>
      <c r="P471" s="8"/>
      <c r="Q471" s="8"/>
      <c r="R471" s="8"/>
      <c r="S471" s="8"/>
      <c r="T471" s="8"/>
      <c r="U471" s="8"/>
      <c r="V471" s="8"/>
      <c r="W471" s="8"/>
      <c r="X471" s="8"/>
      <c r="Y471" s="8"/>
      <c r="Z471" s="8"/>
    </row>
    <row r="472">
      <c r="A472" s="10" t="s">
        <v>723</v>
      </c>
      <c r="B472" s="10" t="s">
        <v>724</v>
      </c>
      <c r="C472" s="10">
        <v>6.0</v>
      </c>
      <c r="D472" s="10">
        <v>4.5</v>
      </c>
      <c r="E472" s="11"/>
      <c r="F472" s="11"/>
      <c r="G472" s="11"/>
      <c r="H472" s="10" t="s">
        <v>139</v>
      </c>
      <c r="I472" s="10"/>
      <c r="J472" s="12"/>
      <c r="K472" s="11"/>
      <c r="L472" s="11"/>
      <c r="M472" s="11"/>
      <c r="N472" s="11"/>
      <c r="O472" s="11"/>
      <c r="P472" s="11"/>
      <c r="Q472" s="11"/>
      <c r="R472" s="11"/>
      <c r="S472" s="11"/>
      <c r="T472" s="11"/>
      <c r="U472" s="11"/>
      <c r="V472" s="11"/>
      <c r="W472" s="11"/>
      <c r="X472" s="11"/>
      <c r="Y472" s="11"/>
      <c r="Z472" s="11"/>
    </row>
    <row r="473">
      <c r="A473" s="7" t="s">
        <v>723</v>
      </c>
      <c r="B473" s="7" t="s">
        <v>725</v>
      </c>
      <c r="C473" s="7" t="s">
        <v>51</v>
      </c>
      <c r="D473" s="7">
        <v>9.0</v>
      </c>
      <c r="E473" s="8"/>
      <c r="F473" s="8"/>
      <c r="G473" s="8"/>
      <c r="H473" s="8"/>
      <c r="I473" s="7"/>
      <c r="J473" s="9"/>
      <c r="K473" s="8"/>
      <c r="L473" s="8"/>
      <c r="M473" s="8"/>
      <c r="N473" s="8"/>
      <c r="O473" s="8"/>
      <c r="P473" s="8"/>
      <c r="Q473" s="8"/>
      <c r="R473" s="8"/>
      <c r="S473" s="8"/>
      <c r="T473" s="8"/>
      <c r="U473" s="8"/>
      <c r="V473" s="8"/>
      <c r="W473" s="8"/>
      <c r="X473" s="8"/>
      <c r="Y473" s="8"/>
      <c r="Z473" s="8"/>
    </row>
    <row r="474">
      <c r="A474" s="7" t="s">
        <v>723</v>
      </c>
      <c r="B474" s="7" t="s">
        <v>726</v>
      </c>
      <c r="C474" s="7" t="s">
        <v>66</v>
      </c>
      <c r="D474" s="7">
        <v>10.5</v>
      </c>
      <c r="E474" s="8"/>
      <c r="F474" s="8"/>
      <c r="G474" s="8"/>
      <c r="H474" s="8"/>
      <c r="I474" s="7"/>
      <c r="J474" s="9"/>
      <c r="K474" s="8"/>
      <c r="L474" s="8"/>
      <c r="M474" s="8"/>
      <c r="N474" s="8"/>
      <c r="O474" s="8"/>
      <c r="P474" s="8"/>
      <c r="Q474" s="8"/>
      <c r="R474" s="8"/>
      <c r="S474" s="8"/>
      <c r="T474" s="8"/>
      <c r="U474" s="8"/>
      <c r="V474" s="8"/>
      <c r="W474" s="8"/>
      <c r="X474" s="8"/>
      <c r="Y474" s="8"/>
      <c r="Z474" s="8"/>
    </row>
    <row r="475">
      <c r="A475" s="7" t="s">
        <v>723</v>
      </c>
      <c r="B475" s="7" t="s">
        <v>727</v>
      </c>
      <c r="C475" s="7" t="s">
        <v>51</v>
      </c>
      <c r="D475" s="7">
        <v>5.0</v>
      </c>
      <c r="E475" s="8"/>
      <c r="F475" s="8"/>
      <c r="G475" s="8"/>
      <c r="H475" s="8"/>
      <c r="I475" s="7"/>
      <c r="J475" s="9"/>
      <c r="K475" s="8"/>
      <c r="L475" s="8"/>
      <c r="M475" s="8"/>
      <c r="N475" s="8"/>
      <c r="O475" s="8"/>
      <c r="P475" s="8"/>
      <c r="Q475" s="8"/>
      <c r="R475" s="8"/>
      <c r="S475" s="8"/>
      <c r="T475" s="8"/>
      <c r="U475" s="8"/>
      <c r="V475" s="8"/>
      <c r="W475" s="8"/>
      <c r="X475" s="8"/>
      <c r="Y475" s="8"/>
      <c r="Z475" s="8"/>
    </row>
    <row r="476">
      <c r="A476" s="7" t="s">
        <v>723</v>
      </c>
      <c r="B476" s="7" t="s">
        <v>581</v>
      </c>
      <c r="C476" s="7">
        <v>12.0</v>
      </c>
      <c r="D476" s="7">
        <v>8.5</v>
      </c>
      <c r="E476" s="8"/>
      <c r="F476" s="8"/>
      <c r="G476" s="8"/>
      <c r="H476" s="8"/>
      <c r="I476" s="7"/>
      <c r="J476" s="9"/>
      <c r="K476" s="8"/>
      <c r="L476" s="8"/>
      <c r="M476" s="8"/>
      <c r="N476" s="8"/>
      <c r="O476" s="8"/>
      <c r="P476" s="8"/>
      <c r="Q476" s="8"/>
      <c r="R476" s="8"/>
      <c r="S476" s="8"/>
      <c r="T476" s="8"/>
      <c r="U476" s="8"/>
      <c r="V476" s="8"/>
      <c r="W476" s="8"/>
      <c r="X476" s="8"/>
      <c r="Y476" s="8"/>
      <c r="Z476" s="8"/>
    </row>
    <row r="477">
      <c r="A477" s="7" t="s">
        <v>723</v>
      </c>
      <c r="B477" s="7" t="s">
        <v>728</v>
      </c>
      <c r="C477" s="7" t="s">
        <v>51</v>
      </c>
      <c r="D477" s="7">
        <v>9.0</v>
      </c>
      <c r="E477" s="8"/>
      <c r="F477" s="8"/>
      <c r="G477" s="8"/>
      <c r="H477" s="8"/>
      <c r="I477" s="7"/>
      <c r="J477" s="9"/>
      <c r="K477" s="8"/>
      <c r="L477" s="8"/>
      <c r="M477" s="8"/>
      <c r="N477" s="8"/>
      <c r="O477" s="8"/>
      <c r="P477" s="8"/>
      <c r="Q477" s="8"/>
      <c r="R477" s="8"/>
      <c r="S477" s="8"/>
      <c r="T477" s="8"/>
      <c r="U477" s="8"/>
      <c r="V477" s="8"/>
      <c r="W477" s="8"/>
      <c r="X477" s="8"/>
      <c r="Y477" s="8"/>
      <c r="Z477" s="8"/>
    </row>
    <row r="478">
      <c r="A478" s="7" t="s">
        <v>723</v>
      </c>
      <c r="B478" s="7" t="s">
        <v>729</v>
      </c>
      <c r="C478" s="7">
        <v>4.0</v>
      </c>
      <c r="D478" s="7">
        <v>5.0</v>
      </c>
      <c r="E478" s="8"/>
      <c r="F478" s="8"/>
      <c r="G478" s="8"/>
      <c r="H478" s="8"/>
      <c r="I478" s="7"/>
      <c r="J478" s="9"/>
      <c r="K478" s="8"/>
      <c r="L478" s="8"/>
      <c r="M478" s="8"/>
      <c r="N478" s="8"/>
      <c r="O478" s="8"/>
      <c r="P478" s="8"/>
      <c r="Q478" s="8"/>
      <c r="R478" s="8"/>
      <c r="S478" s="8"/>
      <c r="T478" s="8"/>
      <c r="U478" s="8"/>
      <c r="V478" s="8"/>
      <c r="W478" s="8"/>
      <c r="X478" s="8"/>
      <c r="Y478" s="8"/>
      <c r="Z478" s="8"/>
    </row>
    <row r="479">
      <c r="A479" s="7" t="s">
        <v>723</v>
      </c>
      <c r="B479" s="7" t="s">
        <v>730</v>
      </c>
      <c r="C479" s="7">
        <v>2.0</v>
      </c>
      <c r="D479" s="7">
        <v>2.5</v>
      </c>
      <c r="E479" s="8"/>
      <c r="F479" s="8"/>
      <c r="G479" s="8"/>
      <c r="H479" s="8"/>
      <c r="I479" s="7"/>
      <c r="J479" s="9"/>
      <c r="K479" s="8"/>
      <c r="L479" s="8"/>
      <c r="M479" s="8"/>
      <c r="N479" s="8"/>
      <c r="O479" s="8"/>
      <c r="P479" s="8"/>
      <c r="Q479" s="8"/>
      <c r="R479" s="8"/>
      <c r="S479" s="8"/>
      <c r="T479" s="8"/>
      <c r="U479" s="8"/>
      <c r="V479" s="8"/>
      <c r="W479" s="8"/>
      <c r="X479" s="8"/>
      <c r="Y479" s="8"/>
      <c r="Z479" s="8"/>
    </row>
    <row r="480">
      <c r="A480" s="7" t="s">
        <v>723</v>
      </c>
      <c r="B480" s="7" t="s">
        <v>731</v>
      </c>
      <c r="C480" s="7" t="s">
        <v>120</v>
      </c>
      <c r="D480" s="7">
        <v>8.1</v>
      </c>
      <c r="E480" s="8"/>
      <c r="F480" s="8"/>
      <c r="G480" s="8"/>
      <c r="H480" s="8"/>
      <c r="I480" s="7"/>
      <c r="J480" s="9"/>
      <c r="K480" s="8"/>
      <c r="L480" s="8"/>
      <c r="M480" s="8"/>
      <c r="N480" s="8"/>
      <c r="O480" s="8"/>
      <c r="P480" s="8"/>
      <c r="Q480" s="8"/>
      <c r="R480" s="8"/>
      <c r="S480" s="8"/>
      <c r="T480" s="8"/>
      <c r="U480" s="8"/>
      <c r="V480" s="8"/>
      <c r="W480" s="8"/>
      <c r="X480" s="8"/>
      <c r="Y480" s="8"/>
      <c r="Z480" s="8"/>
    </row>
    <row r="481">
      <c r="A481" s="7" t="s">
        <v>723</v>
      </c>
      <c r="B481" s="7" t="s">
        <v>732</v>
      </c>
      <c r="C481" s="7">
        <v>2.0</v>
      </c>
      <c r="D481" s="7">
        <v>7.0</v>
      </c>
      <c r="E481" s="8"/>
      <c r="F481" s="8"/>
      <c r="G481" s="8"/>
      <c r="H481" s="8"/>
      <c r="I481" s="7"/>
      <c r="J481" s="9"/>
      <c r="K481" s="8"/>
      <c r="L481" s="8"/>
      <c r="M481" s="8"/>
      <c r="N481" s="8"/>
      <c r="O481" s="8"/>
      <c r="P481" s="8"/>
      <c r="Q481" s="8"/>
      <c r="R481" s="8"/>
      <c r="S481" s="8"/>
      <c r="T481" s="8"/>
      <c r="U481" s="8"/>
      <c r="V481" s="8"/>
      <c r="W481" s="8"/>
      <c r="X481" s="8"/>
      <c r="Y481" s="8"/>
      <c r="Z481" s="8"/>
    </row>
    <row r="482">
      <c r="A482" s="7" t="s">
        <v>723</v>
      </c>
      <c r="B482" s="7" t="s">
        <v>733</v>
      </c>
      <c r="C482" s="7" t="s">
        <v>51</v>
      </c>
      <c r="D482" s="7">
        <v>7.5</v>
      </c>
      <c r="E482" s="8"/>
      <c r="F482" s="8"/>
      <c r="G482" s="8"/>
      <c r="H482" s="8"/>
      <c r="I482" s="8"/>
      <c r="J482" s="9"/>
      <c r="K482" s="8"/>
      <c r="L482" s="8"/>
      <c r="M482" s="8"/>
      <c r="N482" s="8"/>
      <c r="O482" s="8"/>
      <c r="P482" s="8"/>
      <c r="Q482" s="8"/>
      <c r="R482" s="8"/>
      <c r="S482" s="8"/>
      <c r="T482" s="8"/>
      <c r="U482" s="8"/>
      <c r="V482" s="8"/>
      <c r="W482" s="8"/>
      <c r="X482" s="8"/>
      <c r="Y482" s="8"/>
      <c r="Z482" s="8"/>
    </row>
    <row r="483">
      <c r="A483" s="7" t="s">
        <v>734</v>
      </c>
      <c r="B483" s="7" t="s">
        <v>735</v>
      </c>
      <c r="C483" s="7" t="s">
        <v>736</v>
      </c>
      <c r="D483" s="7">
        <v>10.0</v>
      </c>
      <c r="E483" s="8"/>
      <c r="F483" s="8"/>
      <c r="G483" s="8"/>
      <c r="H483" s="8"/>
      <c r="I483" s="8"/>
      <c r="J483" s="9"/>
      <c r="K483" s="8"/>
      <c r="L483" s="8"/>
      <c r="M483" s="8"/>
      <c r="N483" s="8"/>
      <c r="O483" s="8"/>
      <c r="P483" s="8"/>
      <c r="Q483" s="8"/>
      <c r="R483" s="8"/>
      <c r="S483" s="8"/>
      <c r="T483" s="8"/>
      <c r="U483" s="8"/>
      <c r="V483" s="8"/>
      <c r="W483" s="8"/>
      <c r="X483" s="8"/>
      <c r="Y483" s="8"/>
      <c r="Z483" s="8"/>
    </row>
    <row r="484">
      <c r="A484" s="7" t="s">
        <v>737</v>
      </c>
      <c r="B484" s="7" t="s">
        <v>738</v>
      </c>
      <c r="C484" s="7">
        <v>1.0</v>
      </c>
      <c r="D484" s="7">
        <v>25.0</v>
      </c>
      <c r="E484" s="8"/>
      <c r="F484" s="8"/>
      <c r="G484" s="8"/>
      <c r="H484" s="8"/>
      <c r="I484" s="8"/>
      <c r="J484" s="9"/>
      <c r="K484" s="8"/>
      <c r="L484" s="8"/>
      <c r="M484" s="8"/>
      <c r="N484" s="8"/>
      <c r="O484" s="8"/>
      <c r="P484" s="8"/>
      <c r="Q484" s="8"/>
      <c r="R484" s="8"/>
      <c r="S484" s="8"/>
      <c r="T484" s="8"/>
      <c r="U484" s="8"/>
      <c r="V484" s="8"/>
      <c r="W484" s="8"/>
      <c r="X484" s="8"/>
      <c r="Y484" s="8"/>
      <c r="Z484" s="8"/>
    </row>
    <row r="485">
      <c r="A485" s="10" t="s">
        <v>739</v>
      </c>
      <c r="B485" s="10" t="s">
        <v>740</v>
      </c>
      <c r="C485" s="10">
        <v>2.0</v>
      </c>
      <c r="D485" s="10">
        <v>6.0</v>
      </c>
      <c r="E485" s="11"/>
      <c r="F485" s="11"/>
      <c r="G485" s="11"/>
      <c r="H485" s="10" t="s">
        <v>741</v>
      </c>
      <c r="I485" s="11"/>
      <c r="J485" s="12"/>
      <c r="K485" s="11"/>
      <c r="L485" s="11"/>
      <c r="M485" s="11"/>
      <c r="N485" s="11"/>
      <c r="O485" s="11"/>
      <c r="P485" s="11"/>
      <c r="Q485" s="11"/>
      <c r="R485" s="11"/>
      <c r="S485" s="11"/>
      <c r="T485" s="11"/>
      <c r="U485" s="11"/>
      <c r="V485" s="11"/>
      <c r="W485" s="11"/>
      <c r="X485" s="11"/>
      <c r="Y485" s="11"/>
      <c r="Z485" s="11"/>
    </row>
    <row r="486">
      <c r="A486" s="7" t="s">
        <v>739</v>
      </c>
      <c r="B486" s="7" t="s">
        <v>742</v>
      </c>
      <c r="C486" s="7">
        <v>1.0</v>
      </c>
      <c r="D486" s="7">
        <v>4.25</v>
      </c>
      <c r="E486" s="8"/>
      <c r="F486" s="8"/>
      <c r="G486" s="8"/>
      <c r="H486" s="8"/>
      <c r="I486" s="8"/>
      <c r="J486" s="9"/>
      <c r="K486" s="8"/>
      <c r="L486" s="8"/>
      <c r="M486" s="8"/>
      <c r="N486" s="8"/>
      <c r="O486" s="8"/>
      <c r="P486" s="8"/>
      <c r="Q486" s="8"/>
      <c r="R486" s="8"/>
      <c r="S486" s="8"/>
      <c r="T486" s="8"/>
      <c r="U486" s="8"/>
      <c r="V486" s="8"/>
      <c r="W486" s="8"/>
      <c r="X486" s="8"/>
      <c r="Y486" s="8"/>
      <c r="Z486" s="8"/>
    </row>
    <row r="487">
      <c r="A487" s="7" t="s">
        <v>739</v>
      </c>
      <c r="B487" s="7" t="s">
        <v>743</v>
      </c>
      <c r="C487" s="7">
        <v>1.0</v>
      </c>
      <c r="D487" s="7">
        <v>10.0</v>
      </c>
      <c r="E487" s="8"/>
      <c r="F487" s="8"/>
      <c r="G487" s="8"/>
      <c r="H487" s="8"/>
      <c r="I487" s="8"/>
      <c r="J487" s="9"/>
      <c r="K487" s="8"/>
      <c r="L487" s="8"/>
      <c r="M487" s="8"/>
      <c r="N487" s="8"/>
      <c r="O487" s="8"/>
      <c r="P487" s="8"/>
      <c r="Q487" s="8"/>
      <c r="R487" s="8"/>
      <c r="S487" s="8"/>
      <c r="T487" s="8"/>
      <c r="U487" s="8"/>
      <c r="V487" s="8"/>
      <c r="W487" s="8"/>
      <c r="X487" s="8"/>
      <c r="Y487" s="8"/>
      <c r="Z487" s="8"/>
    </row>
    <row r="488">
      <c r="A488" s="7" t="s">
        <v>739</v>
      </c>
      <c r="B488" s="7" t="s">
        <v>744</v>
      </c>
      <c r="C488" s="7">
        <v>1.0</v>
      </c>
      <c r="D488" s="7">
        <v>6.0</v>
      </c>
      <c r="E488" s="8"/>
      <c r="F488" s="8"/>
      <c r="G488" s="8"/>
      <c r="H488" s="8"/>
      <c r="I488" s="8"/>
      <c r="J488" s="9"/>
      <c r="K488" s="8"/>
      <c r="L488" s="8"/>
      <c r="M488" s="8"/>
      <c r="N488" s="8"/>
      <c r="O488" s="8"/>
      <c r="P488" s="8"/>
      <c r="Q488" s="8"/>
      <c r="R488" s="8"/>
      <c r="S488" s="8"/>
      <c r="T488" s="8"/>
      <c r="U488" s="8"/>
      <c r="V488" s="8"/>
      <c r="W488" s="8"/>
      <c r="X488" s="8"/>
      <c r="Y488" s="8"/>
      <c r="Z488" s="8"/>
    </row>
    <row r="489">
      <c r="A489" s="7" t="s">
        <v>739</v>
      </c>
      <c r="B489" s="7" t="s">
        <v>745</v>
      </c>
      <c r="C489" s="7">
        <v>2.0</v>
      </c>
      <c r="D489" s="7"/>
      <c r="E489" s="8"/>
      <c r="F489" s="8"/>
      <c r="G489" s="8"/>
      <c r="H489" s="8"/>
      <c r="I489" s="8"/>
      <c r="J489" s="9"/>
      <c r="K489" s="8"/>
      <c r="L489" s="8"/>
      <c r="M489" s="8"/>
      <c r="N489" s="8"/>
      <c r="O489" s="8"/>
      <c r="P489" s="8"/>
      <c r="Q489" s="8"/>
      <c r="R489" s="8"/>
      <c r="S489" s="8"/>
      <c r="T489" s="8"/>
      <c r="U489" s="8"/>
      <c r="V489" s="8"/>
      <c r="W489" s="8"/>
      <c r="X489" s="8"/>
      <c r="Y489" s="8"/>
      <c r="Z489" s="8"/>
    </row>
    <row r="490">
      <c r="A490" s="7" t="s">
        <v>746</v>
      </c>
      <c r="B490" s="7" t="s">
        <v>747</v>
      </c>
      <c r="C490" s="7" t="s">
        <v>51</v>
      </c>
      <c r="D490" s="7">
        <v>14.2</v>
      </c>
      <c r="E490" s="8"/>
      <c r="F490" s="8"/>
      <c r="G490" s="8"/>
      <c r="H490" s="8"/>
      <c r="I490" s="8"/>
      <c r="J490" s="9"/>
      <c r="K490" s="8"/>
      <c r="L490" s="8"/>
      <c r="M490" s="8"/>
      <c r="N490" s="8"/>
      <c r="O490" s="8"/>
      <c r="P490" s="8"/>
      <c r="Q490" s="8"/>
      <c r="R490" s="8"/>
      <c r="S490" s="8"/>
      <c r="T490" s="8"/>
      <c r="U490" s="8"/>
      <c r="V490" s="8"/>
      <c r="W490" s="8"/>
      <c r="X490" s="8"/>
      <c r="Y490" s="8"/>
      <c r="Z490" s="8"/>
    </row>
    <row r="491">
      <c r="A491" s="7" t="s">
        <v>746</v>
      </c>
      <c r="B491" s="7" t="s">
        <v>748</v>
      </c>
      <c r="C491" s="7" t="s">
        <v>57</v>
      </c>
      <c r="D491" s="7">
        <v>6.5</v>
      </c>
      <c r="E491" s="8"/>
      <c r="F491" s="8"/>
      <c r="G491" s="8"/>
      <c r="H491" s="8"/>
      <c r="I491" s="8"/>
      <c r="J491" s="9"/>
      <c r="K491" s="8"/>
      <c r="L491" s="8"/>
      <c r="M491" s="8"/>
      <c r="N491" s="8"/>
      <c r="O491" s="8"/>
      <c r="P491" s="8"/>
      <c r="Q491" s="8"/>
      <c r="R491" s="8"/>
      <c r="S491" s="8"/>
      <c r="T491" s="8"/>
      <c r="U491" s="8"/>
      <c r="V491" s="8"/>
      <c r="W491" s="8"/>
      <c r="X491" s="8"/>
      <c r="Y491" s="8"/>
      <c r="Z491" s="8"/>
    </row>
    <row r="492">
      <c r="A492" s="7" t="s">
        <v>749</v>
      </c>
      <c r="B492" s="7" t="s">
        <v>750</v>
      </c>
      <c r="C492" s="7" t="s">
        <v>51</v>
      </c>
      <c r="D492" s="7">
        <v>8.0</v>
      </c>
      <c r="E492" s="8"/>
      <c r="F492" s="8"/>
      <c r="G492" s="8"/>
      <c r="H492" s="8"/>
      <c r="I492" s="8"/>
      <c r="J492" s="9"/>
      <c r="K492" s="8"/>
      <c r="L492" s="8"/>
      <c r="M492" s="8"/>
      <c r="N492" s="8"/>
      <c r="O492" s="8"/>
      <c r="P492" s="8"/>
      <c r="Q492" s="8"/>
      <c r="R492" s="8"/>
      <c r="S492" s="8"/>
      <c r="T492" s="8"/>
      <c r="U492" s="8"/>
      <c r="V492" s="8"/>
      <c r="W492" s="8"/>
      <c r="X492" s="8"/>
      <c r="Y492" s="8"/>
      <c r="Z492" s="8"/>
    </row>
    <row r="493">
      <c r="A493" s="7" t="s">
        <v>749</v>
      </c>
      <c r="B493" s="7" t="s">
        <v>751</v>
      </c>
      <c r="C493" s="7" t="s">
        <v>51</v>
      </c>
      <c r="D493" s="7">
        <v>7.0</v>
      </c>
      <c r="E493" s="8"/>
      <c r="F493" s="8"/>
      <c r="G493" s="8"/>
      <c r="H493" s="8"/>
      <c r="I493" s="8"/>
      <c r="J493" s="9"/>
      <c r="K493" s="8"/>
      <c r="L493" s="8"/>
      <c r="M493" s="8"/>
      <c r="N493" s="8"/>
      <c r="O493" s="8"/>
      <c r="P493" s="8"/>
      <c r="Q493" s="8"/>
      <c r="R493" s="8"/>
      <c r="S493" s="8"/>
      <c r="T493" s="8"/>
      <c r="U493" s="8"/>
      <c r="V493" s="8"/>
      <c r="W493" s="8"/>
      <c r="X493" s="8"/>
      <c r="Y493" s="8"/>
      <c r="Z493" s="8"/>
    </row>
    <row r="494">
      <c r="A494" s="7" t="s">
        <v>752</v>
      </c>
      <c r="B494" s="7" t="s">
        <v>753</v>
      </c>
      <c r="C494" s="7" t="s">
        <v>57</v>
      </c>
      <c r="D494" s="7">
        <v>3.0</v>
      </c>
      <c r="E494" s="8"/>
      <c r="F494" s="8"/>
      <c r="G494" s="8"/>
      <c r="H494" s="8"/>
      <c r="I494" s="8"/>
      <c r="J494" s="9"/>
      <c r="K494" s="8"/>
      <c r="L494" s="8"/>
      <c r="M494" s="8"/>
      <c r="N494" s="8"/>
      <c r="O494" s="8"/>
      <c r="P494" s="8"/>
      <c r="Q494" s="8"/>
      <c r="R494" s="8"/>
      <c r="S494" s="8"/>
      <c r="T494" s="8"/>
      <c r="U494" s="8"/>
      <c r="V494" s="8"/>
      <c r="W494" s="8"/>
      <c r="X494" s="8"/>
      <c r="Y494" s="8"/>
      <c r="Z494" s="8"/>
    </row>
    <row r="495">
      <c r="A495" s="7" t="s">
        <v>754</v>
      </c>
      <c r="B495" s="7" t="s">
        <v>755</v>
      </c>
      <c r="C495" s="7" t="s">
        <v>57</v>
      </c>
      <c r="D495" s="7">
        <v>17.0</v>
      </c>
      <c r="E495" s="8"/>
      <c r="F495" s="8"/>
      <c r="G495" s="8"/>
      <c r="H495" s="8"/>
      <c r="I495" s="8"/>
      <c r="J495" s="9"/>
      <c r="K495" s="8"/>
      <c r="L495" s="8"/>
      <c r="M495" s="8"/>
      <c r="N495" s="8"/>
      <c r="O495" s="8"/>
      <c r="P495" s="8"/>
      <c r="Q495" s="8"/>
      <c r="R495" s="8"/>
      <c r="S495" s="8"/>
      <c r="T495" s="8"/>
      <c r="U495" s="8"/>
      <c r="V495" s="8"/>
      <c r="W495" s="8"/>
      <c r="X495" s="8"/>
      <c r="Y495" s="8"/>
      <c r="Z495" s="8"/>
    </row>
    <row r="496">
      <c r="A496" s="7" t="s">
        <v>756</v>
      </c>
      <c r="B496" s="7" t="s">
        <v>757</v>
      </c>
      <c r="C496" s="7" t="s">
        <v>51</v>
      </c>
      <c r="D496" s="7">
        <v>7.3</v>
      </c>
      <c r="E496" s="8"/>
      <c r="F496" s="8"/>
      <c r="G496" s="8"/>
      <c r="H496" s="8"/>
      <c r="I496" s="8"/>
      <c r="J496" s="9"/>
      <c r="K496" s="8"/>
      <c r="L496" s="8"/>
      <c r="M496" s="8"/>
      <c r="N496" s="8"/>
      <c r="O496" s="8"/>
      <c r="P496" s="8"/>
      <c r="Q496" s="8"/>
      <c r="R496" s="8"/>
      <c r="S496" s="8"/>
      <c r="T496" s="8"/>
      <c r="U496" s="8"/>
      <c r="V496" s="8"/>
      <c r="W496" s="8"/>
      <c r="X496" s="8"/>
      <c r="Y496" s="8"/>
      <c r="Z496" s="8"/>
    </row>
    <row r="497">
      <c r="A497" s="7" t="s">
        <v>758</v>
      </c>
      <c r="B497" s="7" t="s">
        <v>759</v>
      </c>
      <c r="C497" s="7">
        <v>4.0</v>
      </c>
      <c r="D497" s="7">
        <v>4.5</v>
      </c>
      <c r="E497" s="8"/>
      <c r="F497" s="8"/>
      <c r="G497" s="8"/>
      <c r="H497" s="8"/>
      <c r="I497" s="8"/>
      <c r="J497" s="9"/>
      <c r="K497" s="8"/>
      <c r="L497" s="8"/>
      <c r="M497" s="8"/>
      <c r="N497" s="8"/>
      <c r="O497" s="8"/>
      <c r="P497" s="8"/>
      <c r="Q497" s="8"/>
      <c r="R497" s="8"/>
      <c r="S497" s="8"/>
      <c r="T497" s="8"/>
      <c r="U497" s="8"/>
      <c r="V497" s="8"/>
      <c r="W497" s="8"/>
      <c r="X497" s="8"/>
      <c r="Y497" s="8"/>
      <c r="Z497" s="8"/>
    </row>
    <row r="498">
      <c r="A498" s="7" t="s">
        <v>758</v>
      </c>
      <c r="B498" s="7" t="s">
        <v>760</v>
      </c>
      <c r="C498" s="7"/>
      <c r="D498" s="7">
        <v>9.0</v>
      </c>
      <c r="E498" s="8"/>
      <c r="F498" s="8"/>
      <c r="G498" s="8"/>
      <c r="H498" s="8"/>
      <c r="I498" s="8"/>
      <c r="J498" s="9"/>
      <c r="K498" s="8"/>
      <c r="L498" s="8"/>
      <c r="M498" s="8"/>
      <c r="N498" s="8"/>
      <c r="O498" s="8"/>
      <c r="P498" s="8"/>
      <c r="Q498" s="8"/>
      <c r="R498" s="8"/>
      <c r="S498" s="8"/>
      <c r="T498" s="8"/>
      <c r="U498" s="8"/>
      <c r="V498" s="8"/>
      <c r="W498" s="8"/>
      <c r="X498" s="8"/>
      <c r="Y498" s="8"/>
      <c r="Z498" s="8"/>
    </row>
    <row r="499">
      <c r="A499" s="7" t="s">
        <v>761</v>
      </c>
      <c r="B499" s="7" t="s">
        <v>762</v>
      </c>
      <c r="C499" s="7" t="s">
        <v>51</v>
      </c>
      <c r="D499" s="7">
        <v>3.5</v>
      </c>
      <c r="E499" s="8"/>
      <c r="F499" s="8"/>
      <c r="G499" s="8"/>
      <c r="H499" s="8"/>
      <c r="I499" s="8"/>
      <c r="J499" s="9"/>
      <c r="K499" s="8"/>
      <c r="L499" s="8"/>
      <c r="M499" s="8"/>
      <c r="N499" s="8"/>
      <c r="O499" s="8"/>
      <c r="P499" s="8"/>
      <c r="Q499" s="8"/>
      <c r="R499" s="8"/>
      <c r="S499" s="8"/>
      <c r="T499" s="8"/>
      <c r="U499" s="8"/>
      <c r="V499" s="8"/>
      <c r="W499" s="8"/>
      <c r="X499" s="8"/>
      <c r="Y499" s="8"/>
      <c r="Z499" s="8"/>
    </row>
    <row r="500">
      <c r="A500" s="7" t="s">
        <v>763</v>
      </c>
      <c r="B500" s="7" t="s">
        <v>764</v>
      </c>
      <c r="C500" s="7"/>
      <c r="D500" s="7">
        <v>3.5</v>
      </c>
      <c r="E500" s="8"/>
      <c r="F500" s="8"/>
      <c r="G500" s="8"/>
      <c r="H500" s="8"/>
      <c r="I500" s="8"/>
      <c r="J500" s="9"/>
      <c r="K500" s="8"/>
      <c r="L500" s="8"/>
      <c r="M500" s="8"/>
      <c r="N500" s="8"/>
      <c r="O500" s="8"/>
      <c r="P500" s="8"/>
      <c r="Q500" s="8"/>
      <c r="R500" s="8"/>
      <c r="S500" s="8"/>
      <c r="T500" s="8"/>
      <c r="U500" s="8"/>
      <c r="V500" s="8"/>
      <c r="W500" s="8"/>
      <c r="X500" s="8"/>
      <c r="Y500" s="8"/>
      <c r="Z500" s="8"/>
    </row>
    <row r="501">
      <c r="A501" s="7" t="s">
        <v>765</v>
      </c>
      <c r="B501" s="7" t="s">
        <v>766</v>
      </c>
      <c r="C501" s="7"/>
      <c r="D501" s="7">
        <v>1.5</v>
      </c>
      <c r="E501" s="8"/>
      <c r="F501" s="8"/>
      <c r="G501" s="8"/>
      <c r="H501" s="8"/>
      <c r="I501" s="8"/>
      <c r="J501" s="9"/>
      <c r="K501" s="8"/>
      <c r="L501" s="8"/>
      <c r="M501" s="8"/>
      <c r="N501" s="8"/>
      <c r="O501" s="8"/>
      <c r="P501" s="8"/>
      <c r="Q501" s="8"/>
      <c r="R501" s="8"/>
      <c r="S501" s="8"/>
      <c r="T501" s="8"/>
      <c r="U501" s="8"/>
      <c r="V501" s="8"/>
      <c r="W501" s="8"/>
      <c r="X501" s="8"/>
      <c r="Y501" s="8"/>
      <c r="Z501" s="8"/>
    </row>
    <row r="502">
      <c r="A502" s="7" t="s">
        <v>767</v>
      </c>
      <c r="B502" s="7" t="s">
        <v>768</v>
      </c>
      <c r="C502" s="7" t="s">
        <v>51</v>
      </c>
      <c r="D502" s="7">
        <v>6.5</v>
      </c>
      <c r="E502" s="8"/>
      <c r="F502" s="8"/>
      <c r="G502" s="8"/>
      <c r="H502" s="8"/>
      <c r="I502" s="8"/>
      <c r="J502" s="9"/>
      <c r="K502" s="8"/>
      <c r="L502" s="8"/>
      <c r="M502" s="8"/>
      <c r="N502" s="8"/>
      <c r="O502" s="8"/>
      <c r="P502" s="8"/>
      <c r="Q502" s="8"/>
      <c r="R502" s="8"/>
      <c r="S502" s="8"/>
      <c r="T502" s="8"/>
      <c r="U502" s="8"/>
      <c r="V502" s="8"/>
      <c r="W502" s="8"/>
      <c r="X502" s="8"/>
      <c r="Y502" s="8"/>
      <c r="Z502" s="8"/>
    </row>
    <row r="503">
      <c r="A503" s="10" t="s">
        <v>769</v>
      </c>
      <c r="B503" s="10" t="s">
        <v>770</v>
      </c>
      <c r="C503" s="10" t="s">
        <v>57</v>
      </c>
      <c r="D503" s="10">
        <v>7.0</v>
      </c>
      <c r="E503" s="11"/>
      <c r="F503" s="11"/>
      <c r="G503" s="11"/>
      <c r="H503" s="10" t="s">
        <v>84</v>
      </c>
      <c r="I503" s="11"/>
      <c r="J503" s="12"/>
      <c r="K503" s="11"/>
      <c r="L503" s="11"/>
      <c r="M503" s="11"/>
      <c r="N503" s="11"/>
      <c r="O503" s="11"/>
      <c r="P503" s="11"/>
      <c r="Q503" s="11"/>
      <c r="R503" s="11"/>
      <c r="S503" s="11"/>
      <c r="T503" s="11"/>
      <c r="U503" s="11"/>
      <c r="V503" s="11"/>
      <c r="W503" s="11"/>
      <c r="X503" s="11"/>
      <c r="Y503" s="11"/>
      <c r="Z503" s="11"/>
    </row>
    <row r="504">
      <c r="A504" s="7" t="s">
        <v>771</v>
      </c>
      <c r="B504" s="7" t="s">
        <v>772</v>
      </c>
      <c r="C504" s="7" t="s">
        <v>66</v>
      </c>
      <c r="D504" s="7">
        <v>6.0</v>
      </c>
      <c r="E504" s="8"/>
      <c r="F504" s="8"/>
      <c r="G504" s="8"/>
      <c r="H504" s="7"/>
      <c r="I504" s="7"/>
      <c r="J504" s="9"/>
      <c r="K504" s="8"/>
      <c r="L504" s="8"/>
      <c r="M504" s="8"/>
      <c r="N504" s="8"/>
      <c r="O504" s="8"/>
      <c r="P504" s="8"/>
      <c r="Q504" s="8"/>
      <c r="R504" s="8"/>
      <c r="S504" s="8"/>
      <c r="T504" s="8"/>
      <c r="U504" s="8"/>
      <c r="V504" s="8"/>
      <c r="W504" s="8"/>
      <c r="X504" s="8"/>
      <c r="Y504" s="8"/>
      <c r="Z504" s="8"/>
    </row>
    <row r="505">
      <c r="A505" s="7" t="s">
        <v>771</v>
      </c>
      <c r="B505" s="7" t="s">
        <v>773</v>
      </c>
      <c r="C505" s="7" t="s">
        <v>57</v>
      </c>
      <c r="D505" s="7">
        <v>7.3</v>
      </c>
      <c r="E505" s="8"/>
      <c r="F505" s="8"/>
      <c r="G505" s="8"/>
      <c r="H505" s="7"/>
      <c r="I505" s="7"/>
      <c r="J505" s="9"/>
      <c r="K505" s="8"/>
      <c r="L505" s="8"/>
      <c r="M505" s="8"/>
      <c r="N505" s="8"/>
      <c r="O505" s="8"/>
      <c r="P505" s="8"/>
      <c r="Q505" s="8"/>
      <c r="R505" s="8"/>
      <c r="S505" s="8"/>
      <c r="T505" s="8"/>
      <c r="U505" s="8"/>
      <c r="V505" s="8"/>
      <c r="W505" s="8"/>
      <c r="X505" s="8"/>
      <c r="Y505" s="8"/>
      <c r="Z505" s="8"/>
    </row>
    <row r="506">
      <c r="A506" s="7" t="s">
        <v>774</v>
      </c>
      <c r="B506" s="7" t="s">
        <v>775</v>
      </c>
      <c r="C506" s="7" t="s">
        <v>51</v>
      </c>
      <c r="D506" s="7"/>
      <c r="E506" s="8"/>
      <c r="F506" s="8"/>
      <c r="G506" s="8"/>
      <c r="H506" s="7"/>
      <c r="I506" s="7"/>
      <c r="J506" s="9"/>
      <c r="K506" s="8"/>
      <c r="L506" s="8"/>
      <c r="M506" s="8"/>
      <c r="N506" s="8"/>
      <c r="O506" s="8"/>
      <c r="P506" s="8"/>
      <c r="Q506" s="8"/>
      <c r="R506" s="8"/>
      <c r="S506" s="8"/>
      <c r="T506" s="8"/>
      <c r="U506" s="8"/>
      <c r="V506" s="8"/>
      <c r="W506" s="8"/>
      <c r="X506" s="8"/>
      <c r="Y506" s="8"/>
      <c r="Z506" s="8"/>
    </row>
    <row r="507">
      <c r="A507" s="10" t="s">
        <v>776</v>
      </c>
      <c r="B507" s="10" t="s">
        <v>777</v>
      </c>
      <c r="C507" s="10" t="s">
        <v>51</v>
      </c>
      <c r="D507" s="10">
        <v>7.3</v>
      </c>
      <c r="E507" s="11"/>
      <c r="F507" s="11"/>
      <c r="G507" s="11"/>
      <c r="H507" s="10" t="s">
        <v>139</v>
      </c>
      <c r="I507" s="10"/>
      <c r="J507" s="12"/>
      <c r="K507" s="11"/>
      <c r="L507" s="11"/>
      <c r="M507" s="11"/>
      <c r="N507" s="11"/>
      <c r="O507" s="11"/>
      <c r="P507" s="11"/>
      <c r="Q507" s="11"/>
      <c r="R507" s="11"/>
      <c r="S507" s="11"/>
      <c r="T507" s="11"/>
      <c r="U507" s="11"/>
      <c r="V507" s="11"/>
      <c r="W507" s="11"/>
      <c r="X507" s="11"/>
      <c r="Y507" s="11"/>
      <c r="Z507" s="11"/>
    </row>
    <row r="508">
      <c r="A508" s="7" t="s">
        <v>778</v>
      </c>
      <c r="B508" s="7" t="s">
        <v>779</v>
      </c>
      <c r="C508" s="7">
        <v>38.0</v>
      </c>
      <c r="D508" s="7"/>
      <c r="E508" s="8"/>
      <c r="F508" s="8"/>
      <c r="G508" s="8"/>
      <c r="H508" s="8"/>
      <c r="I508" s="8"/>
      <c r="J508" s="9"/>
      <c r="K508" s="8"/>
      <c r="L508" s="8"/>
      <c r="M508" s="8"/>
      <c r="N508" s="8"/>
      <c r="O508" s="8"/>
      <c r="P508" s="8"/>
      <c r="Q508" s="8"/>
      <c r="R508" s="8"/>
      <c r="S508" s="8"/>
      <c r="T508" s="8"/>
      <c r="U508" s="8"/>
      <c r="V508" s="8"/>
      <c r="W508" s="8"/>
      <c r="X508" s="8"/>
      <c r="Y508" s="8"/>
      <c r="Z508" s="8"/>
    </row>
    <row r="509">
      <c r="A509" s="10" t="s">
        <v>780</v>
      </c>
      <c r="B509" s="10" t="s">
        <v>564</v>
      </c>
      <c r="C509" s="10" t="s">
        <v>51</v>
      </c>
      <c r="D509" s="10">
        <v>10.0</v>
      </c>
      <c r="E509" s="11"/>
      <c r="F509" s="11"/>
      <c r="G509" s="11"/>
      <c r="H509" s="10" t="s">
        <v>347</v>
      </c>
      <c r="I509" s="11"/>
      <c r="J509" s="12"/>
      <c r="K509" s="11"/>
      <c r="L509" s="11"/>
      <c r="M509" s="11"/>
      <c r="N509" s="11"/>
      <c r="O509" s="11"/>
      <c r="P509" s="11"/>
      <c r="Q509" s="11"/>
      <c r="R509" s="11"/>
      <c r="S509" s="11"/>
      <c r="T509" s="11"/>
      <c r="U509" s="11"/>
      <c r="V509" s="11"/>
      <c r="W509" s="11"/>
      <c r="X509" s="11"/>
      <c r="Y509" s="11"/>
      <c r="Z509" s="11"/>
    </row>
    <row r="510">
      <c r="A510" s="7" t="s">
        <v>781</v>
      </c>
      <c r="B510" s="7" t="s">
        <v>782</v>
      </c>
      <c r="C510" s="7" t="s">
        <v>51</v>
      </c>
      <c r="D510" s="7">
        <v>6.5</v>
      </c>
      <c r="E510" s="8"/>
      <c r="F510" s="8"/>
      <c r="G510" s="8"/>
      <c r="H510" s="8"/>
      <c r="I510" s="8"/>
      <c r="J510" s="9"/>
      <c r="K510" s="8"/>
      <c r="L510" s="8"/>
      <c r="M510" s="8"/>
      <c r="N510" s="8"/>
      <c r="O510" s="8"/>
      <c r="P510" s="8"/>
      <c r="Q510" s="8"/>
      <c r="R510" s="8"/>
      <c r="S510" s="8"/>
      <c r="T510" s="8"/>
      <c r="U510" s="8"/>
      <c r="V510" s="8"/>
      <c r="W510" s="8"/>
      <c r="X510" s="8"/>
      <c r="Y510" s="8"/>
      <c r="Z510" s="8"/>
    </row>
    <row r="511">
      <c r="A511" s="7" t="s">
        <v>781</v>
      </c>
      <c r="B511" s="7" t="s">
        <v>783</v>
      </c>
      <c r="C511" s="7" t="s">
        <v>51</v>
      </c>
      <c r="D511" s="7">
        <v>3.65</v>
      </c>
      <c r="E511" s="8"/>
      <c r="F511" s="8"/>
      <c r="G511" s="8"/>
      <c r="H511" s="8"/>
      <c r="I511" s="8"/>
      <c r="J511" s="9"/>
      <c r="K511" s="8"/>
      <c r="L511" s="8"/>
      <c r="M511" s="8"/>
      <c r="N511" s="8"/>
      <c r="O511" s="8"/>
      <c r="P511" s="8"/>
      <c r="Q511" s="8"/>
      <c r="R511" s="8"/>
      <c r="S511" s="8"/>
      <c r="T511" s="8"/>
      <c r="U511" s="8"/>
      <c r="V511" s="8"/>
      <c r="W511" s="8"/>
      <c r="X511" s="8"/>
      <c r="Y511" s="8"/>
      <c r="Z511" s="8"/>
    </row>
    <row r="512">
      <c r="A512" s="7" t="s">
        <v>784</v>
      </c>
      <c r="B512" s="7" t="s">
        <v>785</v>
      </c>
      <c r="C512" s="7" t="s">
        <v>51</v>
      </c>
      <c r="D512" s="7">
        <v>7.0</v>
      </c>
      <c r="E512" s="8"/>
      <c r="F512" s="8"/>
      <c r="G512" s="8"/>
      <c r="H512" s="8"/>
      <c r="I512" s="8"/>
      <c r="J512" s="9"/>
      <c r="K512" s="8"/>
      <c r="L512" s="8"/>
      <c r="M512" s="8"/>
      <c r="N512" s="8"/>
      <c r="O512" s="8"/>
      <c r="P512" s="8"/>
      <c r="Q512" s="8"/>
      <c r="R512" s="8"/>
      <c r="S512" s="8"/>
      <c r="T512" s="8"/>
      <c r="U512" s="8"/>
      <c r="V512" s="8"/>
      <c r="W512" s="8"/>
      <c r="X512" s="8"/>
      <c r="Y512" s="8"/>
      <c r="Z512" s="8"/>
    </row>
    <row r="513">
      <c r="A513" s="7" t="s">
        <v>786</v>
      </c>
      <c r="B513" s="7" t="s">
        <v>469</v>
      </c>
      <c r="C513" s="7" t="s">
        <v>57</v>
      </c>
      <c r="D513" s="7">
        <v>5.0</v>
      </c>
      <c r="E513" s="8"/>
      <c r="F513" s="8"/>
      <c r="G513" s="8"/>
      <c r="H513" s="8"/>
      <c r="I513" s="8"/>
      <c r="J513" s="9"/>
      <c r="K513" s="8"/>
      <c r="L513" s="8"/>
      <c r="M513" s="8"/>
      <c r="N513" s="8"/>
      <c r="O513" s="8"/>
      <c r="P513" s="8"/>
      <c r="Q513" s="8"/>
      <c r="R513" s="8"/>
      <c r="S513" s="8"/>
      <c r="T513" s="8"/>
      <c r="U513" s="8"/>
      <c r="V513" s="8"/>
      <c r="W513" s="8"/>
      <c r="X513" s="8"/>
      <c r="Y513" s="8"/>
      <c r="Z513" s="8"/>
    </row>
    <row r="514">
      <c r="A514" s="7" t="s">
        <v>787</v>
      </c>
      <c r="B514" s="7" t="s">
        <v>788</v>
      </c>
      <c r="C514" s="7"/>
      <c r="D514" s="7">
        <v>5.0</v>
      </c>
      <c r="E514" s="8"/>
      <c r="F514" s="8"/>
      <c r="G514" s="8"/>
      <c r="H514" s="8"/>
      <c r="I514" s="8"/>
      <c r="J514" s="9"/>
      <c r="K514" s="8"/>
      <c r="L514" s="8"/>
      <c r="M514" s="8"/>
      <c r="N514" s="8"/>
      <c r="O514" s="8"/>
      <c r="P514" s="8"/>
      <c r="Q514" s="8"/>
      <c r="R514" s="8"/>
      <c r="S514" s="8"/>
      <c r="T514" s="8"/>
      <c r="U514" s="8"/>
      <c r="V514" s="8"/>
      <c r="W514" s="8"/>
      <c r="X514" s="8"/>
      <c r="Y514" s="8"/>
      <c r="Z514" s="8"/>
    </row>
    <row r="515">
      <c r="A515" s="7" t="s">
        <v>789</v>
      </c>
      <c r="B515" s="7" t="s">
        <v>790</v>
      </c>
      <c r="C515" s="7" t="s">
        <v>51</v>
      </c>
      <c r="D515" s="7"/>
      <c r="E515" s="8"/>
      <c r="F515" s="8"/>
      <c r="G515" s="8"/>
      <c r="H515" s="8"/>
      <c r="I515" s="8"/>
      <c r="J515" s="9"/>
      <c r="K515" s="8"/>
      <c r="L515" s="8"/>
      <c r="M515" s="8"/>
      <c r="N515" s="8"/>
      <c r="O515" s="8"/>
      <c r="P515" s="8"/>
      <c r="Q515" s="8"/>
      <c r="R515" s="8"/>
      <c r="S515" s="8"/>
      <c r="T515" s="8"/>
      <c r="U515" s="8"/>
      <c r="V515" s="8"/>
      <c r="W515" s="8"/>
      <c r="X515" s="8"/>
      <c r="Y515" s="8"/>
      <c r="Z515" s="8"/>
    </row>
    <row r="516">
      <c r="A516" s="7" t="s">
        <v>791</v>
      </c>
      <c r="B516" s="7" t="s">
        <v>664</v>
      </c>
      <c r="C516" s="7">
        <v>7.0</v>
      </c>
      <c r="D516" s="7">
        <v>7.0</v>
      </c>
      <c r="E516" s="8"/>
      <c r="F516" s="8"/>
      <c r="G516" s="8"/>
      <c r="H516" s="8"/>
      <c r="I516" s="8"/>
      <c r="J516" s="9"/>
      <c r="K516" s="8"/>
      <c r="L516" s="8"/>
      <c r="M516" s="8"/>
      <c r="N516" s="8"/>
      <c r="O516" s="8"/>
      <c r="P516" s="8"/>
      <c r="Q516" s="8"/>
      <c r="R516" s="8"/>
      <c r="S516" s="8"/>
      <c r="T516" s="8"/>
      <c r="U516" s="8"/>
      <c r="V516" s="8"/>
      <c r="W516" s="8"/>
      <c r="X516" s="8"/>
      <c r="Y516" s="8"/>
      <c r="Z516" s="8"/>
    </row>
    <row r="517">
      <c r="A517" s="7" t="s">
        <v>792</v>
      </c>
      <c r="B517" s="7" t="s">
        <v>793</v>
      </c>
      <c r="C517" s="7" t="s">
        <v>51</v>
      </c>
      <c r="D517" s="7">
        <v>3.0</v>
      </c>
      <c r="E517" s="8"/>
      <c r="F517" s="8"/>
      <c r="G517" s="8"/>
      <c r="H517" s="8"/>
      <c r="I517" s="8"/>
      <c r="J517" s="9"/>
      <c r="K517" s="8"/>
      <c r="L517" s="8"/>
      <c r="M517" s="8"/>
      <c r="N517" s="8"/>
      <c r="O517" s="8"/>
      <c r="P517" s="8"/>
      <c r="Q517" s="8"/>
      <c r="R517" s="8"/>
      <c r="S517" s="8"/>
      <c r="T517" s="8"/>
      <c r="U517" s="8"/>
      <c r="V517" s="8"/>
      <c r="W517" s="8"/>
      <c r="X517" s="8"/>
      <c r="Y517" s="8"/>
      <c r="Z517" s="8"/>
    </row>
    <row r="518">
      <c r="A518" s="7" t="s">
        <v>794</v>
      </c>
      <c r="B518" s="7" t="s">
        <v>795</v>
      </c>
      <c r="C518" s="7"/>
      <c r="D518" s="7">
        <v>2.0</v>
      </c>
      <c r="E518" s="8"/>
      <c r="F518" s="8"/>
      <c r="G518" s="8"/>
      <c r="H518" s="8"/>
      <c r="I518" s="8"/>
      <c r="J518" s="9"/>
      <c r="K518" s="8"/>
      <c r="L518" s="8"/>
      <c r="M518" s="8"/>
      <c r="N518" s="8"/>
      <c r="O518" s="8"/>
      <c r="P518" s="8"/>
      <c r="Q518" s="8"/>
      <c r="R518" s="8"/>
      <c r="S518" s="8"/>
      <c r="T518" s="8"/>
      <c r="U518" s="8"/>
      <c r="V518" s="8"/>
      <c r="W518" s="8"/>
      <c r="X518" s="8"/>
      <c r="Y518" s="8"/>
      <c r="Z518" s="8"/>
    </row>
    <row r="519">
      <c r="A519" s="7" t="s">
        <v>794</v>
      </c>
      <c r="B519" s="7" t="s">
        <v>796</v>
      </c>
      <c r="C519" s="7" t="s">
        <v>51</v>
      </c>
      <c r="D519" s="7">
        <v>9.0</v>
      </c>
      <c r="E519" s="8"/>
      <c r="F519" s="8"/>
      <c r="G519" s="8"/>
      <c r="H519" s="8"/>
      <c r="I519" s="8"/>
      <c r="J519" s="9"/>
      <c r="K519" s="8"/>
      <c r="L519" s="8"/>
      <c r="M519" s="8"/>
      <c r="N519" s="8"/>
      <c r="O519" s="8"/>
      <c r="P519" s="8"/>
      <c r="Q519" s="8"/>
      <c r="R519" s="8"/>
      <c r="S519" s="8"/>
      <c r="T519" s="8"/>
      <c r="U519" s="8"/>
      <c r="V519" s="8"/>
      <c r="W519" s="8"/>
      <c r="X519" s="8"/>
      <c r="Y519" s="8"/>
      <c r="Z519" s="8"/>
    </row>
    <row r="520">
      <c r="A520" s="7" t="s">
        <v>794</v>
      </c>
      <c r="B520" s="7" t="s">
        <v>797</v>
      </c>
      <c r="C520" s="7" t="s">
        <v>51</v>
      </c>
      <c r="D520" s="7">
        <v>5.0</v>
      </c>
      <c r="E520" s="8"/>
      <c r="F520" s="8"/>
      <c r="G520" s="8"/>
      <c r="H520" s="8"/>
      <c r="I520" s="8"/>
      <c r="J520" s="9"/>
      <c r="K520" s="8"/>
      <c r="L520" s="8"/>
      <c r="M520" s="8"/>
      <c r="N520" s="8"/>
      <c r="O520" s="8"/>
      <c r="P520" s="8"/>
      <c r="Q520" s="8"/>
      <c r="R520" s="8"/>
      <c r="S520" s="8"/>
      <c r="T520" s="8"/>
      <c r="U520" s="8"/>
      <c r="V520" s="8"/>
      <c r="W520" s="8"/>
      <c r="X520" s="8"/>
      <c r="Y520" s="8"/>
      <c r="Z520" s="8"/>
    </row>
    <row r="521">
      <c r="A521" s="7" t="s">
        <v>794</v>
      </c>
      <c r="B521" s="7" t="s">
        <v>798</v>
      </c>
      <c r="C521" s="7"/>
      <c r="D521" s="7">
        <v>3.5</v>
      </c>
      <c r="E521" s="8"/>
      <c r="F521" s="8"/>
      <c r="G521" s="8"/>
      <c r="H521" s="8"/>
      <c r="I521" s="8"/>
      <c r="J521" s="9"/>
      <c r="K521" s="8"/>
      <c r="L521" s="8"/>
      <c r="M521" s="8"/>
      <c r="N521" s="8"/>
      <c r="O521" s="8"/>
      <c r="P521" s="8"/>
      <c r="Q521" s="8"/>
      <c r="R521" s="8"/>
      <c r="S521" s="8"/>
      <c r="T521" s="8"/>
      <c r="U521" s="8"/>
      <c r="V521" s="8"/>
      <c r="W521" s="8"/>
      <c r="X521" s="8"/>
      <c r="Y521" s="8"/>
      <c r="Z521" s="8"/>
    </row>
    <row r="522">
      <c r="A522" s="7" t="s">
        <v>799</v>
      </c>
      <c r="B522" s="7" t="s">
        <v>800</v>
      </c>
      <c r="C522" s="7" t="s">
        <v>57</v>
      </c>
      <c r="D522" s="7">
        <v>7.0</v>
      </c>
      <c r="E522" s="8"/>
      <c r="F522" s="8"/>
      <c r="G522" s="8"/>
      <c r="H522" s="8"/>
      <c r="I522" s="8"/>
      <c r="J522" s="9"/>
      <c r="K522" s="8"/>
      <c r="L522" s="8"/>
      <c r="M522" s="8"/>
      <c r="N522" s="8"/>
      <c r="O522" s="8"/>
      <c r="P522" s="8"/>
      <c r="Q522" s="8"/>
      <c r="R522" s="8"/>
      <c r="S522" s="8"/>
      <c r="T522" s="8"/>
      <c r="U522" s="8"/>
      <c r="V522" s="8"/>
      <c r="W522" s="8"/>
      <c r="X522" s="8"/>
      <c r="Y522" s="8"/>
      <c r="Z522" s="8"/>
    </row>
    <row r="523">
      <c r="A523" s="7" t="s">
        <v>801</v>
      </c>
      <c r="B523" s="7" t="s">
        <v>802</v>
      </c>
      <c r="C523" s="7" t="s">
        <v>51</v>
      </c>
      <c r="D523" s="7">
        <v>7.3</v>
      </c>
      <c r="E523" s="8"/>
      <c r="F523" s="8"/>
      <c r="G523" s="8"/>
      <c r="H523" s="8"/>
      <c r="I523" s="8"/>
      <c r="J523" s="9"/>
      <c r="K523" s="8"/>
      <c r="L523" s="8"/>
      <c r="M523" s="8"/>
      <c r="N523" s="8"/>
      <c r="O523" s="8"/>
      <c r="P523" s="8"/>
      <c r="Q523" s="8"/>
      <c r="R523" s="8"/>
      <c r="S523" s="8"/>
      <c r="T523" s="8"/>
      <c r="U523" s="8"/>
      <c r="V523" s="8"/>
      <c r="W523" s="8"/>
      <c r="X523" s="8"/>
      <c r="Y523" s="8"/>
      <c r="Z523" s="8"/>
    </row>
    <row r="524">
      <c r="A524" s="7" t="s">
        <v>803</v>
      </c>
      <c r="B524" s="7" t="s">
        <v>328</v>
      </c>
      <c r="C524" s="7" t="s">
        <v>66</v>
      </c>
      <c r="D524" s="7">
        <v>4.14</v>
      </c>
      <c r="E524" s="8"/>
      <c r="F524" s="8"/>
      <c r="G524" s="8"/>
      <c r="H524" s="8"/>
      <c r="I524" s="8"/>
      <c r="J524" s="9"/>
      <c r="K524" s="8"/>
      <c r="L524" s="8"/>
      <c r="M524" s="8"/>
      <c r="N524" s="8"/>
      <c r="O524" s="8"/>
      <c r="P524" s="8"/>
      <c r="Q524" s="8"/>
      <c r="R524" s="8"/>
      <c r="S524" s="8"/>
      <c r="T524" s="8"/>
      <c r="U524" s="8"/>
      <c r="V524" s="8"/>
      <c r="W524" s="8"/>
      <c r="X524" s="8"/>
      <c r="Y524" s="8"/>
      <c r="Z524" s="8"/>
    </row>
    <row r="525">
      <c r="A525" s="7" t="s">
        <v>804</v>
      </c>
      <c r="B525" s="7" t="s">
        <v>805</v>
      </c>
      <c r="C525" s="7">
        <v>25.0</v>
      </c>
      <c r="D525" s="7"/>
      <c r="E525" s="8"/>
      <c r="F525" s="8"/>
      <c r="G525" s="7"/>
      <c r="H525" s="7"/>
      <c r="I525" s="7"/>
      <c r="J525" s="9"/>
      <c r="K525" s="8"/>
      <c r="L525" s="8"/>
      <c r="M525" s="8"/>
      <c r="N525" s="8"/>
      <c r="O525" s="8"/>
      <c r="P525" s="8"/>
      <c r="Q525" s="8"/>
      <c r="R525" s="8"/>
      <c r="S525" s="8"/>
      <c r="T525" s="8"/>
      <c r="U525" s="8"/>
      <c r="V525" s="8"/>
      <c r="W525" s="8"/>
      <c r="X525" s="8"/>
      <c r="Y525" s="8"/>
      <c r="Z525" s="8"/>
    </row>
    <row r="526">
      <c r="A526" s="7" t="s">
        <v>806</v>
      </c>
      <c r="B526" s="7" t="s">
        <v>807</v>
      </c>
      <c r="C526" s="7" t="s">
        <v>57</v>
      </c>
      <c r="D526" s="7">
        <v>7.3</v>
      </c>
      <c r="E526" s="8"/>
      <c r="F526" s="8"/>
      <c r="G526" s="7"/>
      <c r="H526" s="7"/>
      <c r="I526" s="7"/>
      <c r="J526" s="9"/>
      <c r="K526" s="8"/>
      <c r="L526" s="8"/>
      <c r="M526" s="8"/>
      <c r="N526" s="8"/>
      <c r="O526" s="8"/>
      <c r="P526" s="8"/>
      <c r="Q526" s="8"/>
      <c r="R526" s="8"/>
      <c r="S526" s="8"/>
      <c r="T526" s="8"/>
      <c r="U526" s="8"/>
      <c r="V526" s="8"/>
      <c r="W526" s="8"/>
      <c r="X526" s="8"/>
      <c r="Y526" s="8"/>
      <c r="Z526" s="8"/>
    </row>
    <row r="527">
      <c r="A527" s="7" t="s">
        <v>808</v>
      </c>
      <c r="B527" s="7" t="s">
        <v>809</v>
      </c>
      <c r="C527" s="7" t="s">
        <v>51</v>
      </c>
      <c r="D527" s="7">
        <v>8.0</v>
      </c>
      <c r="E527" s="8"/>
      <c r="F527" s="8"/>
      <c r="G527" s="7"/>
      <c r="H527" s="7"/>
      <c r="I527" s="7"/>
      <c r="J527" s="9"/>
      <c r="K527" s="8"/>
      <c r="L527" s="8"/>
      <c r="M527" s="8"/>
      <c r="N527" s="8"/>
      <c r="O527" s="8"/>
      <c r="P527" s="8"/>
      <c r="Q527" s="8"/>
      <c r="R527" s="8"/>
      <c r="S527" s="8"/>
      <c r="T527" s="8"/>
      <c r="U527" s="8"/>
      <c r="V527" s="8"/>
      <c r="W527" s="8"/>
      <c r="X527" s="8"/>
      <c r="Y527" s="8"/>
      <c r="Z527" s="8"/>
    </row>
    <row r="528">
      <c r="A528" s="7" t="s">
        <v>808</v>
      </c>
      <c r="B528" s="7" t="s">
        <v>810</v>
      </c>
      <c r="C528" s="7" t="s">
        <v>57</v>
      </c>
      <c r="D528" s="7">
        <v>5.0</v>
      </c>
      <c r="E528" s="8"/>
      <c r="F528" s="8"/>
      <c r="G528" s="7"/>
      <c r="H528" s="7"/>
      <c r="I528" s="7"/>
      <c r="J528" s="9"/>
      <c r="K528" s="8"/>
      <c r="L528" s="8"/>
      <c r="M528" s="8"/>
      <c r="N528" s="8"/>
      <c r="O528" s="8"/>
      <c r="P528" s="8"/>
      <c r="Q528" s="8"/>
      <c r="R528" s="8"/>
      <c r="S528" s="8"/>
      <c r="T528" s="8"/>
      <c r="U528" s="8"/>
      <c r="V528" s="8"/>
      <c r="W528" s="8"/>
      <c r="X528" s="8"/>
      <c r="Y528" s="8"/>
      <c r="Z528" s="8"/>
    </row>
    <row r="529">
      <c r="A529" s="7" t="s">
        <v>808</v>
      </c>
      <c r="B529" s="7" t="s">
        <v>811</v>
      </c>
      <c r="C529" s="7" t="s">
        <v>95</v>
      </c>
      <c r="D529" s="7">
        <v>5.0</v>
      </c>
      <c r="E529" s="8"/>
      <c r="F529" s="8"/>
      <c r="G529" s="7"/>
      <c r="H529" s="7"/>
      <c r="I529" s="7"/>
      <c r="J529" s="9"/>
      <c r="K529" s="8"/>
      <c r="L529" s="8"/>
      <c r="M529" s="8"/>
      <c r="N529" s="8"/>
      <c r="O529" s="8"/>
      <c r="P529" s="8"/>
      <c r="Q529" s="8"/>
      <c r="R529" s="8"/>
      <c r="S529" s="8"/>
      <c r="T529" s="8"/>
      <c r="U529" s="8"/>
      <c r="V529" s="8"/>
      <c r="W529" s="8"/>
      <c r="X529" s="8"/>
      <c r="Y529" s="8"/>
      <c r="Z529" s="8"/>
    </row>
    <row r="530">
      <c r="A530" s="14" t="s">
        <v>812</v>
      </c>
      <c r="B530" s="14" t="s">
        <v>813</v>
      </c>
      <c r="C530" s="14">
        <v>27.0</v>
      </c>
      <c r="D530" s="14">
        <v>10.0</v>
      </c>
      <c r="E530" s="15"/>
      <c r="F530" s="15"/>
      <c r="G530" s="14"/>
      <c r="H530" s="14"/>
      <c r="I530" s="26" t="s">
        <v>814</v>
      </c>
      <c r="J530" s="16"/>
      <c r="K530" s="15"/>
      <c r="L530" s="15"/>
      <c r="M530" s="15"/>
      <c r="N530" s="15"/>
      <c r="O530" s="15"/>
      <c r="P530" s="15"/>
      <c r="Q530" s="15"/>
      <c r="R530" s="15"/>
      <c r="S530" s="15"/>
      <c r="T530" s="15"/>
      <c r="U530" s="15"/>
      <c r="V530" s="15"/>
      <c r="W530" s="15"/>
      <c r="X530" s="15"/>
      <c r="Y530" s="15"/>
      <c r="Z530" s="15"/>
    </row>
    <row r="531">
      <c r="A531" s="7" t="s">
        <v>812</v>
      </c>
      <c r="B531" s="7" t="s">
        <v>815</v>
      </c>
      <c r="C531" s="7" t="s">
        <v>66</v>
      </c>
      <c r="D531" s="7">
        <v>7.0</v>
      </c>
      <c r="E531" s="8"/>
      <c r="F531" s="8"/>
      <c r="G531" s="7"/>
      <c r="H531" s="7"/>
      <c r="I531" s="7"/>
      <c r="J531" s="9"/>
      <c r="K531" s="8"/>
      <c r="L531" s="8"/>
      <c r="M531" s="8"/>
      <c r="N531" s="8"/>
      <c r="O531" s="8"/>
      <c r="P531" s="8"/>
      <c r="Q531" s="8"/>
      <c r="R531" s="8"/>
      <c r="S531" s="8"/>
      <c r="T531" s="8"/>
      <c r="U531" s="8"/>
      <c r="V531" s="8"/>
      <c r="W531" s="8"/>
      <c r="X531" s="8"/>
      <c r="Y531" s="8"/>
      <c r="Z531" s="8"/>
    </row>
    <row r="532">
      <c r="A532" s="7" t="s">
        <v>816</v>
      </c>
      <c r="B532" s="7" t="s">
        <v>817</v>
      </c>
      <c r="C532" s="7" t="s">
        <v>57</v>
      </c>
      <c r="D532" s="7">
        <v>4.5</v>
      </c>
      <c r="E532" s="8"/>
      <c r="F532" s="8"/>
      <c r="G532" s="7"/>
      <c r="H532" s="7"/>
      <c r="I532" s="7"/>
      <c r="J532" s="9"/>
      <c r="K532" s="8"/>
      <c r="L532" s="8"/>
      <c r="M532" s="8"/>
      <c r="N532" s="8"/>
      <c r="O532" s="8"/>
      <c r="P532" s="8"/>
      <c r="Q532" s="8"/>
      <c r="R532" s="8"/>
      <c r="S532" s="8"/>
      <c r="T532" s="8"/>
      <c r="U532" s="8"/>
      <c r="V532" s="8"/>
      <c r="W532" s="8"/>
      <c r="X532" s="8"/>
      <c r="Y532" s="8"/>
      <c r="Z532" s="8"/>
    </row>
    <row r="533">
      <c r="A533" s="7" t="s">
        <v>818</v>
      </c>
      <c r="B533" s="7" t="s">
        <v>266</v>
      </c>
      <c r="C533" s="7" t="s">
        <v>51</v>
      </c>
      <c r="D533" s="7">
        <v>10.0</v>
      </c>
      <c r="E533" s="8"/>
      <c r="F533" s="8"/>
      <c r="G533" s="7"/>
      <c r="H533" s="7"/>
      <c r="I533" s="7"/>
      <c r="J533" s="9"/>
      <c r="K533" s="8"/>
      <c r="L533" s="8"/>
      <c r="M533" s="8"/>
      <c r="N533" s="8"/>
      <c r="O533" s="8"/>
      <c r="P533" s="8"/>
      <c r="Q533" s="8"/>
      <c r="R533" s="8"/>
      <c r="S533" s="8"/>
      <c r="T533" s="8"/>
      <c r="U533" s="8"/>
      <c r="V533" s="8"/>
      <c r="W533" s="8"/>
      <c r="X533" s="8"/>
      <c r="Y533" s="8"/>
      <c r="Z533" s="8"/>
    </row>
    <row r="534">
      <c r="A534" s="7" t="s">
        <v>819</v>
      </c>
      <c r="B534" s="7" t="s">
        <v>820</v>
      </c>
      <c r="C534" s="7" t="s">
        <v>66</v>
      </c>
      <c r="D534" s="7">
        <v>12.5</v>
      </c>
      <c r="E534" s="8"/>
      <c r="F534" s="8"/>
      <c r="G534" s="8"/>
      <c r="H534" s="7"/>
      <c r="I534" s="8"/>
      <c r="J534" s="9"/>
      <c r="K534" s="8"/>
      <c r="L534" s="8"/>
      <c r="M534" s="8"/>
      <c r="N534" s="8"/>
      <c r="O534" s="8"/>
      <c r="P534" s="8"/>
      <c r="Q534" s="8"/>
      <c r="R534" s="8"/>
      <c r="S534" s="8"/>
      <c r="T534" s="8"/>
      <c r="U534" s="8"/>
      <c r="V534" s="8"/>
      <c r="W534" s="8"/>
      <c r="X534" s="8"/>
      <c r="Y534" s="8"/>
      <c r="Z534" s="8"/>
    </row>
    <row r="535">
      <c r="A535" s="7" t="s">
        <v>819</v>
      </c>
      <c r="B535" s="7" t="s">
        <v>821</v>
      </c>
      <c r="C535" s="7" t="s">
        <v>57</v>
      </c>
      <c r="D535" s="7">
        <v>7.5</v>
      </c>
      <c r="E535" s="8"/>
      <c r="F535" s="8"/>
      <c r="G535" s="8"/>
      <c r="H535" s="7"/>
      <c r="I535" s="8"/>
      <c r="J535" s="9"/>
      <c r="K535" s="8"/>
      <c r="L535" s="8"/>
      <c r="M535" s="8"/>
      <c r="N535" s="8"/>
      <c r="O535" s="8"/>
      <c r="P535" s="8"/>
      <c r="Q535" s="8"/>
      <c r="R535" s="8"/>
      <c r="S535" s="8"/>
      <c r="T535" s="8"/>
      <c r="U535" s="8"/>
      <c r="V535" s="8"/>
      <c r="W535" s="8"/>
      <c r="X535" s="8"/>
      <c r="Y535" s="8"/>
      <c r="Z535" s="8"/>
    </row>
    <row r="536">
      <c r="A536" s="7" t="s">
        <v>819</v>
      </c>
      <c r="B536" s="7" t="s">
        <v>822</v>
      </c>
      <c r="C536" s="7" t="s">
        <v>57</v>
      </c>
      <c r="D536" s="7">
        <v>4.5</v>
      </c>
      <c r="E536" s="8"/>
      <c r="F536" s="8"/>
      <c r="G536" s="8"/>
      <c r="H536" s="7"/>
      <c r="I536" s="8"/>
      <c r="J536" s="9"/>
      <c r="K536" s="8"/>
      <c r="L536" s="8"/>
      <c r="M536" s="8"/>
      <c r="N536" s="8"/>
      <c r="O536" s="8"/>
      <c r="P536" s="8"/>
      <c r="Q536" s="8"/>
      <c r="R536" s="8"/>
      <c r="S536" s="8"/>
      <c r="T536" s="8"/>
      <c r="U536" s="8"/>
      <c r="V536" s="8"/>
      <c r="W536" s="8"/>
      <c r="X536" s="8"/>
      <c r="Y536" s="8"/>
      <c r="Z536" s="8"/>
    </row>
    <row r="537">
      <c r="A537" s="7" t="s">
        <v>819</v>
      </c>
      <c r="B537" s="7" t="s">
        <v>823</v>
      </c>
      <c r="C537" s="7" t="s">
        <v>51</v>
      </c>
      <c r="D537" s="7">
        <v>20.0</v>
      </c>
      <c r="E537" s="8"/>
      <c r="F537" s="8"/>
      <c r="G537" s="8"/>
      <c r="H537" s="7"/>
      <c r="I537" s="8"/>
      <c r="J537" s="9"/>
      <c r="K537" s="8"/>
      <c r="L537" s="8"/>
      <c r="M537" s="8"/>
      <c r="N537" s="8"/>
      <c r="O537" s="8"/>
      <c r="P537" s="8"/>
      <c r="Q537" s="8"/>
      <c r="R537" s="8"/>
      <c r="S537" s="8"/>
      <c r="T537" s="8"/>
      <c r="U537" s="8"/>
      <c r="V537" s="8"/>
      <c r="W537" s="8"/>
      <c r="X537" s="8"/>
      <c r="Y537" s="8"/>
      <c r="Z537" s="8"/>
    </row>
    <row r="538">
      <c r="A538" s="7" t="s">
        <v>819</v>
      </c>
      <c r="B538" s="7" t="s">
        <v>824</v>
      </c>
      <c r="C538" s="7" t="s">
        <v>51</v>
      </c>
      <c r="D538" s="7">
        <v>60.0</v>
      </c>
      <c r="E538" s="8"/>
      <c r="F538" s="8"/>
      <c r="G538" s="8"/>
      <c r="H538" s="7"/>
      <c r="I538" s="8"/>
      <c r="J538" s="9"/>
      <c r="K538" s="8"/>
      <c r="L538" s="8"/>
      <c r="M538" s="8"/>
      <c r="N538" s="8"/>
      <c r="O538" s="8"/>
      <c r="P538" s="8"/>
      <c r="Q538" s="8"/>
      <c r="R538" s="8"/>
      <c r="S538" s="8"/>
      <c r="T538" s="8"/>
      <c r="U538" s="8"/>
      <c r="V538" s="8"/>
      <c r="W538" s="8"/>
      <c r="X538" s="8"/>
      <c r="Y538" s="8"/>
      <c r="Z538" s="8"/>
    </row>
    <row r="539">
      <c r="A539" s="7" t="s">
        <v>825</v>
      </c>
      <c r="B539" s="7" t="s">
        <v>826</v>
      </c>
      <c r="C539" s="7">
        <v>2.0</v>
      </c>
      <c r="D539" s="7">
        <v>5.0</v>
      </c>
      <c r="E539" s="7"/>
      <c r="F539" s="8"/>
      <c r="G539" s="8"/>
      <c r="H539" s="7"/>
      <c r="I539" s="8"/>
      <c r="J539" s="9"/>
      <c r="K539" s="8"/>
      <c r="L539" s="8"/>
      <c r="M539" s="8"/>
      <c r="N539" s="8"/>
      <c r="O539" s="8"/>
      <c r="P539" s="8"/>
      <c r="Q539" s="8"/>
      <c r="R539" s="8"/>
      <c r="S539" s="8"/>
      <c r="T539" s="8"/>
      <c r="U539" s="8"/>
      <c r="V539" s="8"/>
      <c r="W539" s="8"/>
      <c r="X539" s="8"/>
      <c r="Y539" s="8"/>
      <c r="Z539" s="8"/>
    </row>
    <row r="540">
      <c r="A540" s="7" t="s">
        <v>827</v>
      </c>
      <c r="B540" s="7" t="s">
        <v>828</v>
      </c>
      <c r="C540" s="7" t="s">
        <v>51</v>
      </c>
      <c r="D540" s="7">
        <v>3.0</v>
      </c>
      <c r="E540" s="7"/>
      <c r="F540" s="8"/>
      <c r="G540" s="8"/>
      <c r="H540" s="7"/>
      <c r="I540" s="8"/>
      <c r="J540" s="9"/>
      <c r="K540" s="8"/>
      <c r="L540" s="8"/>
      <c r="M540" s="8"/>
      <c r="N540" s="8"/>
      <c r="O540" s="8"/>
      <c r="P540" s="8"/>
      <c r="Q540" s="8"/>
      <c r="R540" s="8"/>
      <c r="S540" s="8"/>
      <c r="T540" s="8"/>
      <c r="U540" s="8"/>
      <c r="V540" s="8"/>
      <c r="W540" s="8"/>
      <c r="X540" s="8"/>
      <c r="Y540" s="8"/>
      <c r="Z540" s="8"/>
    </row>
    <row r="541">
      <c r="A541" s="7" t="s">
        <v>829</v>
      </c>
      <c r="B541" s="7" t="s">
        <v>830</v>
      </c>
      <c r="C541" s="7"/>
      <c r="D541" s="7">
        <v>9.5</v>
      </c>
      <c r="E541" s="7"/>
      <c r="F541" s="8"/>
      <c r="G541" s="8"/>
      <c r="H541" s="7"/>
      <c r="I541" s="8"/>
      <c r="J541" s="9"/>
      <c r="K541" s="8"/>
      <c r="L541" s="8"/>
      <c r="M541" s="8"/>
      <c r="N541" s="8"/>
      <c r="O541" s="8"/>
      <c r="P541" s="8"/>
      <c r="Q541" s="8"/>
      <c r="R541" s="8"/>
      <c r="S541" s="8"/>
      <c r="T541" s="8"/>
      <c r="U541" s="8"/>
      <c r="V541" s="8"/>
      <c r="W541" s="8"/>
      <c r="X541" s="8"/>
      <c r="Y541" s="8"/>
      <c r="Z541" s="8"/>
    </row>
    <row r="542">
      <c r="A542" s="7" t="s">
        <v>829</v>
      </c>
      <c r="B542" s="7" t="s">
        <v>831</v>
      </c>
      <c r="C542" s="27">
        <v>45910.0</v>
      </c>
      <c r="D542" s="7">
        <v>4.3</v>
      </c>
      <c r="E542" s="7" t="s">
        <v>184</v>
      </c>
      <c r="F542" s="8"/>
      <c r="G542" s="8"/>
      <c r="H542" s="7"/>
      <c r="I542" s="8"/>
      <c r="J542" s="9"/>
      <c r="K542" s="8"/>
      <c r="L542" s="8"/>
      <c r="M542" s="8"/>
      <c r="N542" s="8"/>
      <c r="O542" s="8"/>
      <c r="P542" s="8"/>
      <c r="Q542" s="8"/>
      <c r="R542" s="8"/>
      <c r="S542" s="8"/>
      <c r="T542" s="8"/>
      <c r="U542" s="8"/>
      <c r="V542" s="8"/>
      <c r="W542" s="8"/>
      <c r="X542" s="8"/>
      <c r="Y542" s="8"/>
      <c r="Z542" s="8"/>
    </row>
    <row r="543">
      <c r="A543" s="7" t="s">
        <v>829</v>
      </c>
      <c r="B543" s="7" t="s">
        <v>832</v>
      </c>
      <c r="C543" s="7">
        <v>6.0</v>
      </c>
      <c r="D543" s="7">
        <v>25.0</v>
      </c>
      <c r="E543" s="7"/>
      <c r="F543" s="8"/>
      <c r="G543" s="8"/>
      <c r="H543" s="8"/>
      <c r="I543" s="8"/>
      <c r="J543" s="9"/>
      <c r="K543" s="8"/>
      <c r="L543" s="8"/>
      <c r="M543" s="8"/>
      <c r="N543" s="8"/>
      <c r="O543" s="8"/>
      <c r="P543" s="8"/>
      <c r="Q543" s="8"/>
      <c r="R543" s="8"/>
      <c r="S543" s="8"/>
      <c r="T543" s="8"/>
      <c r="U543" s="8"/>
      <c r="V543" s="8"/>
      <c r="W543" s="8"/>
      <c r="X543" s="8"/>
      <c r="Y543" s="8"/>
      <c r="Z543" s="8"/>
    </row>
    <row r="544">
      <c r="A544" s="10" t="s">
        <v>829</v>
      </c>
      <c r="B544" s="10" t="s">
        <v>833</v>
      </c>
      <c r="C544" s="10" t="s">
        <v>57</v>
      </c>
      <c r="D544" s="10">
        <v>5.39</v>
      </c>
      <c r="E544" s="11"/>
      <c r="F544" s="11"/>
      <c r="G544" s="11"/>
      <c r="H544" s="10" t="s">
        <v>834</v>
      </c>
      <c r="I544" s="11"/>
      <c r="J544" s="12"/>
      <c r="K544" s="11"/>
      <c r="L544" s="11"/>
      <c r="M544" s="11"/>
      <c r="N544" s="11"/>
      <c r="O544" s="11"/>
      <c r="P544" s="11"/>
      <c r="Q544" s="11"/>
      <c r="R544" s="11"/>
      <c r="S544" s="11"/>
      <c r="T544" s="11"/>
      <c r="U544" s="11"/>
      <c r="V544" s="11"/>
      <c r="W544" s="11"/>
      <c r="X544" s="11"/>
      <c r="Y544" s="11"/>
      <c r="Z544" s="11"/>
    </row>
    <row r="545">
      <c r="A545" s="7" t="s">
        <v>835</v>
      </c>
      <c r="B545" s="7" t="s">
        <v>836</v>
      </c>
      <c r="C545" s="7" t="s">
        <v>57</v>
      </c>
      <c r="D545" s="7">
        <v>3.65</v>
      </c>
      <c r="E545" s="8"/>
      <c r="F545" s="8"/>
      <c r="G545" s="8"/>
      <c r="H545" s="7"/>
      <c r="I545" s="8"/>
      <c r="J545" s="9"/>
      <c r="K545" s="8"/>
      <c r="L545" s="8"/>
      <c r="M545" s="8"/>
      <c r="N545" s="8"/>
      <c r="O545" s="8"/>
      <c r="P545" s="8"/>
      <c r="Q545" s="8"/>
      <c r="R545" s="8"/>
      <c r="S545" s="8"/>
      <c r="T545" s="8"/>
      <c r="U545" s="8"/>
      <c r="V545" s="8"/>
      <c r="W545" s="8"/>
      <c r="X545" s="8"/>
      <c r="Y545" s="8"/>
      <c r="Z545" s="8"/>
    </row>
    <row r="546">
      <c r="A546" s="7" t="s">
        <v>837</v>
      </c>
      <c r="B546" s="7" t="s">
        <v>838</v>
      </c>
      <c r="C546" s="7" t="s">
        <v>51</v>
      </c>
      <c r="D546" s="7">
        <v>3.5</v>
      </c>
      <c r="E546" s="8"/>
      <c r="F546" s="8"/>
      <c r="G546" s="8"/>
      <c r="H546" s="7"/>
      <c r="I546" s="8"/>
      <c r="J546" s="9"/>
      <c r="K546" s="8"/>
      <c r="L546" s="8"/>
      <c r="M546" s="8"/>
      <c r="N546" s="8"/>
      <c r="O546" s="8"/>
      <c r="P546" s="8"/>
      <c r="Q546" s="8"/>
      <c r="R546" s="8"/>
      <c r="S546" s="8"/>
      <c r="T546" s="8"/>
      <c r="U546" s="8"/>
      <c r="V546" s="8"/>
      <c r="W546" s="8"/>
      <c r="X546" s="8"/>
      <c r="Y546" s="8"/>
      <c r="Z546" s="8"/>
    </row>
    <row r="547">
      <c r="A547" s="7" t="s">
        <v>839</v>
      </c>
      <c r="B547" s="7" t="s">
        <v>840</v>
      </c>
      <c r="C547" s="7" t="s">
        <v>51</v>
      </c>
      <c r="D547" s="7">
        <v>7.3</v>
      </c>
      <c r="E547" s="8"/>
      <c r="F547" s="8"/>
      <c r="G547" s="8"/>
      <c r="H547" s="7"/>
      <c r="I547" s="8"/>
      <c r="J547" s="9"/>
      <c r="K547" s="8"/>
      <c r="L547" s="8"/>
      <c r="M547" s="8"/>
      <c r="N547" s="8"/>
      <c r="O547" s="8"/>
      <c r="P547" s="8"/>
      <c r="Q547" s="8"/>
      <c r="R547" s="8"/>
      <c r="S547" s="8"/>
      <c r="T547" s="8"/>
      <c r="U547" s="8"/>
      <c r="V547" s="8"/>
      <c r="W547" s="8"/>
      <c r="X547" s="8"/>
      <c r="Y547" s="8"/>
      <c r="Z547" s="8"/>
    </row>
    <row r="548">
      <c r="A548" s="7" t="s">
        <v>841</v>
      </c>
      <c r="B548" s="7" t="s">
        <v>842</v>
      </c>
      <c r="C548" s="7" t="s">
        <v>51</v>
      </c>
      <c r="D548" s="7">
        <v>5.5</v>
      </c>
      <c r="E548" s="8"/>
      <c r="F548" s="8"/>
      <c r="G548" s="8"/>
      <c r="H548" s="7"/>
      <c r="I548" s="8"/>
      <c r="J548" s="9"/>
      <c r="K548" s="8"/>
      <c r="L548" s="8"/>
      <c r="M548" s="8"/>
      <c r="N548" s="8"/>
      <c r="O548" s="8"/>
      <c r="P548" s="8"/>
      <c r="Q548" s="8"/>
      <c r="R548" s="8"/>
      <c r="S548" s="8"/>
      <c r="T548" s="8"/>
      <c r="U548" s="8"/>
      <c r="V548" s="8"/>
      <c r="W548" s="8"/>
      <c r="X548" s="8"/>
      <c r="Y548" s="8"/>
      <c r="Z548" s="8"/>
    </row>
    <row r="549">
      <c r="A549" s="7" t="s">
        <v>843</v>
      </c>
      <c r="B549" s="7" t="s">
        <v>653</v>
      </c>
      <c r="C549" s="7"/>
      <c r="D549" s="7">
        <v>3.25</v>
      </c>
      <c r="E549" s="8"/>
      <c r="F549" s="8"/>
      <c r="G549" s="8"/>
      <c r="H549" s="7"/>
      <c r="I549" s="8"/>
      <c r="J549" s="9"/>
      <c r="K549" s="8"/>
      <c r="L549" s="8"/>
      <c r="M549" s="8"/>
      <c r="N549" s="8"/>
      <c r="O549" s="8"/>
      <c r="P549" s="8"/>
      <c r="Q549" s="8"/>
      <c r="R549" s="8"/>
      <c r="S549" s="8"/>
      <c r="T549" s="8"/>
      <c r="U549" s="8"/>
      <c r="V549" s="8"/>
      <c r="W549" s="8"/>
      <c r="X549" s="8"/>
      <c r="Y549" s="8"/>
      <c r="Z549" s="8"/>
    </row>
    <row r="550">
      <c r="A550" s="7" t="s">
        <v>844</v>
      </c>
      <c r="B550" s="7" t="s">
        <v>845</v>
      </c>
      <c r="C550" s="7" t="s">
        <v>57</v>
      </c>
      <c r="D550" s="7">
        <v>15.0</v>
      </c>
      <c r="E550" s="8"/>
      <c r="F550" s="8"/>
      <c r="G550" s="8"/>
      <c r="H550" s="7"/>
      <c r="I550" s="8"/>
      <c r="J550" s="9"/>
      <c r="K550" s="8"/>
      <c r="L550" s="8"/>
      <c r="M550" s="8"/>
      <c r="N550" s="8"/>
      <c r="O550" s="8"/>
      <c r="P550" s="8"/>
      <c r="Q550" s="8"/>
      <c r="R550" s="8"/>
      <c r="S550" s="8"/>
      <c r="T550" s="8"/>
      <c r="U550" s="8"/>
      <c r="V550" s="8"/>
      <c r="W550" s="8"/>
      <c r="X550" s="8"/>
      <c r="Y550" s="8"/>
      <c r="Z550" s="8"/>
    </row>
    <row r="551">
      <c r="A551" s="7" t="s">
        <v>846</v>
      </c>
      <c r="B551" s="7" t="s">
        <v>847</v>
      </c>
      <c r="C551" s="7" t="s">
        <v>66</v>
      </c>
      <c r="D551" s="7">
        <v>6.0</v>
      </c>
      <c r="E551" s="8"/>
      <c r="F551" s="8"/>
      <c r="G551" s="8"/>
      <c r="H551" s="7"/>
      <c r="I551" s="8"/>
      <c r="J551" s="9"/>
      <c r="K551" s="8"/>
      <c r="L551" s="8"/>
      <c r="M551" s="8"/>
      <c r="N551" s="8"/>
      <c r="O551" s="8"/>
      <c r="P551" s="8"/>
      <c r="Q551" s="8"/>
      <c r="R551" s="8"/>
      <c r="S551" s="8"/>
      <c r="T551" s="8"/>
      <c r="U551" s="8"/>
      <c r="V551" s="8"/>
      <c r="W551" s="8"/>
      <c r="X551" s="8"/>
      <c r="Y551" s="8"/>
      <c r="Z551" s="8"/>
    </row>
    <row r="552">
      <c r="A552" s="7" t="s">
        <v>846</v>
      </c>
      <c r="B552" s="7" t="s">
        <v>848</v>
      </c>
      <c r="C552" s="7" t="s">
        <v>66</v>
      </c>
      <c r="D552" s="7">
        <v>5.0</v>
      </c>
      <c r="E552" s="8"/>
      <c r="F552" s="8"/>
      <c r="G552" s="8"/>
      <c r="H552" s="7"/>
      <c r="I552" s="8"/>
      <c r="J552" s="9"/>
      <c r="K552" s="8"/>
      <c r="L552" s="8"/>
      <c r="M552" s="8"/>
      <c r="N552" s="8"/>
      <c r="O552" s="8"/>
      <c r="P552" s="8"/>
      <c r="Q552" s="8"/>
      <c r="R552" s="8"/>
      <c r="S552" s="8"/>
      <c r="T552" s="8"/>
      <c r="U552" s="8"/>
      <c r="V552" s="8"/>
      <c r="W552" s="8"/>
      <c r="X552" s="8"/>
      <c r="Y552" s="8"/>
      <c r="Z552" s="8"/>
    </row>
    <row r="553">
      <c r="A553" s="7" t="s">
        <v>846</v>
      </c>
      <c r="B553" s="7" t="s">
        <v>849</v>
      </c>
      <c r="C553" s="7" t="s">
        <v>57</v>
      </c>
      <c r="D553" s="7">
        <v>3.5</v>
      </c>
      <c r="E553" s="8"/>
      <c r="F553" s="8"/>
      <c r="G553" s="8"/>
      <c r="H553" s="7"/>
      <c r="I553" s="8"/>
      <c r="J553" s="9"/>
      <c r="K553" s="8"/>
      <c r="L553" s="8"/>
      <c r="M553" s="8"/>
      <c r="N553" s="8"/>
      <c r="O553" s="8"/>
      <c r="P553" s="8"/>
      <c r="Q553" s="8"/>
      <c r="R553" s="8"/>
      <c r="S553" s="8"/>
      <c r="T553" s="8"/>
      <c r="U553" s="8"/>
      <c r="V553" s="8"/>
      <c r="W553" s="8"/>
      <c r="X553" s="8"/>
      <c r="Y553" s="8"/>
      <c r="Z553" s="8"/>
    </row>
    <row r="554">
      <c r="A554" s="7" t="s">
        <v>846</v>
      </c>
      <c r="B554" s="7" t="s">
        <v>850</v>
      </c>
      <c r="C554" s="7">
        <v>6.0</v>
      </c>
      <c r="D554" s="7">
        <v>7.5</v>
      </c>
      <c r="E554" s="8"/>
      <c r="F554" s="8"/>
      <c r="G554" s="8"/>
      <c r="H554" s="7"/>
      <c r="I554" s="8"/>
      <c r="J554" s="9"/>
      <c r="K554" s="8"/>
      <c r="L554" s="8"/>
      <c r="M554" s="8"/>
      <c r="N554" s="8"/>
      <c r="O554" s="8"/>
      <c r="P554" s="8"/>
      <c r="Q554" s="8"/>
      <c r="R554" s="8"/>
      <c r="S554" s="8"/>
      <c r="T554" s="8"/>
      <c r="U554" s="8"/>
      <c r="V554" s="8"/>
      <c r="W554" s="8"/>
      <c r="X554" s="8"/>
      <c r="Y554" s="8"/>
      <c r="Z554" s="8"/>
    </row>
    <row r="555">
      <c r="A555" s="7" t="s">
        <v>851</v>
      </c>
      <c r="B555" s="7" t="s">
        <v>852</v>
      </c>
      <c r="C555" s="7" t="s">
        <v>51</v>
      </c>
      <c r="D555" s="7">
        <v>2.5</v>
      </c>
      <c r="E555" s="8"/>
      <c r="F555" s="8"/>
      <c r="G555" s="8"/>
      <c r="H555" s="7"/>
      <c r="I555" s="8"/>
      <c r="J555" s="9"/>
      <c r="K555" s="8"/>
      <c r="L555" s="8"/>
      <c r="M555" s="8"/>
      <c r="N555" s="8"/>
      <c r="O555" s="8"/>
      <c r="P555" s="8"/>
      <c r="Q555" s="8"/>
      <c r="R555" s="8"/>
      <c r="S555" s="8"/>
      <c r="T555" s="8"/>
      <c r="U555" s="8"/>
      <c r="V555" s="8"/>
      <c r="W555" s="8"/>
      <c r="X555" s="8"/>
      <c r="Y555" s="8"/>
      <c r="Z555" s="8"/>
    </row>
    <row r="556">
      <c r="A556" s="7" t="s">
        <v>853</v>
      </c>
      <c r="B556" s="7" t="s">
        <v>464</v>
      </c>
      <c r="C556" s="7" t="s">
        <v>57</v>
      </c>
      <c r="D556" s="7">
        <v>3.25</v>
      </c>
      <c r="E556" s="8"/>
      <c r="F556" s="8"/>
      <c r="G556" s="8"/>
      <c r="H556" s="7"/>
      <c r="I556" s="8"/>
      <c r="J556" s="9"/>
      <c r="K556" s="8"/>
      <c r="L556" s="8"/>
      <c r="M556" s="8"/>
      <c r="N556" s="8"/>
      <c r="O556" s="8"/>
      <c r="P556" s="8"/>
      <c r="Q556" s="8"/>
      <c r="R556" s="8"/>
      <c r="S556" s="8"/>
      <c r="T556" s="8"/>
      <c r="U556" s="8"/>
      <c r="V556" s="8"/>
      <c r="W556" s="8"/>
      <c r="X556" s="8"/>
      <c r="Y556" s="8"/>
      <c r="Z556" s="8"/>
    </row>
    <row r="557">
      <c r="A557" s="7" t="s">
        <v>853</v>
      </c>
      <c r="B557" s="7" t="s">
        <v>59</v>
      </c>
      <c r="C557" s="7" t="s">
        <v>57</v>
      </c>
      <c r="D557" s="7">
        <v>2.5</v>
      </c>
      <c r="E557" s="8"/>
      <c r="F557" s="8"/>
      <c r="G557" s="8"/>
      <c r="H557" s="7"/>
      <c r="I557" s="8"/>
      <c r="J557" s="9"/>
      <c r="K557" s="8"/>
      <c r="L557" s="8"/>
      <c r="M557" s="8"/>
      <c r="N557" s="8"/>
      <c r="O557" s="8"/>
      <c r="P557" s="8"/>
      <c r="Q557" s="8"/>
      <c r="R557" s="8"/>
      <c r="S557" s="8"/>
      <c r="T557" s="8"/>
      <c r="U557" s="8"/>
      <c r="V557" s="8"/>
      <c r="W557" s="8"/>
      <c r="X557" s="8"/>
      <c r="Y557" s="8"/>
      <c r="Z557" s="8"/>
    </row>
    <row r="558">
      <c r="A558" s="7" t="s">
        <v>853</v>
      </c>
      <c r="B558" s="7" t="s">
        <v>854</v>
      </c>
      <c r="C558" s="7" t="s">
        <v>95</v>
      </c>
      <c r="D558" s="7">
        <v>7.0</v>
      </c>
      <c r="E558" s="8"/>
      <c r="F558" s="8"/>
      <c r="G558" s="8"/>
      <c r="H558" s="7"/>
      <c r="I558" s="8"/>
      <c r="J558" s="9"/>
      <c r="K558" s="8"/>
      <c r="L558" s="8"/>
      <c r="M558" s="8"/>
      <c r="N558" s="8"/>
      <c r="O558" s="8"/>
      <c r="P558" s="8"/>
      <c r="Q558" s="8"/>
      <c r="R558" s="8"/>
      <c r="S558" s="8"/>
      <c r="T558" s="8"/>
      <c r="U558" s="8"/>
      <c r="V558" s="8"/>
      <c r="W558" s="8"/>
      <c r="X558" s="8"/>
      <c r="Y558" s="8"/>
      <c r="Z558" s="8"/>
    </row>
    <row r="559">
      <c r="A559" s="7" t="s">
        <v>853</v>
      </c>
      <c r="B559" s="7" t="s">
        <v>855</v>
      </c>
      <c r="C559" s="7" t="s">
        <v>57</v>
      </c>
      <c r="D559" s="7">
        <v>5.0</v>
      </c>
      <c r="E559" s="8"/>
      <c r="F559" s="8"/>
      <c r="G559" s="8"/>
      <c r="H559" s="7"/>
      <c r="I559" s="8"/>
      <c r="J559" s="9"/>
      <c r="K559" s="8"/>
      <c r="L559" s="8"/>
      <c r="M559" s="8"/>
      <c r="N559" s="8"/>
      <c r="O559" s="8"/>
      <c r="P559" s="8"/>
      <c r="Q559" s="8"/>
      <c r="R559" s="8"/>
      <c r="S559" s="8"/>
      <c r="T559" s="8"/>
      <c r="U559" s="8"/>
      <c r="V559" s="8"/>
      <c r="W559" s="8"/>
      <c r="X559" s="8"/>
      <c r="Y559" s="8"/>
      <c r="Z559" s="8"/>
    </row>
    <row r="560">
      <c r="A560" s="7" t="s">
        <v>853</v>
      </c>
      <c r="B560" s="7" t="s">
        <v>856</v>
      </c>
      <c r="C560" s="7" t="s">
        <v>51</v>
      </c>
      <c r="D560" s="7">
        <v>9.0</v>
      </c>
      <c r="E560" s="8"/>
      <c r="F560" s="8"/>
      <c r="G560" s="8"/>
      <c r="H560" s="7"/>
      <c r="I560" s="8"/>
      <c r="J560" s="9"/>
      <c r="K560" s="8"/>
      <c r="L560" s="8"/>
      <c r="M560" s="8"/>
      <c r="N560" s="8"/>
      <c r="O560" s="8"/>
      <c r="P560" s="8"/>
      <c r="Q560" s="8"/>
      <c r="R560" s="8"/>
      <c r="S560" s="8"/>
      <c r="T560" s="8"/>
      <c r="U560" s="8"/>
      <c r="V560" s="8"/>
      <c r="W560" s="8"/>
      <c r="X560" s="8"/>
      <c r="Y560" s="8"/>
      <c r="Z560" s="8"/>
    </row>
    <row r="561">
      <c r="A561" s="7" t="s">
        <v>853</v>
      </c>
      <c r="B561" s="7" t="s">
        <v>857</v>
      </c>
      <c r="C561" s="7" t="s">
        <v>66</v>
      </c>
      <c r="D561" s="7">
        <v>8.0</v>
      </c>
      <c r="E561" s="8"/>
      <c r="F561" s="8"/>
      <c r="G561" s="8"/>
      <c r="H561" s="7"/>
      <c r="I561" s="8"/>
      <c r="J561" s="9"/>
      <c r="K561" s="8"/>
      <c r="L561" s="8"/>
      <c r="M561" s="8"/>
      <c r="N561" s="8"/>
      <c r="O561" s="8"/>
      <c r="P561" s="8"/>
      <c r="Q561" s="8"/>
      <c r="R561" s="8"/>
      <c r="S561" s="8"/>
      <c r="T561" s="8"/>
      <c r="U561" s="8"/>
      <c r="V561" s="8"/>
      <c r="W561" s="8"/>
      <c r="X561" s="8"/>
      <c r="Y561" s="8"/>
      <c r="Z561" s="8"/>
    </row>
    <row r="562">
      <c r="A562" s="7" t="s">
        <v>858</v>
      </c>
      <c r="B562" s="7" t="s">
        <v>859</v>
      </c>
      <c r="C562" s="7" t="s">
        <v>57</v>
      </c>
      <c r="D562" s="7">
        <v>6.0</v>
      </c>
      <c r="E562" s="7"/>
      <c r="F562" s="7"/>
      <c r="G562" s="8"/>
      <c r="H562" s="7"/>
      <c r="I562" s="8"/>
      <c r="J562" s="9"/>
      <c r="K562" s="8"/>
      <c r="L562" s="8"/>
      <c r="M562" s="8"/>
      <c r="N562" s="8"/>
      <c r="O562" s="8"/>
      <c r="P562" s="8"/>
      <c r="Q562" s="8"/>
      <c r="R562" s="8"/>
      <c r="S562" s="8"/>
      <c r="T562" s="8"/>
      <c r="U562" s="8"/>
      <c r="V562" s="8"/>
      <c r="W562" s="8"/>
      <c r="X562" s="8"/>
      <c r="Y562" s="8"/>
      <c r="Z562" s="8"/>
    </row>
    <row r="563">
      <c r="A563" s="7" t="s">
        <v>858</v>
      </c>
      <c r="B563" s="7" t="s">
        <v>860</v>
      </c>
      <c r="C563" s="7" t="s">
        <v>57</v>
      </c>
      <c r="D563" s="7">
        <v>5.0</v>
      </c>
      <c r="E563" s="7"/>
      <c r="F563" s="7"/>
      <c r="G563" s="8"/>
      <c r="H563" s="7"/>
      <c r="I563" s="8"/>
      <c r="J563" s="9"/>
      <c r="K563" s="8"/>
      <c r="L563" s="8"/>
      <c r="M563" s="8"/>
      <c r="N563" s="8"/>
      <c r="O563" s="8"/>
      <c r="P563" s="8"/>
      <c r="Q563" s="8"/>
      <c r="R563" s="8"/>
      <c r="S563" s="8"/>
      <c r="T563" s="8"/>
      <c r="U563" s="8"/>
      <c r="V563" s="8"/>
      <c r="W563" s="8"/>
      <c r="X563" s="8"/>
      <c r="Y563" s="8"/>
      <c r="Z563" s="8"/>
    </row>
    <row r="564">
      <c r="A564" s="10" t="s">
        <v>861</v>
      </c>
      <c r="B564" s="10" t="s">
        <v>862</v>
      </c>
      <c r="C564" s="10">
        <v>2.0</v>
      </c>
      <c r="D564" s="10">
        <v>9.5</v>
      </c>
      <c r="E564" s="11"/>
      <c r="F564" s="11"/>
      <c r="G564" s="11"/>
      <c r="H564" s="10" t="s">
        <v>139</v>
      </c>
      <c r="I564" s="11"/>
      <c r="J564" s="12"/>
      <c r="K564" s="11"/>
      <c r="L564" s="11"/>
      <c r="M564" s="11"/>
      <c r="N564" s="11"/>
      <c r="O564" s="11"/>
      <c r="P564" s="11"/>
      <c r="Q564" s="11"/>
      <c r="R564" s="11"/>
      <c r="S564" s="11"/>
      <c r="T564" s="11"/>
      <c r="U564" s="11"/>
      <c r="V564" s="11"/>
      <c r="W564" s="11"/>
      <c r="X564" s="11"/>
      <c r="Y564" s="11"/>
      <c r="Z564" s="11"/>
    </row>
    <row r="565">
      <c r="A565" s="7" t="s">
        <v>863</v>
      </c>
      <c r="B565" s="7" t="s">
        <v>864</v>
      </c>
      <c r="C565" s="7" t="s">
        <v>57</v>
      </c>
      <c r="D565" s="7">
        <v>4.5</v>
      </c>
      <c r="E565" s="8"/>
      <c r="F565" s="8"/>
      <c r="G565" s="8"/>
      <c r="H565" s="8"/>
      <c r="I565" s="8"/>
      <c r="J565" s="9"/>
      <c r="K565" s="8"/>
      <c r="L565" s="8"/>
      <c r="M565" s="8"/>
      <c r="N565" s="8"/>
      <c r="O565" s="8"/>
      <c r="P565" s="8"/>
      <c r="Q565" s="8"/>
      <c r="R565" s="8"/>
      <c r="S565" s="8"/>
      <c r="T565" s="8"/>
      <c r="U565" s="8"/>
      <c r="V565" s="8"/>
      <c r="W565" s="8"/>
      <c r="X565" s="8"/>
      <c r="Y565" s="8"/>
      <c r="Z565" s="8"/>
    </row>
    <row r="566">
      <c r="A566" s="7" t="s">
        <v>865</v>
      </c>
      <c r="B566" s="7" t="s">
        <v>866</v>
      </c>
      <c r="C566" s="7" t="s">
        <v>66</v>
      </c>
      <c r="D566" s="7">
        <v>7.3</v>
      </c>
      <c r="E566" s="8"/>
      <c r="F566" s="8"/>
      <c r="G566" s="8"/>
      <c r="H566" s="8"/>
      <c r="I566" s="8"/>
      <c r="J566" s="9"/>
      <c r="K566" s="8"/>
      <c r="L566" s="8"/>
      <c r="M566" s="8"/>
      <c r="N566" s="8"/>
      <c r="O566" s="8"/>
      <c r="P566" s="8"/>
      <c r="Q566" s="8"/>
      <c r="R566" s="8"/>
      <c r="S566" s="8"/>
      <c r="T566" s="8"/>
      <c r="U566" s="8"/>
      <c r="V566" s="8"/>
      <c r="W566" s="8"/>
      <c r="X566" s="8"/>
      <c r="Y566" s="8"/>
      <c r="Z566" s="8"/>
    </row>
    <row r="567">
      <c r="A567" s="7" t="s">
        <v>867</v>
      </c>
      <c r="B567" s="7" t="s">
        <v>868</v>
      </c>
      <c r="C567" s="7"/>
      <c r="D567" s="7">
        <v>3.5</v>
      </c>
      <c r="E567" s="8"/>
      <c r="F567" s="8"/>
      <c r="G567" s="8"/>
      <c r="H567" s="8"/>
      <c r="I567" s="8"/>
      <c r="J567" s="9"/>
      <c r="K567" s="8"/>
      <c r="L567" s="8"/>
      <c r="M567" s="8"/>
      <c r="N567" s="8"/>
      <c r="O567" s="8"/>
      <c r="P567" s="8"/>
      <c r="Q567" s="8"/>
      <c r="R567" s="8"/>
      <c r="S567" s="8"/>
      <c r="T567" s="8"/>
      <c r="U567" s="8"/>
      <c r="V567" s="8"/>
      <c r="W567" s="8"/>
      <c r="X567" s="8"/>
      <c r="Y567" s="8"/>
      <c r="Z567" s="8"/>
    </row>
    <row r="568">
      <c r="A568" s="10" t="s">
        <v>869</v>
      </c>
      <c r="B568" s="10" t="s">
        <v>870</v>
      </c>
      <c r="C568" s="10" t="s">
        <v>66</v>
      </c>
      <c r="D568" s="10">
        <v>2.5</v>
      </c>
      <c r="E568" s="11"/>
      <c r="F568" s="11"/>
      <c r="G568" s="11"/>
      <c r="H568" s="10" t="s">
        <v>139</v>
      </c>
      <c r="I568" s="11"/>
      <c r="J568" s="12"/>
      <c r="K568" s="11"/>
      <c r="L568" s="11"/>
      <c r="M568" s="11"/>
      <c r="N568" s="11"/>
      <c r="O568" s="11"/>
      <c r="P568" s="11"/>
      <c r="Q568" s="11"/>
      <c r="R568" s="11"/>
      <c r="S568" s="11"/>
      <c r="T568" s="11"/>
      <c r="U568" s="11"/>
      <c r="V568" s="11"/>
      <c r="W568" s="11"/>
      <c r="X568" s="11"/>
      <c r="Y568" s="11"/>
      <c r="Z568" s="11"/>
    </row>
    <row r="569">
      <c r="A569" s="7" t="s">
        <v>869</v>
      </c>
      <c r="B569" s="7" t="s">
        <v>871</v>
      </c>
      <c r="C569" s="7" t="s">
        <v>51</v>
      </c>
      <c r="D569" s="7">
        <v>4.0</v>
      </c>
      <c r="E569" s="8"/>
      <c r="F569" s="8"/>
      <c r="G569" s="8"/>
      <c r="H569" s="8"/>
      <c r="I569" s="8"/>
      <c r="J569" s="9"/>
      <c r="K569" s="8"/>
      <c r="L569" s="8"/>
      <c r="M569" s="8"/>
      <c r="N569" s="8"/>
      <c r="O569" s="8"/>
      <c r="P569" s="8"/>
      <c r="Q569" s="8"/>
      <c r="R569" s="8"/>
      <c r="S569" s="8"/>
      <c r="T569" s="8"/>
      <c r="U569" s="8"/>
      <c r="V569" s="8"/>
      <c r="W569" s="8"/>
      <c r="X569" s="8"/>
      <c r="Y569" s="8"/>
      <c r="Z569" s="8"/>
    </row>
    <row r="570">
      <c r="A570" s="7" t="s">
        <v>869</v>
      </c>
      <c r="B570" s="7" t="s">
        <v>872</v>
      </c>
      <c r="C570" s="7"/>
      <c r="D570" s="7">
        <v>7.0</v>
      </c>
      <c r="E570" s="8"/>
      <c r="F570" s="8"/>
      <c r="G570" s="8"/>
      <c r="H570" s="8"/>
      <c r="I570" s="8"/>
      <c r="J570" s="9"/>
      <c r="K570" s="8"/>
      <c r="L570" s="8"/>
      <c r="M570" s="8"/>
      <c r="N570" s="8"/>
      <c r="O570" s="8"/>
      <c r="P570" s="8"/>
      <c r="Q570" s="8"/>
      <c r="R570" s="8"/>
      <c r="S570" s="8"/>
      <c r="T570" s="8"/>
      <c r="U570" s="8"/>
      <c r="V570" s="8"/>
      <c r="W570" s="8"/>
      <c r="X570" s="8"/>
      <c r="Y570" s="8"/>
      <c r="Z570" s="8"/>
    </row>
    <row r="571">
      <c r="A571" s="7" t="s">
        <v>869</v>
      </c>
      <c r="B571" s="7" t="s">
        <v>873</v>
      </c>
      <c r="C571" s="7">
        <v>8.0</v>
      </c>
      <c r="D571" s="7">
        <v>10.0</v>
      </c>
      <c r="E571" s="8"/>
      <c r="F571" s="8"/>
      <c r="G571" s="8"/>
      <c r="H571" s="8"/>
      <c r="I571" s="8"/>
      <c r="J571" s="9"/>
      <c r="K571" s="8"/>
      <c r="L571" s="8"/>
      <c r="M571" s="8"/>
      <c r="N571" s="8"/>
      <c r="O571" s="8"/>
      <c r="P571" s="8"/>
      <c r="Q571" s="8"/>
      <c r="R571" s="8"/>
      <c r="S571" s="8"/>
      <c r="T571" s="8"/>
      <c r="U571" s="8"/>
      <c r="V571" s="8"/>
      <c r="W571" s="8"/>
      <c r="X571" s="8"/>
      <c r="Y571" s="8"/>
      <c r="Z571" s="8"/>
    </row>
    <row r="572">
      <c r="A572" s="7" t="s">
        <v>869</v>
      </c>
      <c r="B572" s="7" t="s">
        <v>414</v>
      </c>
      <c r="C572" s="7" t="s">
        <v>51</v>
      </c>
      <c r="D572" s="7">
        <v>6.0</v>
      </c>
      <c r="E572" s="8"/>
      <c r="F572" s="8"/>
      <c r="G572" s="8"/>
      <c r="H572" s="8"/>
      <c r="I572" s="8"/>
      <c r="J572" s="9"/>
      <c r="K572" s="8"/>
      <c r="L572" s="8"/>
      <c r="M572" s="8"/>
      <c r="N572" s="8"/>
      <c r="O572" s="8"/>
      <c r="P572" s="8"/>
      <c r="Q572" s="8"/>
      <c r="R572" s="8"/>
      <c r="S572" s="8"/>
      <c r="T572" s="8"/>
      <c r="U572" s="8"/>
      <c r="V572" s="8"/>
      <c r="W572" s="8"/>
      <c r="X572" s="8"/>
      <c r="Y572" s="8"/>
      <c r="Z572" s="8"/>
    </row>
    <row r="573">
      <c r="A573" s="7" t="s">
        <v>874</v>
      </c>
      <c r="B573" s="7" t="s">
        <v>875</v>
      </c>
      <c r="C573" s="7" t="s">
        <v>57</v>
      </c>
      <c r="D573" s="7">
        <v>10.0</v>
      </c>
      <c r="E573" s="8"/>
      <c r="F573" s="8"/>
      <c r="G573" s="8"/>
      <c r="H573" s="8"/>
      <c r="I573" s="8"/>
      <c r="J573" s="9"/>
      <c r="K573" s="8"/>
      <c r="L573" s="8"/>
      <c r="M573" s="8"/>
      <c r="N573" s="8"/>
      <c r="O573" s="8"/>
      <c r="P573" s="8"/>
      <c r="Q573" s="8"/>
      <c r="R573" s="8"/>
      <c r="S573" s="8"/>
      <c r="T573" s="8"/>
      <c r="U573" s="8"/>
      <c r="V573" s="8"/>
      <c r="W573" s="8"/>
      <c r="X573" s="8"/>
      <c r="Y573" s="8"/>
      <c r="Z573" s="8"/>
    </row>
    <row r="574">
      <c r="A574" s="7" t="s">
        <v>876</v>
      </c>
      <c r="B574" s="7" t="s">
        <v>877</v>
      </c>
      <c r="C574" s="7" t="s">
        <v>51</v>
      </c>
      <c r="D574" s="7"/>
      <c r="E574" s="8"/>
      <c r="F574" s="8"/>
      <c r="G574" s="8"/>
      <c r="H574" s="8"/>
      <c r="I574" s="8"/>
      <c r="J574" s="9"/>
      <c r="K574" s="8"/>
      <c r="L574" s="8"/>
      <c r="M574" s="8"/>
      <c r="N574" s="8"/>
      <c r="O574" s="8"/>
      <c r="P574" s="8"/>
      <c r="Q574" s="8"/>
      <c r="R574" s="8"/>
      <c r="S574" s="8"/>
      <c r="T574" s="8"/>
      <c r="U574" s="8"/>
      <c r="V574" s="8"/>
      <c r="W574" s="8"/>
      <c r="X574" s="8"/>
      <c r="Y574" s="8"/>
      <c r="Z574" s="8"/>
    </row>
    <row r="575">
      <c r="A575" s="7" t="s">
        <v>878</v>
      </c>
      <c r="B575" s="7" t="s">
        <v>879</v>
      </c>
      <c r="C575" s="7" t="s">
        <v>51</v>
      </c>
      <c r="D575" s="7">
        <v>7.5</v>
      </c>
      <c r="E575" s="8"/>
      <c r="F575" s="8"/>
      <c r="G575" s="8"/>
      <c r="H575" s="8"/>
      <c r="I575" s="8"/>
      <c r="J575" s="9"/>
      <c r="K575" s="8"/>
      <c r="L575" s="8"/>
      <c r="M575" s="8"/>
      <c r="N575" s="8"/>
      <c r="O575" s="8"/>
      <c r="P575" s="8"/>
      <c r="Q575" s="8"/>
      <c r="R575" s="8"/>
      <c r="S575" s="8"/>
      <c r="T575" s="8"/>
      <c r="U575" s="8"/>
      <c r="V575" s="8"/>
      <c r="W575" s="8"/>
      <c r="X575" s="8"/>
      <c r="Y575" s="8"/>
      <c r="Z575" s="8"/>
    </row>
    <row r="576">
      <c r="A576" s="7" t="s">
        <v>880</v>
      </c>
      <c r="B576" s="7" t="s">
        <v>881</v>
      </c>
      <c r="C576" s="7"/>
      <c r="D576" s="7">
        <v>3.5</v>
      </c>
      <c r="E576" s="8"/>
      <c r="F576" s="8"/>
      <c r="G576" s="8"/>
      <c r="H576" s="8"/>
      <c r="I576" s="8"/>
      <c r="J576" s="9"/>
      <c r="K576" s="8"/>
      <c r="L576" s="8"/>
      <c r="M576" s="8"/>
      <c r="N576" s="8"/>
      <c r="O576" s="8"/>
      <c r="P576" s="8"/>
      <c r="Q576" s="8"/>
      <c r="R576" s="8"/>
      <c r="S576" s="8"/>
      <c r="T576" s="8"/>
      <c r="U576" s="8"/>
      <c r="V576" s="8"/>
      <c r="W576" s="8"/>
      <c r="X576" s="8"/>
      <c r="Y576" s="8"/>
      <c r="Z576" s="8"/>
    </row>
    <row r="577">
      <c r="A577" s="7" t="s">
        <v>882</v>
      </c>
      <c r="B577" s="7" t="s">
        <v>883</v>
      </c>
      <c r="C577" s="7" t="s">
        <v>51</v>
      </c>
      <c r="D577" s="7">
        <v>9.0</v>
      </c>
      <c r="E577" s="8"/>
      <c r="F577" s="8"/>
      <c r="G577" s="8"/>
      <c r="H577" s="7"/>
      <c r="I577" s="8"/>
      <c r="J577" s="9"/>
      <c r="K577" s="8"/>
      <c r="L577" s="8"/>
      <c r="M577" s="8"/>
      <c r="N577" s="8"/>
      <c r="O577" s="8"/>
      <c r="P577" s="8"/>
      <c r="Q577" s="8"/>
      <c r="R577" s="8"/>
      <c r="S577" s="8"/>
      <c r="T577" s="8"/>
      <c r="U577" s="8"/>
      <c r="V577" s="8"/>
      <c r="W577" s="8"/>
      <c r="X577" s="8"/>
      <c r="Y577" s="8"/>
      <c r="Z577" s="8"/>
    </row>
    <row r="578">
      <c r="A578" s="7" t="s">
        <v>884</v>
      </c>
      <c r="B578" s="7" t="s">
        <v>885</v>
      </c>
      <c r="C578" s="7" t="s">
        <v>95</v>
      </c>
      <c r="D578" s="7">
        <v>14.0</v>
      </c>
      <c r="E578" s="8"/>
      <c r="F578" s="8"/>
      <c r="G578" s="8"/>
      <c r="H578" s="7"/>
      <c r="I578" s="8"/>
      <c r="J578" s="9"/>
      <c r="K578" s="8"/>
      <c r="L578" s="8"/>
      <c r="M578" s="8"/>
      <c r="N578" s="8"/>
      <c r="O578" s="8"/>
      <c r="P578" s="8"/>
      <c r="Q578" s="8"/>
      <c r="R578" s="8"/>
      <c r="S578" s="8"/>
      <c r="T578" s="8"/>
      <c r="U578" s="8"/>
      <c r="V578" s="8"/>
      <c r="W578" s="8"/>
      <c r="X578" s="8"/>
      <c r="Y578" s="8"/>
      <c r="Z578" s="8"/>
    </row>
    <row r="579">
      <c r="A579" s="7" t="s">
        <v>886</v>
      </c>
      <c r="B579" s="7" t="s">
        <v>887</v>
      </c>
      <c r="C579" s="7">
        <v>7.0</v>
      </c>
      <c r="D579" s="7">
        <v>7.0</v>
      </c>
      <c r="E579" s="8"/>
      <c r="F579" s="8"/>
      <c r="G579" s="8"/>
      <c r="H579" s="7"/>
      <c r="I579" s="8"/>
      <c r="J579" s="9"/>
      <c r="K579" s="8"/>
      <c r="L579" s="8"/>
      <c r="M579" s="8"/>
      <c r="N579" s="8"/>
      <c r="O579" s="8"/>
      <c r="P579" s="8"/>
      <c r="Q579" s="8"/>
      <c r="R579" s="8"/>
      <c r="S579" s="8"/>
      <c r="T579" s="8"/>
      <c r="U579" s="8"/>
      <c r="V579" s="8"/>
      <c r="W579" s="8"/>
      <c r="X579" s="8"/>
      <c r="Y579" s="8"/>
      <c r="Z579" s="8"/>
    </row>
    <row r="580">
      <c r="A580" s="7" t="s">
        <v>886</v>
      </c>
      <c r="B580" s="7" t="s">
        <v>888</v>
      </c>
      <c r="C580" s="7">
        <v>6.5</v>
      </c>
      <c r="D580" s="7">
        <v>5.0</v>
      </c>
      <c r="E580" s="8"/>
      <c r="F580" s="8"/>
      <c r="G580" s="8"/>
      <c r="H580" s="7"/>
      <c r="I580" s="8"/>
      <c r="J580" s="9"/>
      <c r="K580" s="8"/>
      <c r="L580" s="8"/>
      <c r="M580" s="8"/>
      <c r="N580" s="8"/>
      <c r="O580" s="8"/>
      <c r="P580" s="8"/>
      <c r="Q580" s="8"/>
      <c r="R580" s="8"/>
      <c r="S580" s="8"/>
      <c r="T580" s="8"/>
      <c r="U580" s="8"/>
      <c r="V580" s="8"/>
      <c r="W580" s="8"/>
      <c r="X580" s="8"/>
      <c r="Y580" s="8"/>
      <c r="Z580" s="8"/>
    </row>
    <row r="581">
      <c r="A581" s="7" t="s">
        <v>889</v>
      </c>
      <c r="B581" s="7" t="s">
        <v>890</v>
      </c>
      <c r="C581" s="7" t="s">
        <v>51</v>
      </c>
      <c r="D581" s="7">
        <v>6.0</v>
      </c>
      <c r="E581" s="8"/>
      <c r="F581" s="8"/>
      <c r="G581" s="8"/>
      <c r="H581" s="7"/>
      <c r="I581" s="8"/>
      <c r="J581" s="9"/>
      <c r="K581" s="8"/>
      <c r="L581" s="8"/>
      <c r="M581" s="8"/>
      <c r="N581" s="8"/>
      <c r="O581" s="8"/>
      <c r="P581" s="8"/>
      <c r="Q581" s="8"/>
      <c r="R581" s="8"/>
      <c r="S581" s="8"/>
      <c r="T581" s="8"/>
      <c r="U581" s="8"/>
      <c r="V581" s="8"/>
      <c r="W581" s="8"/>
      <c r="X581" s="8"/>
      <c r="Y581" s="8"/>
      <c r="Z581" s="8"/>
    </row>
    <row r="582">
      <c r="A582" s="7" t="s">
        <v>891</v>
      </c>
      <c r="B582" s="7" t="s">
        <v>892</v>
      </c>
      <c r="C582" s="7" t="s">
        <v>51</v>
      </c>
      <c r="D582" s="7">
        <v>7.0</v>
      </c>
      <c r="E582" s="8"/>
      <c r="F582" s="8"/>
      <c r="G582" s="8"/>
      <c r="H582" s="7"/>
      <c r="I582" s="8"/>
      <c r="J582" s="9"/>
      <c r="K582" s="8"/>
      <c r="L582" s="8"/>
      <c r="M582" s="8"/>
      <c r="N582" s="8"/>
      <c r="O582" s="8"/>
      <c r="P582" s="8"/>
      <c r="Q582" s="8"/>
      <c r="R582" s="8"/>
      <c r="S582" s="8"/>
      <c r="T582" s="8"/>
      <c r="U582" s="8"/>
      <c r="V582" s="8"/>
      <c r="W582" s="8"/>
      <c r="X582" s="8"/>
      <c r="Y582" s="8"/>
      <c r="Z582" s="8"/>
    </row>
    <row r="583">
      <c r="A583" s="14" t="s">
        <v>891</v>
      </c>
      <c r="B583" s="14" t="s">
        <v>893</v>
      </c>
      <c r="C583" s="14">
        <v>25.0</v>
      </c>
      <c r="D583" s="14">
        <v>6.5</v>
      </c>
      <c r="E583" s="15"/>
      <c r="F583" s="15"/>
      <c r="G583" s="15"/>
      <c r="H583" s="15"/>
      <c r="I583" s="15"/>
      <c r="J583" s="16"/>
      <c r="K583" s="15"/>
      <c r="L583" s="15"/>
      <c r="M583" s="15"/>
      <c r="N583" s="15"/>
      <c r="O583" s="15"/>
      <c r="P583" s="15"/>
      <c r="Q583" s="15"/>
      <c r="R583" s="15"/>
      <c r="S583" s="15"/>
      <c r="T583" s="15"/>
      <c r="U583" s="15"/>
      <c r="V583" s="15"/>
      <c r="W583" s="15"/>
      <c r="X583" s="15"/>
      <c r="Y583" s="15"/>
      <c r="Z583" s="15"/>
    </row>
    <row r="584">
      <c r="A584" s="14" t="s">
        <v>891</v>
      </c>
      <c r="B584" s="14" t="s">
        <v>894</v>
      </c>
      <c r="C584" s="14">
        <v>24.0</v>
      </c>
      <c r="D584" s="14"/>
      <c r="E584" s="15"/>
      <c r="F584" s="15"/>
      <c r="G584" s="15"/>
      <c r="H584" s="15"/>
      <c r="I584" s="15"/>
      <c r="J584" s="16"/>
      <c r="K584" s="15"/>
      <c r="L584" s="15"/>
      <c r="M584" s="15"/>
      <c r="N584" s="15"/>
      <c r="O584" s="15"/>
      <c r="P584" s="15"/>
      <c r="Q584" s="15"/>
      <c r="R584" s="15"/>
      <c r="S584" s="15"/>
      <c r="T584" s="15"/>
      <c r="U584" s="15"/>
      <c r="V584" s="15"/>
      <c r="W584" s="15"/>
      <c r="X584" s="15"/>
      <c r="Y584" s="15"/>
      <c r="Z584" s="15"/>
    </row>
    <row r="585">
      <c r="A585" s="7" t="s">
        <v>891</v>
      </c>
      <c r="B585" s="7" t="s">
        <v>895</v>
      </c>
      <c r="C585" s="7" t="s">
        <v>134</v>
      </c>
      <c r="D585" s="7"/>
      <c r="E585" s="8"/>
      <c r="F585" s="8"/>
      <c r="G585" s="8"/>
      <c r="H585" s="8"/>
      <c r="I585" s="8"/>
      <c r="J585" s="9"/>
      <c r="K585" s="8"/>
      <c r="L585" s="8"/>
      <c r="M585" s="8"/>
      <c r="N585" s="8"/>
      <c r="O585" s="8"/>
      <c r="P585" s="8"/>
      <c r="Q585" s="8"/>
      <c r="R585" s="8"/>
      <c r="S585" s="8"/>
      <c r="T585" s="8"/>
      <c r="U585" s="8"/>
      <c r="V585" s="8"/>
      <c r="W585" s="8"/>
      <c r="X585" s="8"/>
      <c r="Y585" s="8"/>
      <c r="Z585" s="8"/>
    </row>
    <row r="586">
      <c r="A586" s="7" t="s">
        <v>891</v>
      </c>
      <c r="B586" s="7" t="s">
        <v>896</v>
      </c>
      <c r="C586" s="7" t="s">
        <v>134</v>
      </c>
      <c r="D586" s="7"/>
      <c r="E586" s="8"/>
      <c r="F586" s="8"/>
      <c r="G586" s="8"/>
      <c r="H586" s="8"/>
      <c r="I586" s="8"/>
      <c r="J586" s="9"/>
      <c r="K586" s="8"/>
      <c r="L586" s="8"/>
      <c r="M586" s="8"/>
      <c r="N586" s="8"/>
      <c r="O586" s="8"/>
      <c r="P586" s="8"/>
      <c r="Q586" s="8"/>
      <c r="R586" s="8"/>
      <c r="S586" s="8"/>
      <c r="T586" s="8"/>
      <c r="U586" s="8"/>
      <c r="V586" s="8"/>
      <c r="W586" s="8"/>
      <c r="X586" s="8"/>
      <c r="Y586" s="8"/>
      <c r="Z586" s="8"/>
    </row>
    <row r="587">
      <c r="A587" s="7" t="s">
        <v>897</v>
      </c>
      <c r="B587" s="7" t="s">
        <v>898</v>
      </c>
      <c r="C587" s="7" t="s">
        <v>51</v>
      </c>
      <c r="D587" s="7"/>
      <c r="E587" s="8"/>
      <c r="F587" s="8"/>
      <c r="G587" s="8"/>
      <c r="H587" s="8"/>
      <c r="I587" s="8"/>
      <c r="J587" s="9"/>
      <c r="K587" s="8"/>
      <c r="L587" s="8"/>
      <c r="M587" s="8"/>
      <c r="N587" s="8"/>
      <c r="O587" s="8"/>
      <c r="P587" s="8"/>
      <c r="Q587" s="8"/>
      <c r="R587" s="8"/>
      <c r="S587" s="8"/>
      <c r="T587" s="8"/>
      <c r="U587" s="8"/>
      <c r="V587" s="8"/>
      <c r="W587" s="8"/>
      <c r="X587" s="8"/>
      <c r="Y587" s="8"/>
      <c r="Z587" s="8"/>
    </row>
    <row r="588">
      <c r="A588" s="7" t="s">
        <v>899</v>
      </c>
      <c r="B588" s="7" t="s">
        <v>900</v>
      </c>
      <c r="C588" s="7" t="s">
        <v>51</v>
      </c>
      <c r="D588" s="7">
        <v>6.0</v>
      </c>
      <c r="E588" s="8"/>
      <c r="F588" s="8"/>
      <c r="G588" s="8"/>
      <c r="H588" s="8"/>
      <c r="I588" s="8"/>
      <c r="J588" s="9"/>
      <c r="K588" s="8"/>
      <c r="L588" s="8"/>
      <c r="M588" s="8"/>
      <c r="N588" s="8"/>
      <c r="O588" s="8"/>
      <c r="P588" s="8"/>
      <c r="Q588" s="8"/>
      <c r="R588" s="8"/>
      <c r="S588" s="8"/>
      <c r="T588" s="8"/>
      <c r="U588" s="8"/>
      <c r="V588" s="8"/>
      <c r="W588" s="8"/>
      <c r="X588" s="8"/>
      <c r="Y588" s="8"/>
      <c r="Z588" s="8"/>
    </row>
    <row r="589">
      <c r="A589" s="7" t="s">
        <v>901</v>
      </c>
      <c r="B589" s="7" t="s">
        <v>902</v>
      </c>
      <c r="C589" s="7"/>
      <c r="D589" s="7">
        <v>2.5</v>
      </c>
      <c r="E589" s="8"/>
      <c r="F589" s="8"/>
      <c r="G589" s="8"/>
      <c r="H589" s="8"/>
      <c r="I589" s="8"/>
      <c r="J589" s="9"/>
      <c r="K589" s="8"/>
      <c r="L589" s="8"/>
      <c r="M589" s="8"/>
      <c r="N589" s="8"/>
      <c r="O589" s="8"/>
      <c r="P589" s="8"/>
      <c r="Q589" s="8"/>
      <c r="R589" s="8"/>
      <c r="S589" s="8"/>
      <c r="T589" s="8"/>
      <c r="U589" s="8"/>
      <c r="V589" s="8"/>
      <c r="W589" s="8"/>
      <c r="X589" s="8"/>
      <c r="Y589" s="8"/>
      <c r="Z589" s="8"/>
    </row>
    <row r="590">
      <c r="A590" s="7" t="s">
        <v>903</v>
      </c>
      <c r="B590" s="7" t="s">
        <v>904</v>
      </c>
      <c r="C590" s="7">
        <v>8.5</v>
      </c>
      <c r="D590" s="7">
        <v>24.79</v>
      </c>
      <c r="E590" s="8"/>
      <c r="F590" s="8"/>
      <c r="G590" s="8"/>
      <c r="H590" s="8"/>
      <c r="I590" s="8"/>
      <c r="J590" s="9"/>
      <c r="K590" s="8"/>
      <c r="L590" s="8"/>
      <c r="M590" s="8"/>
      <c r="N590" s="8"/>
      <c r="O590" s="8"/>
      <c r="P590" s="8"/>
      <c r="Q590" s="8"/>
      <c r="R590" s="8"/>
      <c r="S590" s="8"/>
      <c r="T590" s="8"/>
      <c r="U590" s="8"/>
      <c r="V590" s="8"/>
      <c r="W590" s="8"/>
      <c r="X590" s="8"/>
      <c r="Y590" s="8"/>
      <c r="Z590" s="8"/>
    </row>
    <row r="591">
      <c r="A591" s="7" t="s">
        <v>905</v>
      </c>
      <c r="B591" s="7" t="s">
        <v>906</v>
      </c>
      <c r="C591" s="7" t="s">
        <v>66</v>
      </c>
      <c r="D591" s="7">
        <v>3.15</v>
      </c>
      <c r="E591" s="8"/>
      <c r="F591" s="8"/>
      <c r="G591" s="8"/>
      <c r="H591" s="7"/>
      <c r="I591" s="8"/>
      <c r="J591" s="9"/>
      <c r="K591" s="8"/>
      <c r="L591" s="8"/>
      <c r="M591" s="8"/>
      <c r="N591" s="8"/>
      <c r="O591" s="8"/>
      <c r="P591" s="8"/>
      <c r="Q591" s="8"/>
      <c r="R591" s="8"/>
      <c r="S591" s="8"/>
      <c r="T591" s="8"/>
      <c r="U591" s="8"/>
      <c r="V591" s="8"/>
      <c r="W591" s="8"/>
      <c r="X591" s="8"/>
      <c r="Y591" s="8"/>
      <c r="Z591" s="8"/>
    </row>
    <row r="592">
      <c r="A592" s="7" t="s">
        <v>907</v>
      </c>
      <c r="B592" s="7" t="s">
        <v>701</v>
      </c>
      <c r="C592" s="7"/>
      <c r="D592" s="7">
        <v>2.5</v>
      </c>
      <c r="E592" s="8"/>
      <c r="F592" s="8"/>
      <c r="G592" s="8"/>
      <c r="H592" s="8"/>
      <c r="I592" s="8"/>
      <c r="J592" s="9"/>
      <c r="K592" s="8"/>
      <c r="L592" s="8"/>
      <c r="M592" s="8"/>
      <c r="N592" s="8"/>
      <c r="O592" s="8"/>
      <c r="P592" s="8"/>
      <c r="Q592" s="8"/>
      <c r="R592" s="8"/>
      <c r="S592" s="8"/>
      <c r="T592" s="8"/>
      <c r="U592" s="8"/>
      <c r="V592" s="8"/>
      <c r="W592" s="8"/>
      <c r="X592" s="8"/>
      <c r="Y592" s="8"/>
      <c r="Z592" s="8"/>
    </row>
    <row r="593">
      <c r="A593" s="7" t="s">
        <v>907</v>
      </c>
      <c r="B593" s="7" t="s">
        <v>908</v>
      </c>
      <c r="C593" s="7" t="s">
        <v>51</v>
      </c>
      <c r="D593" s="7">
        <v>5.5</v>
      </c>
      <c r="E593" s="8"/>
      <c r="F593" s="8"/>
      <c r="G593" s="8"/>
      <c r="H593" s="8"/>
      <c r="I593" s="8"/>
      <c r="J593" s="9"/>
      <c r="K593" s="8"/>
      <c r="L593" s="8"/>
      <c r="M593" s="8"/>
      <c r="N593" s="8"/>
      <c r="O593" s="8"/>
      <c r="P593" s="8"/>
      <c r="Q593" s="8"/>
      <c r="R593" s="8"/>
      <c r="S593" s="8"/>
      <c r="T593" s="8"/>
      <c r="U593" s="8"/>
      <c r="V593" s="8"/>
      <c r="W593" s="8"/>
      <c r="X593" s="8"/>
      <c r="Y593" s="8"/>
      <c r="Z593" s="8"/>
    </row>
    <row r="594">
      <c r="A594" s="7" t="s">
        <v>909</v>
      </c>
      <c r="B594" s="7" t="s">
        <v>910</v>
      </c>
      <c r="C594" s="7" t="s">
        <v>51</v>
      </c>
      <c r="D594" s="7">
        <v>10.0</v>
      </c>
      <c r="E594" s="8"/>
      <c r="F594" s="8"/>
      <c r="G594" s="8"/>
      <c r="H594" s="8"/>
      <c r="I594" s="8"/>
      <c r="J594" s="9"/>
      <c r="K594" s="8"/>
      <c r="L594" s="8"/>
      <c r="M594" s="8"/>
      <c r="N594" s="8"/>
      <c r="O594" s="8"/>
      <c r="P594" s="8"/>
      <c r="Q594" s="8"/>
      <c r="R594" s="8"/>
      <c r="S594" s="8"/>
      <c r="T594" s="8"/>
      <c r="U594" s="8"/>
      <c r="V594" s="8"/>
      <c r="W594" s="8"/>
      <c r="X594" s="8"/>
      <c r="Y594" s="8"/>
      <c r="Z594" s="8"/>
    </row>
    <row r="595">
      <c r="A595" s="7" t="s">
        <v>911</v>
      </c>
      <c r="B595" s="7" t="s">
        <v>912</v>
      </c>
      <c r="C595" s="7" t="s">
        <v>51</v>
      </c>
      <c r="D595" s="7">
        <v>7.3</v>
      </c>
      <c r="E595" s="8"/>
      <c r="F595" s="8"/>
      <c r="G595" s="8"/>
      <c r="H595" s="8"/>
      <c r="I595" s="8"/>
      <c r="J595" s="9"/>
      <c r="K595" s="8"/>
      <c r="L595" s="8"/>
      <c r="M595" s="8"/>
      <c r="N595" s="8"/>
      <c r="O595" s="8"/>
      <c r="P595" s="8"/>
      <c r="Q595" s="8"/>
      <c r="R595" s="8"/>
      <c r="S595" s="8"/>
      <c r="T595" s="8"/>
      <c r="U595" s="8"/>
      <c r="V595" s="8"/>
      <c r="W595" s="8"/>
      <c r="X595" s="8"/>
      <c r="Y595" s="8"/>
      <c r="Z595" s="8"/>
    </row>
    <row r="596">
      <c r="A596" s="7" t="s">
        <v>913</v>
      </c>
      <c r="B596" s="7" t="s">
        <v>914</v>
      </c>
      <c r="C596" s="7">
        <v>6.0</v>
      </c>
      <c r="D596" s="7">
        <v>14.0</v>
      </c>
      <c r="E596" s="8"/>
      <c r="F596" s="8"/>
      <c r="G596" s="8"/>
      <c r="H596" s="8"/>
      <c r="I596" s="8"/>
      <c r="J596" s="9"/>
      <c r="K596" s="8"/>
      <c r="L596" s="8"/>
      <c r="M596" s="8"/>
      <c r="N596" s="8"/>
      <c r="O596" s="8"/>
      <c r="P596" s="8"/>
      <c r="Q596" s="8"/>
      <c r="R596" s="8"/>
      <c r="S596" s="8"/>
      <c r="T596" s="8"/>
      <c r="U596" s="8"/>
      <c r="V596" s="8"/>
      <c r="W596" s="8"/>
      <c r="X596" s="8"/>
      <c r="Y596" s="8"/>
      <c r="Z596" s="8"/>
    </row>
    <row r="597">
      <c r="A597" s="10" t="s">
        <v>915</v>
      </c>
      <c r="B597" s="10" t="s">
        <v>916</v>
      </c>
      <c r="C597" s="10">
        <v>6.0</v>
      </c>
      <c r="D597" s="10">
        <v>7.0</v>
      </c>
      <c r="E597" s="11"/>
      <c r="F597" s="11"/>
      <c r="G597" s="11"/>
      <c r="H597" s="10" t="s">
        <v>189</v>
      </c>
      <c r="I597" s="10"/>
      <c r="J597" s="12"/>
      <c r="K597" s="11"/>
      <c r="L597" s="11"/>
      <c r="M597" s="11"/>
      <c r="N597" s="11"/>
      <c r="O597" s="11"/>
      <c r="P597" s="11"/>
      <c r="Q597" s="11"/>
      <c r="R597" s="11"/>
      <c r="S597" s="11"/>
      <c r="T597" s="11"/>
      <c r="U597" s="11"/>
      <c r="V597" s="11"/>
      <c r="W597" s="11"/>
      <c r="X597" s="11"/>
      <c r="Y597" s="11"/>
      <c r="Z597" s="11"/>
    </row>
    <row r="598">
      <c r="A598" s="7" t="s">
        <v>917</v>
      </c>
      <c r="B598" s="7" t="s">
        <v>918</v>
      </c>
      <c r="C598" s="7">
        <v>8.5</v>
      </c>
      <c r="D598" s="7">
        <v>3.5</v>
      </c>
      <c r="E598" s="8"/>
      <c r="F598" s="8"/>
      <c r="G598" s="8"/>
      <c r="H598" s="8"/>
      <c r="I598" s="8"/>
      <c r="J598" s="9"/>
      <c r="K598" s="8"/>
      <c r="L598" s="8"/>
      <c r="M598" s="8"/>
      <c r="N598" s="8"/>
      <c r="O598" s="8"/>
      <c r="P598" s="8"/>
      <c r="Q598" s="8"/>
      <c r="R598" s="8"/>
      <c r="S598" s="8"/>
      <c r="T598" s="8"/>
      <c r="U598" s="8"/>
      <c r="V598" s="8"/>
      <c r="W598" s="8"/>
      <c r="X598" s="8"/>
      <c r="Y598" s="8"/>
      <c r="Z598" s="8"/>
    </row>
    <row r="599">
      <c r="A599" s="7" t="s">
        <v>919</v>
      </c>
      <c r="B599" s="7" t="s">
        <v>328</v>
      </c>
      <c r="C599" s="7" t="s">
        <v>57</v>
      </c>
      <c r="D599" s="7">
        <v>5.0</v>
      </c>
      <c r="E599" s="8"/>
      <c r="F599" s="8"/>
      <c r="G599" s="8"/>
      <c r="H599" s="8"/>
      <c r="I599" s="8"/>
      <c r="J599" s="9"/>
      <c r="K599" s="8"/>
      <c r="L599" s="8"/>
      <c r="M599" s="8"/>
      <c r="N599" s="8"/>
      <c r="O599" s="8"/>
      <c r="P599" s="8"/>
      <c r="Q599" s="8"/>
      <c r="R599" s="8"/>
      <c r="S599" s="8"/>
      <c r="T599" s="8"/>
      <c r="U599" s="8"/>
      <c r="V599" s="8"/>
      <c r="W599" s="8"/>
      <c r="X599" s="8"/>
      <c r="Y599" s="8"/>
      <c r="Z599" s="8"/>
    </row>
    <row r="600">
      <c r="A600" s="7" t="s">
        <v>920</v>
      </c>
      <c r="B600" s="7" t="s">
        <v>921</v>
      </c>
      <c r="C600" s="7" t="s">
        <v>922</v>
      </c>
      <c r="D600" s="7">
        <v>10.0</v>
      </c>
      <c r="E600" s="8"/>
      <c r="F600" s="8"/>
      <c r="G600" s="8"/>
      <c r="H600" s="8"/>
      <c r="I600" s="8"/>
      <c r="J600" s="9"/>
      <c r="K600" s="8"/>
      <c r="L600" s="8"/>
      <c r="M600" s="8"/>
      <c r="N600" s="8"/>
      <c r="O600" s="8"/>
      <c r="P600" s="8"/>
      <c r="Q600" s="8"/>
      <c r="R600" s="8"/>
      <c r="S600" s="8"/>
      <c r="T600" s="8"/>
      <c r="U600" s="8"/>
      <c r="V600" s="8"/>
      <c r="W600" s="8"/>
      <c r="X600" s="8"/>
      <c r="Y600" s="8"/>
      <c r="Z600" s="8"/>
    </row>
    <row r="601">
      <c r="A601" s="7" t="s">
        <v>923</v>
      </c>
      <c r="B601" s="7" t="s">
        <v>924</v>
      </c>
      <c r="C601" s="7">
        <v>6.0</v>
      </c>
      <c r="D601" s="7">
        <v>7.0</v>
      </c>
      <c r="E601" s="8"/>
      <c r="F601" s="8"/>
      <c r="G601" s="8"/>
      <c r="H601" s="8"/>
      <c r="I601" s="8"/>
      <c r="J601" s="9"/>
      <c r="K601" s="8"/>
      <c r="L601" s="8"/>
      <c r="M601" s="8"/>
      <c r="N601" s="8"/>
      <c r="O601" s="8"/>
      <c r="P601" s="8"/>
      <c r="Q601" s="8"/>
      <c r="R601" s="8"/>
      <c r="S601" s="8"/>
      <c r="T601" s="8"/>
      <c r="U601" s="8"/>
      <c r="V601" s="8"/>
      <c r="W601" s="8"/>
      <c r="X601" s="8"/>
      <c r="Y601" s="8"/>
      <c r="Z601" s="8"/>
    </row>
    <row r="602">
      <c r="A602" s="7" t="s">
        <v>925</v>
      </c>
      <c r="B602" s="7" t="s">
        <v>926</v>
      </c>
      <c r="C602" s="7" t="s">
        <v>51</v>
      </c>
      <c r="D602" s="7">
        <v>7.0</v>
      </c>
      <c r="E602" s="8"/>
      <c r="F602" s="8"/>
      <c r="G602" s="8"/>
      <c r="H602" s="8"/>
      <c r="I602" s="8"/>
      <c r="J602" s="9"/>
      <c r="K602" s="8"/>
      <c r="L602" s="8"/>
      <c r="M602" s="8"/>
      <c r="N602" s="8"/>
      <c r="O602" s="8"/>
      <c r="P602" s="8"/>
      <c r="Q602" s="8"/>
      <c r="R602" s="8"/>
      <c r="S602" s="8"/>
      <c r="T602" s="8"/>
      <c r="U602" s="8"/>
      <c r="V602" s="8"/>
      <c r="W602" s="8"/>
      <c r="X602" s="8"/>
      <c r="Y602" s="8"/>
      <c r="Z602" s="8"/>
    </row>
    <row r="603">
      <c r="A603" s="10" t="s">
        <v>927</v>
      </c>
      <c r="B603" s="10" t="s">
        <v>928</v>
      </c>
      <c r="C603" s="10" t="s">
        <v>51</v>
      </c>
      <c r="D603" s="10">
        <v>7.3</v>
      </c>
      <c r="E603" s="11"/>
      <c r="F603" s="11"/>
      <c r="G603" s="11"/>
      <c r="H603" s="10" t="s">
        <v>375</v>
      </c>
      <c r="I603" s="11"/>
      <c r="J603" s="12"/>
      <c r="K603" s="11"/>
      <c r="L603" s="11"/>
      <c r="M603" s="11"/>
      <c r="N603" s="11"/>
      <c r="O603" s="11"/>
      <c r="P603" s="11"/>
      <c r="Q603" s="11"/>
      <c r="R603" s="11"/>
      <c r="S603" s="11"/>
      <c r="T603" s="11"/>
      <c r="U603" s="11"/>
      <c r="V603" s="11"/>
      <c r="W603" s="11"/>
      <c r="X603" s="11"/>
      <c r="Y603" s="11"/>
      <c r="Z603" s="11"/>
    </row>
    <row r="604">
      <c r="A604" s="7" t="s">
        <v>929</v>
      </c>
      <c r="B604" s="7" t="s">
        <v>930</v>
      </c>
      <c r="C604" s="7" t="s">
        <v>57</v>
      </c>
      <c r="D604" s="7">
        <v>3.0</v>
      </c>
      <c r="E604" s="8"/>
      <c r="F604" s="8"/>
      <c r="G604" s="8"/>
      <c r="H604" s="8"/>
      <c r="I604" s="28"/>
      <c r="J604" s="9"/>
      <c r="K604" s="8"/>
      <c r="L604" s="8"/>
      <c r="M604" s="8"/>
      <c r="N604" s="8"/>
      <c r="O604" s="8"/>
      <c r="P604" s="8"/>
      <c r="Q604" s="8"/>
      <c r="R604" s="8"/>
      <c r="S604" s="8"/>
      <c r="T604" s="8"/>
      <c r="U604" s="8"/>
      <c r="V604" s="8"/>
      <c r="W604" s="8"/>
      <c r="X604" s="8"/>
      <c r="Y604" s="8"/>
      <c r="Z604" s="8"/>
    </row>
    <row r="605">
      <c r="A605" s="7" t="s">
        <v>931</v>
      </c>
      <c r="B605" s="7" t="s">
        <v>932</v>
      </c>
      <c r="C605" s="7" t="s">
        <v>57</v>
      </c>
      <c r="D605" s="7"/>
      <c r="E605" s="8"/>
      <c r="F605" s="8"/>
      <c r="G605" s="8"/>
      <c r="H605" s="8"/>
      <c r="I605" s="28"/>
      <c r="J605" s="9"/>
      <c r="K605" s="8"/>
      <c r="L605" s="8"/>
      <c r="M605" s="8"/>
      <c r="N605" s="8"/>
      <c r="O605" s="8"/>
      <c r="P605" s="8"/>
      <c r="Q605" s="8"/>
      <c r="R605" s="8"/>
      <c r="S605" s="8"/>
      <c r="T605" s="8"/>
      <c r="U605" s="8"/>
      <c r="V605" s="8"/>
      <c r="W605" s="8"/>
      <c r="X605" s="8"/>
      <c r="Y605" s="8"/>
      <c r="Z605" s="8"/>
    </row>
    <row r="606">
      <c r="A606" s="7" t="s">
        <v>933</v>
      </c>
      <c r="B606" s="7" t="s">
        <v>934</v>
      </c>
      <c r="C606" s="7" t="s">
        <v>481</v>
      </c>
      <c r="D606" s="7">
        <v>7.3</v>
      </c>
      <c r="E606" s="8"/>
      <c r="F606" s="8"/>
      <c r="G606" s="8"/>
      <c r="H606" s="8"/>
      <c r="I606" s="28"/>
      <c r="J606" s="9"/>
      <c r="K606" s="8"/>
      <c r="L606" s="8"/>
      <c r="M606" s="8"/>
      <c r="N606" s="8"/>
      <c r="O606" s="8"/>
      <c r="P606" s="8"/>
      <c r="Q606" s="8"/>
      <c r="R606" s="8"/>
      <c r="S606" s="8"/>
      <c r="T606" s="8"/>
      <c r="U606" s="8"/>
      <c r="V606" s="8"/>
      <c r="W606" s="8"/>
      <c r="X606" s="8"/>
      <c r="Y606" s="8"/>
      <c r="Z606" s="8"/>
    </row>
    <row r="607">
      <c r="A607" s="7" t="s">
        <v>935</v>
      </c>
      <c r="B607" s="7" t="s">
        <v>936</v>
      </c>
      <c r="C607" s="7"/>
      <c r="D607" s="7"/>
      <c r="E607" s="8"/>
      <c r="F607" s="8"/>
      <c r="G607" s="8"/>
      <c r="H607" s="8"/>
      <c r="I607" s="28"/>
      <c r="J607" s="9"/>
      <c r="K607" s="8"/>
      <c r="L607" s="8"/>
      <c r="M607" s="8"/>
      <c r="N607" s="8"/>
      <c r="O607" s="8"/>
      <c r="P607" s="8"/>
      <c r="Q607" s="8"/>
      <c r="R607" s="8"/>
      <c r="S607" s="8"/>
      <c r="T607" s="8"/>
      <c r="U607" s="8"/>
      <c r="V607" s="8"/>
      <c r="W607" s="8"/>
      <c r="X607" s="8"/>
      <c r="Y607" s="8"/>
      <c r="Z607" s="8"/>
    </row>
    <row r="608">
      <c r="A608" s="7" t="s">
        <v>937</v>
      </c>
      <c r="B608" s="7" t="s">
        <v>938</v>
      </c>
      <c r="C608" s="7">
        <v>0.0</v>
      </c>
      <c r="D608" s="7">
        <v>10.0</v>
      </c>
      <c r="E608" s="8"/>
      <c r="F608" s="8"/>
      <c r="G608" s="8"/>
      <c r="H608" s="8"/>
      <c r="I608" s="8"/>
      <c r="J608" s="9"/>
      <c r="K608" s="8"/>
      <c r="L608" s="8"/>
      <c r="M608" s="8"/>
      <c r="N608" s="8"/>
      <c r="O608" s="8"/>
      <c r="P608" s="8"/>
      <c r="Q608" s="8"/>
      <c r="R608" s="8"/>
      <c r="S608" s="8"/>
      <c r="T608" s="8"/>
      <c r="U608" s="8"/>
      <c r="V608" s="8"/>
      <c r="W608" s="8"/>
      <c r="X608" s="8"/>
      <c r="Y608" s="8"/>
      <c r="Z608" s="8"/>
    </row>
    <row r="609">
      <c r="A609" s="7" t="s">
        <v>939</v>
      </c>
      <c r="B609" s="7" t="s">
        <v>940</v>
      </c>
      <c r="C609" s="7" t="s">
        <v>51</v>
      </c>
      <c r="D609" s="7">
        <v>8.8</v>
      </c>
      <c r="E609" s="8"/>
      <c r="F609" s="8"/>
      <c r="G609" s="8"/>
      <c r="H609" s="8"/>
      <c r="I609" s="8"/>
      <c r="J609" s="9"/>
      <c r="K609" s="8"/>
      <c r="L609" s="8"/>
      <c r="M609" s="8"/>
      <c r="N609" s="8"/>
      <c r="O609" s="8"/>
      <c r="P609" s="8"/>
      <c r="Q609" s="8"/>
      <c r="R609" s="8"/>
      <c r="S609" s="8"/>
      <c r="T609" s="8"/>
      <c r="U609" s="8"/>
      <c r="V609" s="8"/>
      <c r="W609" s="8"/>
      <c r="X609" s="8"/>
      <c r="Y609" s="8"/>
      <c r="Z609" s="8"/>
    </row>
    <row r="610">
      <c r="A610" s="7" t="s">
        <v>939</v>
      </c>
      <c r="B610" s="7" t="s">
        <v>941</v>
      </c>
      <c r="C610" s="7" t="s">
        <v>66</v>
      </c>
      <c r="D610" s="7">
        <v>6.0</v>
      </c>
      <c r="E610" s="8"/>
      <c r="F610" s="8"/>
      <c r="G610" s="8"/>
      <c r="H610" s="8"/>
      <c r="I610" s="8"/>
      <c r="J610" s="9"/>
      <c r="K610" s="8"/>
      <c r="L610" s="8"/>
      <c r="M610" s="8"/>
      <c r="N610" s="8"/>
      <c r="O610" s="8"/>
      <c r="P610" s="8"/>
      <c r="Q610" s="8"/>
      <c r="R610" s="8"/>
      <c r="S610" s="8"/>
      <c r="T610" s="8"/>
      <c r="U610" s="8"/>
      <c r="V610" s="8"/>
      <c r="W610" s="8"/>
      <c r="X610" s="8"/>
      <c r="Y610" s="8"/>
      <c r="Z610" s="8"/>
    </row>
    <row r="611">
      <c r="A611" s="7" t="s">
        <v>942</v>
      </c>
      <c r="B611" s="7" t="s">
        <v>943</v>
      </c>
      <c r="C611" s="7"/>
      <c r="D611" s="7">
        <v>2.0</v>
      </c>
      <c r="E611" s="8"/>
      <c r="F611" s="8"/>
      <c r="G611" s="8"/>
      <c r="H611" s="8"/>
      <c r="I611" s="8"/>
      <c r="J611" s="9"/>
      <c r="K611" s="8"/>
      <c r="L611" s="8"/>
      <c r="M611" s="8"/>
      <c r="N611" s="8"/>
      <c r="O611" s="8"/>
      <c r="P611" s="8"/>
      <c r="Q611" s="8"/>
      <c r="R611" s="8"/>
      <c r="S611" s="8"/>
      <c r="T611" s="8"/>
      <c r="U611" s="8"/>
      <c r="V611" s="8"/>
      <c r="W611" s="8"/>
      <c r="X611" s="8"/>
      <c r="Y611" s="8"/>
      <c r="Z611" s="8"/>
    </row>
    <row r="612">
      <c r="A612" s="10" t="s">
        <v>944</v>
      </c>
      <c r="B612" s="10" t="s">
        <v>945</v>
      </c>
      <c r="C612" s="10">
        <v>42.0</v>
      </c>
      <c r="D612" s="10"/>
      <c r="E612" s="10"/>
      <c r="F612" s="10"/>
      <c r="G612" s="11"/>
      <c r="H612" s="10" t="s">
        <v>219</v>
      </c>
      <c r="I612" s="11"/>
      <c r="J612" s="12"/>
      <c r="K612" s="11"/>
      <c r="L612" s="11"/>
      <c r="M612" s="11"/>
      <c r="N612" s="11"/>
      <c r="O612" s="11"/>
      <c r="P612" s="11"/>
      <c r="Q612" s="11"/>
      <c r="R612" s="11"/>
      <c r="S612" s="11"/>
      <c r="T612" s="11"/>
      <c r="U612" s="11"/>
      <c r="V612" s="11"/>
      <c r="W612" s="11"/>
      <c r="X612" s="11"/>
      <c r="Y612" s="11"/>
      <c r="Z612" s="11"/>
    </row>
    <row r="613">
      <c r="A613" s="7" t="s">
        <v>946</v>
      </c>
      <c r="B613" s="7" t="s">
        <v>516</v>
      </c>
      <c r="C613" s="7" t="s">
        <v>95</v>
      </c>
      <c r="D613" s="7">
        <v>9.0</v>
      </c>
      <c r="E613" s="7"/>
      <c r="F613" s="7"/>
      <c r="G613" s="8"/>
      <c r="H613" s="8"/>
      <c r="I613" s="8"/>
      <c r="J613" s="9"/>
      <c r="K613" s="8"/>
      <c r="L613" s="8"/>
      <c r="M613" s="8"/>
      <c r="N613" s="8"/>
      <c r="O613" s="8"/>
      <c r="P613" s="8"/>
      <c r="Q613" s="8"/>
      <c r="R613" s="8"/>
      <c r="S613" s="8"/>
      <c r="T613" s="8"/>
      <c r="U613" s="8"/>
      <c r="V613" s="8"/>
      <c r="W613" s="8"/>
      <c r="X613" s="8"/>
      <c r="Y613" s="8"/>
      <c r="Z613" s="8"/>
    </row>
    <row r="614">
      <c r="A614" s="7" t="s">
        <v>946</v>
      </c>
      <c r="B614" s="7" t="s">
        <v>947</v>
      </c>
      <c r="C614" s="7" t="s">
        <v>66</v>
      </c>
      <c r="D614" s="7">
        <v>17.43</v>
      </c>
      <c r="E614" s="8"/>
      <c r="F614" s="8"/>
      <c r="G614" s="8"/>
      <c r="H614" s="8"/>
      <c r="I614" s="8"/>
      <c r="J614" s="9"/>
      <c r="K614" s="8"/>
      <c r="L614" s="8"/>
      <c r="M614" s="8"/>
      <c r="N614" s="8"/>
      <c r="O614" s="8"/>
      <c r="P614" s="8"/>
      <c r="Q614" s="8"/>
      <c r="R614" s="8"/>
      <c r="S614" s="8"/>
      <c r="T614" s="8"/>
      <c r="U614" s="8"/>
      <c r="V614" s="8"/>
      <c r="W614" s="8"/>
      <c r="X614" s="8"/>
      <c r="Y614" s="8"/>
      <c r="Z614" s="8"/>
    </row>
    <row r="615">
      <c r="A615" s="7" t="s">
        <v>946</v>
      </c>
      <c r="B615" s="7" t="s">
        <v>948</v>
      </c>
      <c r="C615" s="7">
        <v>8.5</v>
      </c>
      <c r="D615" s="7">
        <v>9.79</v>
      </c>
      <c r="E615" s="8"/>
      <c r="F615" s="8"/>
      <c r="G615" s="8"/>
      <c r="H615" s="8"/>
      <c r="I615" s="8"/>
      <c r="J615" s="9"/>
      <c r="K615" s="8"/>
      <c r="L615" s="8"/>
      <c r="M615" s="8"/>
      <c r="N615" s="8"/>
      <c r="O615" s="8"/>
      <c r="P615" s="8"/>
      <c r="Q615" s="8"/>
      <c r="R615" s="8"/>
      <c r="S615" s="8"/>
      <c r="T615" s="8"/>
      <c r="U615" s="8"/>
      <c r="V615" s="8"/>
      <c r="W615" s="8"/>
      <c r="X615" s="8"/>
      <c r="Y615" s="8"/>
      <c r="Z615" s="8"/>
    </row>
    <row r="616">
      <c r="A616" s="7" t="s">
        <v>946</v>
      </c>
      <c r="B616" s="7" t="s">
        <v>949</v>
      </c>
      <c r="C616" s="7" t="s">
        <v>57</v>
      </c>
      <c r="D616" s="7">
        <v>9.5</v>
      </c>
      <c r="E616" s="8"/>
      <c r="F616" s="8"/>
      <c r="G616" s="8"/>
      <c r="H616" s="8"/>
      <c r="I616" s="8"/>
      <c r="J616" s="9"/>
      <c r="K616" s="8"/>
      <c r="L616" s="8"/>
      <c r="M616" s="8"/>
      <c r="N616" s="8"/>
      <c r="O616" s="8"/>
      <c r="P616" s="8"/>
      <c r="Q616" s="8"/>
      <c r="R616" s="8"/>
      <c r="S616" s="8"/>
      <c r="T616" s="8"/>
      <c r="U616" s="8"/>
      <c r="V616" s="8"/>
      <c r="W616" s="8"/>
      <c r="X616" s="8"/>
      <c r="Y616" s="8"/>
      <c r="Z616" s="8"/>
    </row>
    <row r="617">
      <c r="A617" s="14" t="s">
        <v>946</v>
      </c>
      <c r="B617" s="14" t="s">
        <v>950</v>
      </c>
      <c r="C617" s="14" t="s">
        <v>66</v>
      </c>
      <c r="D617" s="14">
        <v>10.0</v>
      </c>
      <c r="E617" s="15"/>
      <c r="F617" s="15"/>
      <c r="G617" s="15"/>
      <c r="H617" s="15"/>
      <c r="I617" s="15"/>
      <c r="J617" s="16"/>
      <c r="K617" s="15"/>
      <c r="L617" s="15"/>
      <c r="M617" s="15"/>
      <c r="N617" s="15"/>
      <c r="O617" s="15"/>
      <c r="P617" s="15"/>
      <c r="Q617" s="15"/>
      <c r="R617" s="15"/>
      <c r="S617" s="15"/>
      <c r="T617" s="15"/>
      <c r="U617" s="15"/>
      <c r="V617" s="15"/>
      <c r="W617" s="15"/>
      <c r="X617" s="15"/>
      <c r="Y617" s="15"/>
      <c r="Z617" s="15"/>
    </row>
    <row r="618">
      <c r="A618" s="7" t="s">
        <v>946</v>
      </c>
      <c r="B618" s="7" t="s">
        <v>951</v>
      </c>
      <c r="C618" s="7" t="s">
        <v>628</v>
      </c>
      <c r="D618" s="7">
        <v>8.0</v>
      </c>
      <c r="E618" s="8"/>
      <c r="F618" s="8"/>
      <c r="G618" s="8"/>
      <c r="H618" s="8"/>
      <c r="I618" s="8"/>
      <c r="J618" s="9"/>
      <c r="K618" s="8"/>
      <c r="L618" s="8"/>
      <c r="M618" s="8"/>
      <c r="N618" s="8"/>
      <c r="O618" s="8"/>
      <c r="P618" s="8"/>
      <c r="Q618" s="8"/>
      <c r="R618" s="8"/>
      <c r="S618" s="8"/>
      <c r="T618" s="8"/>
      <c r="U618" s="8"/>
      <c r="V618" s="8"/>
      <c r="W618" s="8"/>
      <c r="X618" s="8"/>
      <c r="Y618" s="8"/>
      <c r="Z618" s="8"/>
    </row>
    <row r="619">
      <c r="A619" s="14" t="s">
        <v>946</v>
      </c>
      <c r="B619" s="14" t="s">
        <v>952</v>
      </c>
      <c r="C619" s="14">
        <v>8.0</v>
      </c>
      <c r="D619" s="14">
        <v>10.0</v>
      </c>
      <c r="E619" s="15"/>
      <c r="F619" s="15"/>
      <c r="G619" s="15"/>
      <c r="H619" s="15"/>
      <c r="I619" s="14" t="s">
        <v>953</v>
      </c>
      <c r="J619" s="16"/>
      <c r="K619" s="15"/>
      <c r="L619" s="15"/>
      <c r="M619" s="15"/>
      <c r="N619" s="15"/>
      <c r="O619" s="15"/>
      <c r="P619" s="15"/>
      <c r="Q619" s="15"/>
      <c r="R619" s="15"/>
      <c r="S619" s="15"/>
      <c r="T619" s="15"/>
      <c r="U619" s="15"/>
      <c r="V619" s="15"/>
      <c r="W619" s="15"/>
      <c r="X619" s="15"/>
      <c r="Y619" s="15"/>
      <c r="Z619" s="15"/>
    </row>
    <row r="620">
      <c r="A620" s="7" t="s">
        <v>954</v>
      </c>
      <c r="B620" s="7" t="s">
        <v>955</v>
      </c>
      <c r="C620" s="7">
        <v>4.0</v>
      </c>
      <c r="D620" s="7">
        <v>4.5</v>
      </c>
      <c r="E620" s="8"/>
      <c r="F620" s="8"/>
      <c r="G620" s="8"/>
      <c r="H620" s="7"/>
      <c r="I620" s="8"/>
      <c r="J620" s="9"/>
      <c r="K620" s="8"/>
      <c r="L620" s="8"/>
      <c r="M620" s="8"/>
      <c r="N620" s="8"/>
      <c r="O620" s="8"/>
      <c r="P620" s="8"/>
      <c r="Q620" s="8"/>
      <c r="R620" s="8"/>
      <c r="S620" s="8"/>
      <c r="T620" s="8"/>
      <c r="U620" s="8"/>
      <c r="V620" s="8"/>
      <c r="W620" s="8"/>
      <c r="X620" s="8"/>
      <c r="Y620" s="8"/>
      <c r="Z620" s="8"/>
    </row>
    <row r="621">
      <c r="A621" s="7" t="s">
        <v>956</v>
      </c>
      <c r="B621" s="7" t="s">
        <v>957</v>
      </c>
      <c r="C621" s="7">
        <v>39.0</v>
      </c>
      <c r="D621" s="7">
        <v>4.0</v>
      </c>
      <c r="E621" s="8"/>
      <c r="F621" s="8"/>
      <c r="G621" s="8"/>
      <c r="H621" s="7"/>
      <c r="I621" s="8"/>
      <c r="J621" s="9"/>
      <c r="K621" s="8"/>
      <c r="L621" s="8"/>
      <c r="M621" s="8"/>
      <c r="N621" s="8"/>
      <c r="O621" s="8"/>
      <c r="P621" s="8"/>
      <c r="Q621" s="8"/>
      <c r="R621" s="8"/>
      <c r="S621" s="8"/>
      <c r="T621" s="8"/>
      <c r="U621" s="8"/>
      <c r="V621" s="8"/>
      <c r="W621" s="8"/>
      <c r="X621" s="8"/>
      <c r="Y621" s="8"/>
      <c r="Z621" s="8"/>
    </row>
    <row r="622">
      <c r="A622" s="7" t="s">
        <v>956</v>
      </c>
      <c r="B622" s="7" t="s">
        <v>958</v>
      </c>
      <c r="C622" s="7">
        <v>9.0</v>
      </c>
      <c r="D622" s="7">
        <v>7.0</v>
      </c>
      <c r="E622" s="8"/>
      <c r="F622" s="8"/>
      <c r="G622" s="8"/>
      <c r="H622" s="7"/>
      <c r="I622" s="8"/>
      <c r="J622" s="9"/>
      <c r="K622" s="8"/>
      <c r="L622" s="8"/>
      <c r="M622" s="8"/>
      <c r="N622" s="8"/>
      <c r="O622" s="8"/>
      <c r="P622" s="8"/>
      <c r="Q622" s="8"/>
      <c r="R622" s="8"/>
      <c r="S622" s="8"/>
      <c r="T622" s="8"/>
      <c r="U622" s="8"/>
      <c r="V622" s="8"/>
      <c r="W622" s="8"/>
      <c r="X622" s="8"/>
      <c r="Y622" s="8"/>
      <c r="Z622" s="8"/>
    </row>
    <row r="623">
      <c r="A623" s="7" t="s">
        <v>959</v>
      </c>
      <c r="B623" s="7" t="s">
        <v>960</v>
      </c>
      <c r="C623" s="7">
        <v>4.0</v>
      </c>
      <c r="D623" s="7">
        <v>3.0</v>
      </c>
      <c r="E623" s="8"/>
      <c r="F623" s="8"/>
      <c r="G623" s="8"/>
      <c r="H623" s="7"/>
      <c r="I623" s="8"/>
      <c r="J623" s="9"/>
      <c r="K623" s="8"/>
      <c r="L623" s="8"/>
      <c r="M623" s="8"/>
      <c r="N623" s="8"/>
      <c r="O623" s="8"/>
      <c r="P623" s="8"/>
      <c r="Q623" s="8"/>
      <c r="R623" s="8"/>
      <c r="S623" s="8"/>
      <c r="T623" s="8"/>
      <c r="U623" s="8"/>
      <c r="V623" s="8"/>
      <c r="W623" s="8"/>
      <c r="X623" s="8"/>
      <c r="Y623" s="8"/>
      <c r="Z623" s="8"/>
    </row>
    <row r="624">
      <c r="A624" s="7" t="s">
        <v>961</v>
      </c>
      <c r="B624" s="7" t="s">
        <v>962</v>
      </c>
      <c r="C624" s="7" t="s">
        <v>57</v>
      </c>
      <c r="D624" s="7">
        <v>8.5</v>
      </c>
      <c r="E624" s="8"/>
      <c r="F624" s="8"/>
      <c r="G624" s="8"/>
      <c r="H624" s="7"/>
      <c r="I624" s="8"/>
      <c r="J624" s="9"/>
      <c r="K624" s="8"/>
      <c r="L624" s="8"/>
      <c r="M624" s="8"/>
      <c r="N624" s="8"/>
      <c r="O624" s="8"/>
      <c r="P624" s="8"/>
      <c r="Q624" s="8"/>
      <c r="R624" s="8"/>
      <c r="S624" s="8"/>
      <c r="T624" s="8"/>
      <c r="U624" s="8"/>
      <c r="V624" s="8"/>
      <c r="W624" s="8"/>
      <c r="X624" s="8"/>
      <c r="Y624" s="8"/>
      <c r="Z624" s="8"/>
    </row>
    <row r="625">
      <c r="A625" s="7" t="s">
        <v>963</v>
      </c>
      <c r="B625" s="7" t="s">
        <v>964</v>
      </c>
      <c r="C625" s="7"/>
      <c r="D625" s="7">
        <v>4.5</v>
      </c>
      <c r="E625" s="8"/>
      <c r="F625" s="8"/>
      <c r="G625" s="8"/>
      <c r="H625" s="7"/>
      <c r="I625" s="8"/>
      <c r="J625" s="9"/>
      <c r="K625" s="8"/>
      <c r="L625" s="8"/>
      <c r="M625" s="8"/>
      <c r="N625" s="8"/>
      <c r="O625" s="8"/>
      <c r="P625" s="8"/>
      <c r="Q625" s="8"/>
      <c r="R625" s="8"/>
      <c r="S625" s="8"/>
      <c r="T625" s="8"/>
      <c r="U625" s="8"/>
      <c r="V625" s="8"/>
      <c r="W625" s="8"/>
      <c r="X625" s="8"/>
      <c r="Y625" s="8"/>
      <c r="Z625" s="8"/>
    </row>
    <row r="626">
      <c r="A626" s="7" t="s">
        <v>965</v>
      </c>
      <c r="B626" s="7" t="s">
        <v>966</v>
      </c>
      <c r="C626" s="7" t="s">
        <v>95</v>
      </c>
      <c r="D626" s="7">
        <v>6.0</v>
      </c>
      <c r="E626" s="8"/>
      <c r="F626" s="8"/>
      <c r="G626" s="8"/>
      <c r="H626" s="7"/>
      <c r="I626" s="8"/>
      <c r="J626" s="9"/>
      <c r="K626" s="8"/>
      <c r="L626" s="8"/>
      <c r="M626" s="8"/>
      <c r="N626" s="8"/>
      <c r="O626" s="8"/>
      <c r="P626" s="8"/>
      <c r="Q626" s="8"/>
      <c r="R626" s="8"/>
      <c r="S626" s="8"/>
      <c r="T626" s="8"/>
      <c r="U626" s="8"/>
      <c r="V626" s="8"/>
      <c r="W626" s="8"/>
      <c r="X626" s="8"/>
      <c r="Y626" s="8"/>
      <c r="Z626" s="8"/>
    </row>
    <row r="627">
      <c r="A627" s="7" t="s">
        <v>965</v>
      </c>
      <c r="B627" s="7" t="s">
        <v>967</v>
      </c>
      <c r="C627" s="7">
        <v>2.0</v>
      </c>
      <c r="D627" s="7">
        <v>4.0</v>
      </c>
      <c r="E627" s="8"/>
      <c r="F627" s="8"/>
      <c r="G627" s="8"/>
      <c r="H627" s="7"/>
      <c r="I627" s="8"/>
      <c r="J627" s="9"/>
      <c r="K627" s="8"/>
      <c r="L627" s="8"/>
      <c r="M627" s="8"/>
      <c r="N627" s="8"/>
      <c r="O627" s="8"/>
      <c r="P627" s="8"/>
      <c r="Q627" s="8"/>
      <c r="R627" s="8"/>
      <c r="S627" s="8"/>
      <c r="T627" s="8"/>
      <c r="U627" s="8"/>
      <c r="V627" s="8"/>
      <c r="W627" s="8"/>
      <c r="X627" s="8"/>
      <c r="Y627" s="8"/>
      <c r="Z627" s="8"/>
    </row>
    <row r="628">
      <c r="A628" s="7" t="s">
        <v>965</v>
      </c>
      <c r="B628" s="7" t="s">
        <v>968</v>
      </c>
      <c r="C628" s="7">
        <v>2.0</v>
      </c>
      <c r="D628" s="7">
        <v>8.0</v>
      </c>
      <c r="E628" s="8"/>
      <c r="F628" s="8"/>
      <c r="G628" s="8"/>
      <c r="H628" s="7"/>
      <c r="I628" s="8"/>
      <c r="J628" s="9"/>
      <c r="K628" s="8"/>
      <c r="L628" s="8"/>
      <c r="M628" s="8"/>
      <c r="N628" s="8"/>
      <c r="O628" s="8"/>
      <c r="P628" s="8"/>
      <c r="Q628" s="8"/>
      <c r="R628" s="8"/>
      <c r="S628" s="8"/>
      <c r="T628" s="8"/>
      <c r="U628" s="8"/>
      <c r="V628" s="8"/>
      <c r="W628" s="8"/>
      <c r="X628" s="8"/>
      <c r="Y628" s="8"/>
      <c r="Z628" s="8"/>
    </row>
    <row r="629">
      <c r="A629" s="7" t="s">
        <v>969</v>
      </c>
      <c r="B629" s="7" t="s">
        <v>970</v>
      </c>
      <c r="C629" s="7">
        <v>4.0</v>
      </c>
      <c r="D629" s="7">
        <v>10.0</v>
      </c>
      <c r="E629" s="8"/>
      <c r="F629" s="8"/>
      <c r="G629" s="8"/>
      <c r="H629" s="7"/>
      <c r="I629" s="8"/>
      <c r="J629" s="9"/>
      <c r="K629" s="8"/>
      <c r="L629" s="8"/>
      <c r="M629" s="8"/>
      <c r="N629" s="8"/>
      <c r="O629" s="8"/>
      <c r="P629" s="8"/>
      <c r="Q629" s="8"/>
      <c r="R629" s="8"/>
      <c r="S629" s="8"/>
      <c r="T629" s="8"/>
      <c r="U629" s="8"/>
      <c r="V629" s="8"/>
      <c r="W629" s="8"/>
      <c r="X629" s="8"/>
      <c r="Y629" s="8"/>
      <c r="Z629" s="8"/>
    </row>
    <row r="630">
      <c r="A630" s="7" t="s">
        <v>969</v>
      </c>
      <c r="B630" s="7" t="s">
        <v>971</v>
      </c>
      <c r="C630" s="7" t="s">
        <v>51</v>
      </c>
      <c r="D630" s="7">
        <v>11.0</v>
      </c>
      <c r="E630" s="8"/>
      <c r="F630" s="8"/>
      <c r="G630" s="8"/>
      <c r="H630" s="7"/>
      <c r="I630" s="8"/>
      <c r="J630" s="9"/>
      <c r="K630" s="8"/>
      <c r="L630" s="8"/>
      <c r="M630" s="8"/>
      <c r="N630" s="8"/>
      <c r="O630" s="8"/>
      <c r="P630" s="8"/>
      <c r="Q630" s="8"/>
      <c r="R630" s="8"/>
      <c r="S630" s="8"/>
      <c r="T630" s="8"/>
      <c r="U630" s="8"/>
      <c r="V630" s="8"/>
      <c r="W630" s="8"/>
      <c r="X630" s="8"/>
      <c r="Y630" s="8"/>
      <c r="Z630" s="8"/>
    </row>
    <row r="631">
      <c r="A631" s="7" t="s">
        <v>969</v>
      </c>
      <c r="B631" s="7" t="s">
        <v>972</v>
      </c>
      <c r="C631" s="7" t="s">
        <v>237</v>
      </c>
      <c r="D631" s="7">
        <v>6.0</v>
      </c>
      <c r="E631" s="8"/>
      <c r="F631" s="8"/>
      <c r="G631" s="8"/>
      <c r="H631" s="7"/>
      <c r="I631" s="8"/>
      <c r="J631" s="9"/>
      <c r="K631" s="8"/>
      <c r="L631" s="8"/>
      <c r="M631" s="8"/>
      <c r="N631" s="8"/>
      <c r="O631" s="8"/>
      <c r="P631" s="8"/>
      <c r="Q631" s="8"/>
      <c r="R631" s="8"/>
      <c r="S631" s="8"/>
      <c r="T631" s="8"/>
      <c r="U631" s="8"/>
      <c r="V631" s="8"/>
      <c r="W631" s="8"/>
      <c r="X631" s="8"/>
      <c r="Y631" s="8"/>
      <c r="Z631" s="8"/>
    </row>
    <row r="632">
      <c r="A632" s="7" t="s">
        <v>965</v>
      </c>
      <c r="B632" s="7" t="s">
        <v>973</v>
      </c>
      <c r="C632" s="7">
        <v>0.0</v>
      </c>
      <c r="D632" s="7">
        <v>10.0</v>
      </c>
      <c r="E632" s="8"/>
      <c r="F632" s="8"/>
      <c r="G632" s="8"/>
      <c r="H632" s="7"/>
      <c r="I632" s="8"/>
      <c r="J632" s="9"/>
      <c r="K632" s="8"/>
      <c r="L632" s="8"/>
      <c r="M632" s="8"/>
      <c r="N632" s="8"/>
      <c r="O632" s="8"/>
      <c r="P632" s="8"/>
      <c r="Q632" s="8"/>
      <c r="R632" s="8"/>
      <c r="S632" s="8"/>
      <c r="T632" s="8"/>
      <c r="U632" s="8"/>
      <c r="V632" s="8"/>
      <c r="W632" s="8"/>
      <c r="X632" s="8"/>
      <c r="Y632" s="8"/>
      <c r="Z632" s="8"/>
    </row>
    <row r="633">
      <c r="A633" s="7" t="s">
        <v>965</v>
      </c>
      <c r="B633" s="7" t="s">
        <v>974</v>
      </c>
      <c r="C633" s="7" t="s">
        <v>51</v>
      </c>
      <c r="D633" s="7">
        <v>7.0</v>
      </c>
      <c r="E633" s="8"/>
      <c r="F633" s="8"/>
      <c r="G633" s="8"/>
      <c r="H633" s="7"/>
      <c r="I633" s="8"/>
      <c r="J633" s="9"/>
      <c r="K633" s="8"/>
      <c r="L633" s="8"/>
      <c r="M633" s="8"/>
      <c r="N633" s="8"/>
      <c r="O633" s="8"/>
      <c r="P633" s="8"/>
      <c r="Q633" s="8"/>
      <c r="R633" s="8"/>
      <c r="S633" s="8"/>
      <c r="T633" s="8"/>
      <c r="U633" s="8"/>
      <c r="V633" s="8"/>
      <c r="W633" s="8"/>
      <c r="X633" s="8"/>
      <c r="Y633" s="8"/>
      <c r="Z633" s="8"/>
    </row>
    <row r="634">
      <c r="A634" s="7" t="s">
        <v>965</v>
      </c>
      <c r="B634" s="7" t="s">
        <v>975</v>
      </c>
      <c r="C634" s="7">
        <v>6.0</v>
      </c>
      <c r="D634" s="7">
        <v>6.0</v>
      </c>
      <c r="E634" s="8"/>
      <c r="F634" s="8"/>
      <c r="G634" s="8"/>
      <c r="H634" s="8"/>
      <c r="I634" s="8"/>
      <c r="J634" s="9"/>
      <c r="K634" s="8"/>
      <c r="L634" s="8"/>
      <c r="M634" s="8"/>
      <c r="N634" s="8"/>
      <c r="O634" s="8"/>
      <c r="P634" s="8"/>
      <c r="Q634" s="8"/>
      <c r="R634" s="8"/>
      <c r="S634" s="8"/>
      <c r="T634" s="8"/>
      <c r="U634" s="8"/>
      <c r="V634" s="8"/>
      <c r="W634" s="8"/>
      <c r="X634" s="8"/>
      <c r="Y634" s="8"/>
      <c r="Z634" s="8"/>
    </row>
    <row r="635">
      <c r="A635" s="7" t="s">
        <v>965</v>
      </c>
      <c r="B635" s="7" t="s">
        <v>976</v>
      </c>
      <c r="C635" s="7">
        <v>0.0</v>
      </c>
      <c r="D635" s="7">
        <v>10.0</v>
      </c>
      <c r="E635" s="8"/>
      <c r="F635" s="8"/>
      <c r="G635" s="8"/>
      <c r="H635" s="8"/>
      <c r="I635" s="8"/>
      <c r="J635" s="9"/>
      <c r="K635" s="8"/>
      <c r="L635" s="8"/>
      <c r="M635" s="8"/>
      <c r="N635" s="8"/>
      <c r="O635" s="8"/>
      <c r="P635" s="8"/>
      <c r="Q635" s="8"/>
      <c r="R635" s="8"/>
      <c r="S635" s="8"/>
      <c r="T635" s="8"/>
      <c r="U635" s="8"/>
      <c r="V635" s="8"/>
      <c r="W635" s="8"/>
      <c r="X635" s="8"/>
      <c r="Y635" s="8"/>
      <c r="Z635" s="8"/>
    </row>
    <row r="636">
      <c r="A636" s="7" t="s">
        <v>965</v>
      </c>
      <c r="B636" s="7" t="s">
        <v>977</v>
      </c>
      <c r="C636" s="7">
        <v>6.0</v>
      </c>
      <c r="D636" s="7">
        <v>8.3</v>
      </c>
      <c r="E636" s="8"/>
      <c r="F636" s="8"/>
      <c r="G636" s="8"/>
      <c r="H636" s="8"/>
      <c r="I636" s="8"/>
      <c r="J636" s="9"/>
      <c r="K636" s="8"/>
      <c r="L636" s="8"/>
      <c r="M636" s="8"/>
      <c r="N636" s="8"/>
      <c r="O636" s="8"/>
      <c r="P636" s="8"/>
      <c r="Q636" s="8"/>
      <c r="R636" s="8"/>
      <c r="S636" s="8"/>
      <c r="T636" s="8"/>
      <c r="U636" s="8"/>
      <c r="V636" s="8"/>
      <c r="W636" s="8"/>
      <c r="X636" s="8"/>
      <c r="Y636" s="8"/>
      <c r="Z636" s="8"/>
    </row>
    <row r="637">
      <c r="A637" s="7" t="s">
        <v>978</v>
      </c>
      <c r="B637" s="7" t="s">
        <v>979</v>
      </c>
      <c r="C637" s="7" t="s">
        <v>57</v>
      </c>
      <c r="D637" s="7">
        <v>8.5</v>
      </c>
      <c r="E637" s="8"/>
      <c r="F637" s="8"/>
      <c r="G637" s="8"/>
      <c r="H637" s="7" t="s">
        <v>384</v>
      </c>
      <c r="I637" s="8"/>
      <c r="J637" s="9"/>
      <c r="K637" s="8"/>
      <c r="L637" s="8"/>
      <c r="M637" s="8"/>
      <c r="N637" s="8"/>
      <c r="O637" s="8"/>
      <c r="P637" s="8"/>
      <c r="Q637" s="8"/>
      <c r="R637" s="8"/>
      <c r="S637" s="8"/>
      <c r="T637" s="8"/>
      <c r="U637" s="8"/>
      <c r="V637" s="8"/>
      <c r="W637" s="8"/>
      <c r="X637" s="8"/>
      <c r="Y637" s="8"/>
      <c r="Z637" s="8"/>
    </row>
    <row r="638">
      <c r="A638" s="7" t="s">
        <v>980</v>
      </c>
      <c r="B638" s="7" t="s">
        <v>864</v>
      </c>
      <c r="C638" s="7" t="s">
        <v>51</v>
      </c>
      <c r="D638" s="7">
        <v>4.5</v>
      </c>
      <c r="E638" s="8"/>
      <c r="F638" s="8"/>
      <c r="G638" s="8"/>
      <c r="H638" s="29"/>
      <c r="I638" s="7"/>
      <c r="J638" s="9"/>
      <c r="K638" s="8"/>
      <c r="L638" s="8"/>
      <c r="M638" s="8"/>
      <c r="N638" s="8"/>
      <c r="O638" s="8"/>
      <c r="P638" s="8"/>
      <c r="Q638" s="8"/>
      <c r="R638" s="8"/>
      <c r="S638" s="8"/>
      <c r="T638" s="8"/>
      <c r="U638" s="8"/>
      <c r="V638" s="8"/>
      <c r="W638" s="8"/>
      <c r="X638" s="8"/>
      <c r="Y638" s="8"/>
      <c r="Z638" s="8"/>
    </row>
    <row r="639">
      <c r="A639" s="7" t="s">
        <v>981</v>
      </c>
      <c r="B639" s="7" t="s">
        <v>982</v>
      </c>
      <c r="C639" s="7" t="s">
        <v>66</v>
      </c>
      <c r="D639" s="7">
        <v>3.25</v>
      </c>
      <c r="E639" s="8"/>
      <c r="F639" s="8"/>
      <c r="G639" s="8"/>
      <c r="H639" s="29"/>
      <c r="I639" s="7"/>
      <c r="J639" s="9"/>
      <c r="K639" s="8"/>
      <c r="L639" s="8"/>
      <c r="M639" s="8"/>
      <c r="N639" s="8"/>
      <c r="O639" s="8"/>
      <c r="P639" s="8"/>
      <c r="Q639" s="8"/>
      <c r="R639" s="8"/>
      <c r="S639" s="8"/>
      <c r="T639" s="8"/>
      <c r="U639" s="8"/>
      <c r="V639" s="8"/>
      <c r="W639" s="8"/>
      <c r="X639" s="8"/>
      <c r="Y639" s="8"/>
      <c r="Z639" s="8"/>
    </row>
    <row r="640">
      <c r="A640" s="7" t="s">
        <v>983</v>
      </c>
      <c r="B640" s="7" t="s">
        <v>984</v>
      </c>
      <c r="C640" s="7" t="s">
        <v>95</v>
      </c>
      <c r="D640" s="7">
        <v>4.5</v>
      </c>
      <c r="E640" s="8"/>
      <c r="F640" s="8"/>
      <c r="G640" s="8"/>
      <c r="H640" s="29"/>
      <c r="I640" s="7"/>
      <c r="J640" s="9"/>
      <c r="K640" s="8"/>
      <c r="L640" s="8"/>
      <c r="M640" s="8"/>
      <c r="N640" s="8"/>
      <c r="O640" s="8"/>
      <c r="P640" s="8"/>
      <c r="Q640" s="8"/>
      <c r="R640" s="8"/>
      <c r="S640" s="8"/>
      <c r="T640" s="8"/>
      <c r="U640" s="8"/>
      <c r="V640" s="8"/>
      <c r="W640" s="8"/>
      <c r="X640" s="8"/>
      <c r="Y640" s="8"/>
      <c r="Z640" s="8"/>
    </row>
    <row r="641">
      <c r="A641" s="7" t="s">
        <v>983</v>
      </c>
      <c r="B641" s="7" t="s">
        <v>76</v>
      </c>
      <c r="C641" s="7" t="s">
        <v>51</v>
      </c>
      <c r="D641" s="7">
        <v>10.0</v>
      </c>
      <c r="E641" s="8"/>
      <c r="F641" s="8"/>
      <c r="G641" s="8"/>
      <c r="H641" s="29"/>
      <c r="I641" s="7"/>
      <c r="J641" s="9"/>
      <c r="K641" s="8"/>
      <c r="L641" s="8"/>
      <c r="M641" s="8"/>
      <c r="N641" s="8"/>
      <c r="O641" s="8"/>
      <c r="P641" s="8"/>
      <c r="Q641" s="8"/>
      <c r="R641" s="8"/>
      <c r="S641" s="8"/>
      <c r="T641" s="8"/>
      <c r="U641" s="8"/>
      <c r="V641" s="8"/>
      <c r="W641" s="8"/>
      <c r="X641" s="8"/>
      <c r="Y641" s="8"/>
      <c r="Z641" s="8"/>
    </row>
    <row r="642">
      <c r="A642" s="7" t="s">
        <v>983</v>
      </c>
      <c r="B642" s="7" t="s">
        <v>985</v>
      </c>
      <c r="C642" s="7" t="s">
        <v>66</v>
      </c>
      <c r="D642" s="7">
        <v>9.0</v>
      </c>
      <c r="E642" s="8"/>
      <c r="F642" s="8"/>
      <c r="G642" s="8"/>
      <c r="H642" s="29">
        <v>45696.0</v>
      </c>
      <c r="I642" s="7" t="s">
        <v>986</v>
      </c>
      <c r="J642" s="9"/>
      <c r="K642" s="8"/>
      <c r="L642" s="8"/>
      <c r="M642" s="8"/>
      <c r="N642" s="8"/>
      <c r="O642" s="8"/>
      <c r="P642" s="8"/>
      <c r="Q642" s="8"/>
      <c r="R642" s="8"/>
      <c r="S642" s="8"/>
      <c r="T642" s="8"/>
      <c r="U642" s="8"/>
      <c r="V642" s="8"/>
      <c r="W642" s="8"/>
      <c r="X642" s="8"/>
      <c r="Y642" s="8"/>
      <c r="Z642" s="8"/>
    </row>
    <row r="643">
      <c r="A643" s="7" t="s">
        <v>983</v>
      </c>
      <c r="B643" s="7" t="s">
        <v>573</v>
      </c>
      <c r="C643" s="7"/>
      <c r="D643" s="7">
        <v>10.0</v>
      </c>
      <c r="E643" s="8"/>
      <c r="F643" s="8"/>
      <c r="G643" s="7"/>
      <c r="H643" s="29"/>
      <c r="I643" s="7"/>
      <c r="J643" s="9"/>
      <c r="K643" s="8"/>
      <c r="L643" s="8"/>
      <c r="M643" s="8"/>
      <c r="N643" s="8"/>
      <c r="O643" s="8"/>
      <c r="P643" s="8"/>
      <c r="Q643" s="8"/>
      <c r="R643" s="8"/>
      <c r="S643" s="8"/>
      <c r="T643" s="8"/>
      <c r="U643" s="8"/>
      <c r="V643" s="8"/>
      <c r="W643" s="8"/>
      <c r="X643" s="8"/>
      <c r="Y643" s="8"/>
      <c r="Z643" s="8"/>
    </row>
    <row r="644">
      <c r="A644" s="7" t="s">
        <v>987</v>
      </c>
      <c r="B644" s="7" t="s">
        <v>988</v>
      </c>
      <c r="C644" s="7"/>
      <c r="D644" s="7">
        <v>3.0</v>
      </c>
      <c r="E644" s="8"/>
      <c r="F644" s="8"/>
      <c r="G644" s="8"/>
      <c r="H644" s="8"/>
      <c r="I644" s="8"/>
      <c r="J644" s="9"/>
      <c r="K644" s="8"/>
      <c r="L644" s="8"/>
      <c r="M644" s="8"/>
      <c r="N644" s="8"/>
      <c r="O644" s="8"/>
      <c r="P644" s="8"/>
      <c r="Q644" s="8"/>
      <c r="R644" s="8"/>
      <c r="S644" s="8"/>
      <c r="T644" s="8"/>
      <c r="U644" s="8"/>
      <c r="V644" s="8"/>
      <c r="W644" s="8"/>
      <c r="X644" s="8"/>
      <c r="Y644" s="8"/>
      <c r="Z644" s="8"/>
    </row>
    <row r="645">
      <c r="A645" s="7" t="s">
        <v>987</v>
      </c>
      <c r="B645" s="7" t="s">
        <v>989</v>
      </c>
      <c r="C645" s="7" t="s">
        <v>57</v>
      </c>
      <c r="D645" s="7">
        <v>5.0</v>
      </c>
      <c r="E645" s="8"/>
      <c r="F645" s="8"/>
      <c r="G645" s="8"/>
      <c r="H645" s="8"/>
      <c r="I645" s="8"/>
      <c r="J645" s="9"/>
      <c r="K645" s="8"/>
      <c r="L645" s="8"/>
      <c r="M645" s="8"/>
      <c r="N645" s="8"/>
      <c r="O645" s="8"/>
      <c r="P645" s="8"/>
      <c r="Q645" s="8"/>
      <c r="R645" s="8"/>
      <c r="S645" s="8"/>
      <c r="T645" s="8"/>
      <c r="U645" s="8"/>
      <c r="V645" s="8"/>
      <c r="W645" s="8"/>
      <c r="X645" s="8"/>
      <c r="Y645" s="8"/>
      <c r="Z645" s="8"/>
    </row>
    <row r="646">
      <c r="A646" s="7" t="s">
        <v>990</v>
      </c>
      <c r="B646" s="7" t="s">
        <v>991</v>
      </c>
      <c r="C646" s="7" t="s">
        <v>51</v>
      </c>
      <c r="D646" s="7">
        <v>7.5</v>
      </c>
      <c r="E646" s="8"/>
      <c r="F646" s="8"/>
      <c r="G646" s="8"/>
      <c r="H646" s="8"/>
      <c r="I646" s="8"/>
      <c r="J646" s="9"/>
      <c r="K646" s="8"/>
      <c r="L646" s="8"/>
      <c r="M646" s="8"/>
      <c r="N646" s="8"/>
      <c r="O646" s="8"/>
      <c r="P646" s="8"/>
      <c r="Q646" s="8"/>
      <c r="R646" s="8"/>
      <c r="S646" s="8"/>
      <c r="T646" s="8"/>
      <c r="U646" s="8"/>
      <c r="V646" s="8"/>
      <c r="W646" s="8"/>
      <c r="X646" s="8"/>
      <c r="Y646" s="8"/>
      <c r="Z646" s="8"/>
    </row>
    <row r="647">
      <c r="A647" s="7" t="s">
        <v>992</v>
      </c>
      <c r="B647" s="7" t="s">
        <v>993</v>
      </c>
      <c r="C647" s="7" t="s">
        <v>994</v>
      </c>
      <c r="D647" s="7">
        <v>25.0</v>
      </c>
      <c r="E647" s="8"/>
      <c r="F647" s="8"/>
      <c r="G647" s="8"/>
      <c r="H647" s="8"/>
      <c r="I647" s="8"/>
      <c r="J647" s="9"/>
      <c r="K647" s="8"/>
      <c r="L647" s="8"/>
      <c r="M647" s="8"/>
      <c r="N647" s="8"/>
      <c r="O647" s="8"/>
      <c r="P647" s="8"/>
      <c r="Q647" s="8"/>
      <c r="R647" s="8"/>
      <c r="S647" s="8"/>
      <c r="T647" s="8"/>
      <c r="U647" s="8"/>
      <c r="V647" s="8"/>
      <c r="W647" s="8"/>
      <c r="X647" s="8"/>
      <c r="Y647" s="8"/>
      <c r="Z647" s="8"/>
    </row>
    <row r="648">
      <c r="A648" s="7" t="s">
        <v>995</v>
      </c>
      <c r="B648" s="7" t="s">
        <v>996</v>
      </c>
      <c r="C648" s="7" t="s">
        <v>51</v>
      </c>
      <c r="D648" s="7">
        <v>9.0</v>
      </c>
      <c r="E648" s="8"/>
      <c r="F648" s="8"/>
      <c r="G648" s="8"/>
      <c r="H648" s="8"/>
      <c r="I648" s="8"/>
      <c r="J648" s="9"/>
      <c r="K648" s="8"/>
      <c r="L648" s="8"/>
      <c r="M648" s="8"/>
      <c r="N648" s="8"/>
      <c r="O648" s="8"/>
      <c r="P648" s="8"/>
      <c r="Q648" s="8"/>
      <c r="R648" s="8"/>
      <c r="S648" s="8"/>
      <c r="T648" s="8"/>
      <c r="U648" s="8"/>
      <c r="V648" s="8"/>
      <c r="W648" s="8"/>
      <c r="X648" s="8"/>
      <c r="Y648" s="8"/>
      <c r="Z648" s="8"/>
    </row>
    <row r="649">
      <c r="A649" s="7" t="s">
        <v>995</v>
      </c>
      <c r="B649" s="7" t="s">
        <v>997</v>
      </c>
      <c r="C649" s="7" t="s">
        <v>51</v>
      </c>
      <c r="D649" s="7">
        <v>7.3</v>
      </c>
      <c r="E649" s="8"/>
      <c r="F649" s="8"/>
      <c r="G649" s="8"/>
      <c r="H649" s="8"/>
      <c r="I649" s="8"/>
      <c r="J649" s="9"/>
      <c r="K649" s="8"/>
      <c r="L649" s="8"/>
      <c r="M649" s="8"/>
      <c r="N649" s="8"/>
      <c r="O649" s="8"/>
      <c r="P649" s="8"/>
      <c r="Q649" s="8"/>
      <c r="R649" s="8"/>
      <c r="S649" s="8"/>
      <c r="T649" s="8"/>
      <c r="U649" s="8"/>
      <c r="V649" s="8"/>
      <c r="W649" s="8"/>
      <c r="X649" s="8"/>
      <c r="Y649" s="8"/>
      <c r="Z649" s="8"/>
    </row>
    <row r="650">
      <c r="A650" s="7" t="s">
        <v>998</v>
      </c>
      <c r="B650" s="7" t="s">
        <v>999</v>
      </c>
      <c r="C650" s="7" t="s">
        <v>1000</v>
      </c>
      <c r="D650" s="7">
        <v>7.0</v>
      </c>
      <c r="E650" s="8"/>
      <c r="F650" s="8"/>
      <c r="G650" s="8"/>
      <c r="H650" s="8"/>
      <c r="I650" s="8"/>
      <c r="J650" s="9"/>
      <c r="K650" s="8"/>
      <c r="L650" s="8"/>
      <c r="M650" s="8"/>
      <c r="N650" s="8"/>
      <c r="O650" s="8"/>
      <c r="P650" s="8"/>
      <c r="Q650" s="8"/>
      <c r="R650" s="8"/>
      <c r="S650" s="8"/>
      <c r="T650" s="8"/>
      <c r="U650" s="8"/>
      <c r="V650" s="8"/>
      <c r="W650" s="8"/>
      <c r="X650" s="8"/>
      <c r="Y650" s="8"/>
      <c r="Z650" s="8"/>
    </row>
    <row r="651">
      <c r="A651" s="7" t="s">
        <v>998</v>
      </c>
      <c r="B651" s="7" t="s">
        <v>1001</v>
      </c>
      <c r="C651" s="7">
        <v>6.0</v>
      </c>
      <c r="D651" s="7">
        <v>6.5</v>
      </c>
      <c r="E651" s="8"/>
      <c r="F651" s="8"/>
      <c r="G651" s="8"/>
      <c r="H651" s="8"/>
      <c r="I651" s="8"/>
      <c r="J651" s="9"/>
      <c r="K651" s="8"/>
      <c r="L651" s="8"/>
      <c r="M651" s="8"/>
      <c r="N651" s="8"/>
      <c r="O651" s="8"/>
      <c r="P651" s="8"/>
      <c r="Q651" s="8"/>
      <c r="R651" s="8"/>
      <c r="S651" s="8"/>
      <c r="T651" s="8"/>
      <c r="U651" s="8"/>
      <c r="V651" s="8"/>
      <c r="W651" s="8"/>
      <c r="X651" s="8"/>
      <c r="Y651" s="8"/>
      <c r="Z651" s="8"/>
    </row>
    <row r="652">
      <c r="A652" s="7" t="s">
        <v>1002</v>
      </c>
      <c r="B652" s="7" t="s">
        <v>1003</v>
      </c>
      <c r="C652" s="7" t="s">
        <v>51</v>
      </c>
      <c r="D652" s="7">
        <v>4.0</v>
      </c>
      <c r="E652" s="8"/>
      <c r="F652" s="8"/>
      <c r="G652" s="8"/>
      <c r="H652" s="8"/>
      <c r="I652" s="8"/>
      <c r="J652" s="9"/>
      <c r="K652" s="8"/>
      <c r="L652" s="8"/>
      <c r="M652" s="8"/>
      <c r="N652" s="8"/>
      <c r="O652" s="8"/>
      <c r="P652" s="8"/>
      <c r="Q652" s="8"/>
      <c r="R652" s="8"/>
      <c r="S652" s="8"/>
      <c r="T652" s="8"/>
      <c r="U652" s="8"/>
      <c r="V652" s="8"/>
      <c r="W652" s="8"/>
      <c r="X652" s="8"/>
      <c r="Y652" s="8"/>
      <c r="Z652" s="8"/>
    </row>
    <row r="653">
      <c r="A653" s="7" t="s">
        <v>1002</v>
      </c>
      <c r="B653" s="7" t="s">
        <v>1004</v>
      </c>
      <c r="C653" s="7" t="s">
        <v>57</v>
      </c>
      <c r="D653" s="7">
        <v>4.0</v>
      </c>
      <c r="E653" s="8"/>
      <c r="F653" s="8"/>
      <c r="G653" s="8"/>
      <c r="H653" s="8"/>
      <c r="I653" s="8"/>
      <c r="J653" s="9"/>
      <c r="K653" s="8"/>
      <c r="L653" s="8"/>
      <c r="M653" s="8"/>
      <c r="N653" s="8"/>
      <c r="O653" s="8"/>
      <c r="P653" s="8"/>
      <c r="Q653" s="8"/>
      <c r="R653" s="8"/>
      <c r="S653" s="8"/>
      <c r="T653" s="8"/>
      <c r="U653" s="8"/>
      <c r="V653" s="8"/>
      <c r="W653" s="8"/>
      <c r="X653" s="8"/>
      <c r="Y653" s="8"/>
      <c r="Z653" s="8"/>
    </row>
    <row r="654">
      <c r="A654" s="10" t="s">
        <v>1005</v>
      </c>
      <c r="B654" s="10" t="s">
        <v>1006</v>
      </c>
      <c r="C654" s="10" t="s">
        <v>66</v>
      </c>
      <c r="D654" s="10">
        <v>7.0</v>
      </c>
      <c r="E654" s="11"/>
      <c r="F654" s="11"/>
      <c r="G654" s="11"/>
      <c r="H654" s="10" t="s">
        <v>219</v>
      </c>
      <c r="I654" s="11"/>
      <c r="J654" s="12"/>
      <c r="K654" s="11"/>
      <c r="L654" s="11"/>
      <c r="M654" s="11"/>
      <c r="N654" s="11"/>
      <c r="O654" s="11"/>
      <c r="P654" s="11"/>
      <c r="Q654" s="11"/>
      <c r="R654" s="11"/>
      <c r="S654" s="11"/>
      <c r="T654" s="11"/>
      <c r="U654" s="11"/>
      <c r="V654" s="11"/>
      <c r="W654" s="11"/>
      <c r="X654" s="11"/>
      <c r="Y654" s="11"/>
      <c r="Z654" s="11"/>
    </row>
    <row r="655">
      <c r="A655" s="10" t="s">
        <v>1005</v>
      </c>
      <c r="B655" s="10" t="s">
        <v>1007</v>
      </c>
      <c r="C655" s="10" t="s">
        <v>95</v>
      </c>
      <c r="D655" s="10">
        <v>6.3</v>
      </c>
      <c r="E655" s="11"/>
      <c r="F655" s="11"/>
      <c r="G655" s="11"/>
      <c r="H655" s="10" t="s">
        <v>139</v>
      </c>
      <c r="I655" s="11"/>
      <c r="J655" s="12"/>
      <c r="K655" s="11"/>
      <c r="L655" s="11"/>
      <c r="M655" s="11"/>
      <c r="N655" s="11"/>
      <c r="O655" s="11"/>
      <c r="P655" s="11"/>
      <c r="Q655" s="11"/>
      <c r="R655" s="11"/>
      <c r="S655" s="11"/>
      <c r="T655" s="11"/>
      <c r="U655" s="11"/>
      <c r="V655" s="11"/>
      <c r="W655" s="11"/>
      <c r="X655" s="11"/>
      <c r="Y655" s="11"/>
      <c r="Z655" s="11"/>
    </row>
    <row r="656">
      <c r="A656" s="7" t="s">
        <v>1005</v>
      </c>
      <c r="B656" s="7" t="s">
        <v>1008</v>
      </c>
      <c r="C656" s="7" t="s">
        <v>57</v>
      </c>
      <c r="D656" s="7">
        <v>8.0</v>
      </c>
      <c r="E656" s="8"/>
      <c r="F656" s="8"/>
      <c r="G656" s="8"/>
      <c r="H656" s="8"/>
      <c r="I656" s="8"/>
      <c r="J656" s="9"/>
      <c r="K656" s="8"/>
      <c r="L656" s="8"/>
      <c r="M656" s="8"/>
      <c r="N656" s="8"/>
      <c r="O656" s="8"/>
      <c r="P656" s="8"/>
      <c r="Q656" s="8"/>
      <c r="R656" s="8"/>
      <c r="S656" s="8"/>
      <c r="T656" s="8"/>
      <c r="U656" s="8"/>
      <c r="V656" s="8"/>
      <c r="W656" s="8"/>
      <c r="X656" s="8"/>
      <c r="Y656" s="8"/>
      <c r="Z656" s="8"/>
    </row>
    <row r="657">
      <c r="A657" s="7" t="s">
        <v>1005</v>
      </c>
      <c r="B657" s="7" t="s">
        <v>1009</v>
      </c>
      <c r="C657" s="7" t="s">
        <v>57</v>
      </c>
      <c r="D657" s="7">
        <v>10.0</v>
      </c>
      <c r="E657" s="8"/>
      <c r="F657" s="8"/>
      <c r="G657" s="8"/>
      <c r="H657" s="8"/>
      <c r="I657" s="8"/>
      <c r="J657" s="9"/>
      <c r="K657" s="8"/>
      <c r="L657" s="8"/>
      <c r="M657" s="8"/>
      <c r="N657" s="8"/>
      <c r="O657" s="8"/>
      <c r="P657" s="8"/>
      <c r="Q657" s="8"/>
      <c r="R657" s="8"/>
      <c r="S657" s="8"/>
      <c r="T657" s="8"/>
      <c r="U657" s="8"/>
      <c r="V657" s="8"/>
      <c r="W657" s="8"/>
      <c r="X657" s="8"/>
      <c r="Y657" s="8"/>
      <c r="Z657" s="8"/>
    </row>
    <row r="658">
      <c r="A658" s="7" t="s">
        <v>1005</v>
      </c>
      <c r="B658" s="7" t="s">
        <v>1010</v>
      </c>
      <c r="C658" s="7" t="s">
        <v>120</v>
      </c>
      <c r="D658" s="7">
        <v>7.5</v>
      </c>
      <c r="E658" s="8"/>
      <c r="F658" s="8"/>
      <c r="G658" s="8"/>
      <c r="H658" s="8"/>
      <c r="I658" s="8"/>
      <c r="J658" s="9"/>
      <c r="K658" s="8"/>
      <c r="L658" s="8"/>
      <c r="M658" s="8"/>
      <c r="N658" s="8"/>
      <c r="O658" s="8"/>
      <c r="P658" s="8"/>
      <c r="Q658" s="8"/>
      <c r="R658" s="8"/>
      <c r="S658" s="8"/>
      <c r="T658" s="8"/>
      <c r="U658" s="8"/>
      <c r="V658" s="8"/>
      <c r="W658" s="8"/>
      <c r="X658" s="8"/>
      <c r="Y658" s="8"/>
      <c r="Z658" s="8"/>
    </row>
    <row r="659">
      <c r="A659" s="7" t="s">
        <v>1005</v>
      </c>
      <c r="B659" s="7" t="s">
        <v>1011</v>
      </c>
      <c r="C659" s="7" t="s">
        <v>57</v>
      </c>
      <c r="D659" s="7">
        <v>4.0</v>
      </c>
      <c r="E659" s="8"/>
      <c r="F659" s="8"/>
      <c r="G659" s="8"/>
      <c r="H659" s="8"/>
      <c r="I659" s="8"/>
      <c r="J659" s="9"/>
      <c r="K659" s="8"/>
      <c r="L659" s="8"/>
      <c r="M659" s="8"/>
      <c r="N659" s="8"/>
      <c r="O659" s="8"/>
      <c r="P659" s="8"/>
      <c r="Q659" s="8"/>
      <c r="R659" s="8"/>
      <c r="S659" s="8"/>
      <c r="T659" s="8"/>
      <c r="U659" s="8"/>
      <c r="V659" s="8"/>
      <c r="W659" s="8"/>
      <c r="X659" s="8"/>
      <c r="Y659" s="8"/>
      <c r="Z659" s="8"/>
    </row>
    <row r="660">
      <c r="A660" s="7" t="s">
        <v>1005</v>
      </c>
      <c r="B660" s="7" t="s">
        <v>234</v>
      </c>
      <c r="C660" s="7" t="s">
        <v>57</v>
      </c>
      <c r="D660" s="7">
        <v>4.0</v>
      </c>
      <c r="E660" s="8"/>
      <c r="F660" s="8"/>
      <c r="G660" s="8"/>
      <c r="H660" s="8"/>
      <c r="I660" s="8"/>
      <c r="J660" s="9"/>
      <c r="K660" s="8"/>
      <c r="L660" s="8"/>
      <c r="M660" s="8"/>
      <c r="N660" s="8"/>
      <c r="O660" s="8"/>
      <c r="P660" s="8"/>
      <c r="Q660" s="8"/>
      <c r="R660" s="8"/>
      <c r="S660" s="8"/>
      <c r="T660" s="8"/>
      <c r="U660" s="8"/>
      <c r="V660" s="8"/>
      <c r="W660" s="8"/>
      <c r="X660" s="8"/>
      <c r="Y660" s="8"/>
      <c r="Z660" s="8"/>
    </row>
    <row r="661">
      <c r="A661" s="7" t="s">
        <v>1005</v>
      </c>
      <c r="B661" s="7" t="s">
        <v>1012</v>
      </c>
      <c r="C661" s="7" t="s">
        <v>66</v>
      </c>
      <c r="D661" s="7">
        <v>3.65</v>
      </c>
      <c r="E661" s="8"/>
      <c r="F661" s="8"/>
      <c r="G661" s="8"/>
      <c r="H661" s="8"/>
      <c r="I661" s="8"/>
      <c r="J661" s="9"/>
      <c r="K661" s="8"/>
      <c r="L661" s="8"/>
      <c r="M661" s="8"/>
      <c r="N661" s="8"/>
      <c r="O661" s="8"/>
      <c r="P661" s="8"/>
      <c r="Q661" s="8"/>
      <c r="R661" s="8"/>
      <c r="S661" s="8"/>
      <c r="T661" s="8"/>
      <c r="U661" s="8"/>
      <c r="V661" s="8"/>
      <c r="W661" s="8"/>
      <c r="X661" s="8"/>
      <c r="Y661" s="8"/>
      <c r="Z661" s="8"/>
    </row>
    <row r="662">
      <c r="A662" s="7" t="s">
        <v>1005</v>
      </c>
      <c r="B662" s="7" t="s">
        <v>828</v>
      </c>
      <c r="C662" s="7" t="s">
        <v>66</v>
      </c>
      <c r="D662" s="7">
        <v>10.0</v>
      </c>
      <c r="E662" s="8"/>
      <c r="F662" s="8"/>
      <c r="G662" s="8"/>
      <c r="H662" s="8"/>
      <c r="I662" s="8"/>
      <c r="J662" s="9"/>
      <c r="K662" s="8"/>
      <c r="L662" s="8"/>
      <c r="M662" s="8"/>
      <c r="N662" s="8"/>
      <c r="O662" s="8"/>
      <c r="P662" s="8"/>
      <c r="Q662" s="8"/>
      <c r="R662" s="8"/>
      <c r="S662" s="8"/>
      <c r="T662" s="8"/>
      <c r="U662" s="8"/>
      <c r="V662" s="8"/>
      <c r="W662" s="8"/>
      <c r="X662" s="8"/>
      <c r="Y662" s="8"/>
      <c r="Z662" s="8"/>
    </row>
    <row r="663">
      <c r="A663" s="7" t="s">
        <v>1005</v>
      </c>
      <c r="B663" s="7" t="s">
        <v>1013</v>
      </c>
      <c r="C663" s="7" t="s">
        <v>51</v>
      </c>
      <c r="D663" s="7">
        <v>5.0</v>
      </c>
      <c r="E663" s="8"/>
      <c r="F663" s="8"/>
      <c r="G663" s="8"/>
      <c r="H663" s="8"/>
      <c r="I663" s="8"/>
      <c r="J663" s="9"/>
      <c r="K663" s="8"/>
      <c r="L663" s="8"/>
      <c r="M663" s="8"/>
      <c r="N663" s="8"/>
      <c r="O663" s="8"/>
      <c r="P663" s="8"/>
      <c r="Q663" s="8"/>
      <c r="R663" s="8"/>
      <c r="S663" s="8"/>
      <c r="T663" s="8"/>
      <c r="U663" s="8"/>
      <c r="V663" s="8"/>
      <c r="W663" s="8"/>
      <c r="X663" s="8"/>
      <c r="Y663" s="8"/>
      <c r="Z663" s="8"/>
    </row>
    <row r="664">
      <c r="A664" s="7" t="s">
        <v>1005</v>
      </c>
      <c r="B664" s="7" t="s">
        <v>1014</v>
      </c>
      <c r="C664" s="7" t="s">
        <v>95</v>
      </c>
      <c r="D664" s="7">
        <v>3.0</v>
      </c>
      <c r="E664" s="8"/>
      <c r="F664" s="8"/>
      <c r="G664" s="8"/>
      <c r="H664" s="8"/>
      <c r="I664" s="8"/>
      <c r="J664" s="9"/>
      <c r="K664" s="8"/>
      <c r="L664" s="8"/>
      <c r="M664" s="8"/>
      <c r="N664" s="8"/>
      <c r="O664" s="8"/>
      <c r="P664" s="8"/>
      <c r="Q664" s="8"/>
      <c r="R664" s="8"/>
      <c r="S664" s="8"/>
      <c r="T664" s="8"/>
      <c r="U664" s="8"/>
      <c r="V664" s="8"/>
      <c r="W664" s="8"/>
      <c r="X664" s="8"/>
      <c r="Y664" s="8"/>
      <c r="Z664" s="8"/>
    </row>
    <row r="665">
      <c r="A665" s="7" t="s">
        <v>1005</v>
      </c>
      <c r="B665" s="7" t="s">
        <v>1015</v>
      </c>
      <c r="C665" s="7" t="s">
        <v>66</v>
      </c>
      <c r="D665" s="7">
        <v>7.3</v>
      </c>
      <c r="E665" s="8"/>
      <c r="F665" s="8"/>
      <c r="G665" s="8"/>
      <c r="H665" s="8"/>
      <c r="I665" s="8"/>
      <c r="J665" s="9"/>
      <c r="K665" s="8"/>
      <c r="L665" s="8"/>
      <c r="M665" s="8"/>
      <c r="N665" s="8"/>
      <c r="O665" s="8"/>
      <c r="P665" s="8"/>
      <c r="Q665" s="8"/>
      <c r="R665" s="8"/>
      <c r="S665" s="8"/>
      <c r="T665" s="8"/>
      <c r="U665" s="8"/>
      <c r="V665" s="8"/>
      <c r="W665" s="8"/>
      <c r="X665" s="8"/>
      <c r="Y665" s="8"/>
      <c r="Z665" s="8"/>
    </row>
    <row r="666">
      <c r="A666" s="7" t="s">
        <v>1005</v>
      </c>
      <c r="B666" s="7" t="s">
        <v>1016</v>
      </c>
      <c r="C666" s="7" t="s">
        <v>51</v>
      </c>
      <c r="D666" s="7">
        <v>0.0</v>
      </c>
      <c r="E666" s="8"/>
      <c r="F666" s="8"/>
      <c r="G666" s="8"/>
      <c r="H666" s="8"/>
      <c r="I666" s="8"/>
      <c r="J666" s="9"/>
      <c r="K666" s="8"/>
      <c r="L666" s="8"/>
      <c r="M666" s="8"/>
      <c r="N666" s="8"/>
      <c r="O666" s="8"/>
      <c r="P666" s="8"/>
      <c r="Q666" s="8"/>
      <c r="R666" s="8"/>
      <c r="S666" s="8"/>
      <c r="T666" s="8"/>
      <c r="U666" s="8"/>
      <c r="V666" s="8"/>
      <c r="W666" s="8"/>
      <c r="X666" s="8"/>
      <c r="Y666" s="8"/>
      <c r="Z666" s="8"/>
    </row>
    <row r="667">
      <c r="A667" s="7" t="s">
        <v>1005</v>
      </c>
      <c r="B667" s="7" t="s">
        <v>1017</v>
      </c>
      <c r="C667" s="7" t="s">
        <v>51</v>
      </c>
      <c r="D667" s="7">
        <v>10.0</v>
      </c>
      <c r="E667" s="8"/>
      <c r="F667" s="8"/>
      <c r="G667" s="8"/>
      <c r="H667" s="8"/>
      <c r="I667" s="8"/>
      <c r="J667" s="9"/>
      <c r="K667" s="8"/>
      <c r="L667" s="8"/>
      <c r="M667" s="8"/>
      <c r="N667" s="8"/>
      <c r="O667" s="8"/>
      <c r="P667" s="8"/>
      <c r="Q667" s="8"/>
      <c r="R667" s="8"/>
      <c r="S667" s="8"/>
      <c r="T667" s="8"/>
      <c r="U667" s="8"/>
      <c r="V667" s="8"/>
      <c r="W667" s="8"/>
      <c r="X667" s="8"/>
      <c r="Y667" s="8"/>
      <c r="Z667" s="8"/>
    </row>
    <row r="668">
      <c r="A668" s="7" t="s">
        <v>1005</v>
      </c>
      <c r="B668" s="7" t="s">
        <v>1018</v>
      </c>
      <c r="C668" s="7" t="s">
        <v>66</v>
      </c>
      <c r="D668" s="7">
        <v>3.3</v>
      </c>
      <c r="E668" s="8"/>
      <c r="F668" s="8"/>
      <c r="G668" s="8"/>
      <c r="H668" s="8"/>
      <c r="I668" s="8"/>
      <c r="J668" s="9"/>
      <c r="K668" s="8"/>
      <c r="L668" s="8"/>
      <c r="M668" s="8"/>
      <c r="N668" s="8"/>
      <c r="O668" s="8"/>
      <c r="P668" s="8"/>
      <c r="Q668" s="8"/>
      <c r="R668" s="8"/>
      <c r="S668" s="8"/>
      <c r="T668" s="8"/>
      <c r="U668" s="8"/>
      <c r="V668" s="8"/>
      <c r="W668" s="8"/>
      <c r="X668" s="8"/>
      <c r="Y668" s="8"/>
      <c r="Z668" s="8"/>
    </row>
    <row r="669">
      <c r="A669" s="7" t="s">
        <v>1019</v>
      </c>
      <c r="B669" s="7" t="s">
        <v>1020</v>
      </c>
      <c r="C669" s="7" t="s">
        <v>51</v>
      </c>
      <c r="D669" s="7">
        <v>2.5</v>
      </c>
      <c r="E669" s="8"/>
      <c r="F669" s="8"/>
      <c r="G669" s="8"/>
      <c r="H669" s="8"/>
      <c r="I669" s="8"/>
      <c r="J669" s="9"/>
      <c r="K669" s="8"/>
      <c r="L669" s="8"/>
      <c r="M669" s="8"/>
      <c r="N669" s="8"/>
      <c r="O669" s="8"/>
      <c r="P669" s="8"/>
      <c r="Q669" s="8"/>
      <c r="R669" s="8"/>
      <c r="S669" s="8"/>
      <c r="T669" s="8"/>
      <c r="U669" s="8"/>
      <c r="V669" s="8"/>
      <c r="W669" s="8"/>
      <c r="X669" s="8"/>
      <c r="Y669" s="8"/>
      <c r="Z669" s="8"/>
    </row>
    <row r="670">
      <c r="A670" s="7" t="s">
        <v>1019</v>
      </c>
      <c r="B670" s="7" t="s">
        <v>1021</v>
      </c>
      <c r="C670" s="7" t="s">
        <v>66</v>
      </c>
      <c r="D670" s="7">
        <v>4.5</v>
      </c>
      <c r="E670" s="8"/>
      <c r="F670" s="8"/>
      <c r="G670" s="8"/>
      <c r="H670" s="8"/>
      <c r="I670" s="8"/>
      <c r="J670" s="9"/>
      <c r="K670" s="8"/>
      <c r="L670" s="8"/>
      <c r="M670" s="8"/>
      <c r="N670" s="8"/>
      <c r="O670" s="8"/>
      <c r="P670" s="8"/>
      <c r="Q670" s="8"/>
      <c r="R670" s="8"/>
      <c r="S670" s="8"/>
      <c r="T670" s="8"/>
      <c r="U670" s="8"/>
      <c r="V670" s="8"/>
      <c r="W670" s="8"/>
      <c r="X670" s="8"/>
      <c r="Y670" s="8"/>
      <c r="Z670" s="8"/>
    </row>
    <row r="671">
      <c r="A671" s="7" t="s">
        <v>1022</v>
      </c>
      <c r="B671" s="7" t="s">
        <v>1023</v>
      </c>
      <c r="C671" s="7" t="s">
        <v>95</v>
      </c>
      <c r="D671" s="7">
        <v>3.0</v>
      </c>
      <c r="E671" s="8"/>
      <c r="F671" s="8"/>
      <c r="G671" s="8"/>
      <c r="H671" s="8"/>
      <c r="I671" s="8"/>
      <c r="J671" s="9"/>
      <c r="K671" s="8"/>
      <c r="L671" s="8"/>
      <c r="M671" s="8"/>
      <c r="N671" s="8"/>
      <c r="O671" s="8"/>
      <c r="P671" s="8"/>
      <c r="Q671" s="8"/>
      <c r="R671" s="8"/>
      <c r="S671" s="8"/>
      <c r="T671" s="8"/>
      <c r="U671" s="8"/>
      <c r="V671" s="8"/>
      <c r="W671" s="8"/>
      <c r="X671" s="8"/>
      <c r="Y671" s="8"/>
      <c r="Z671" s="8"/>
    </row>
    <row r="672">
      <c r="A672" s="7" t="s">
        <v>1022</v>
      </c>
      <c r="B672" s="7" t="s">
        <v>1024</v>
      </c>
      <c r="C672" s="7" t="s">
        <v>51</v>
      </c>
      <c r="D672" s="7">
        <v>6.0</v>
      </c>
      <c r="E672" s="8"/>
      <c r="F672" s="8"/>
      <c r="G672" s="8"/>
      <c r="H672" s="8"/>
      <c r="I672" s="8"/>
      <c r="J672" s="9"/>
      <c r="K672" s="8"/>
      <c r="L672" s="8"/>
      <c r="M672" s="8"/>
      <c r="N672" s="8"/>
      <c r="O672" s="8"/>
      <c r="P672" s="8"/>
      <c r="Q672" s="8"/>
      <c r="R672" s="8"/>
      <c r="S672" s="8"/>
      <c r="T672" s="8"/>
      <c r="U672" s="8"/>
      <c r="V672" s="8"/>
      <c r="W672" s="8"/>
      <c r="X672" s="8"/>
      <c r="Y672" s="8"/>
      <c r="Z672" s="8"/>
    </row>
    <row r="673">
      <c r="A673" s="7" t="s">
        <v>1022</v>
      </c>
      <c r="B673" s="7" t="s">
        <v>1025</v>
      </c>
      <c r="C673" s="7" t="s">
        <v>66</v>
      </c>
      <c r="D673" s="7">
        <v>3.0</v>
      </c>
      <c r="E673" s="8"/>
      <c r="F673" s="8"/>
      <c r="G673" s="8"/>
      <c r="H673" s="8"/>
      <c r="I673" s="8"/>
      <c r="J673" s="9"/>
      <c r="K673" s="8"/>
      <c r="L673" s="8"/>
      <c r="M673" s="8"/>
      <c r="N673" s="8"/>
      <c r="O673" s="8"/>
      <c r="P673" s="8"/>
      <c r="Q673" s="8"/>
      <c r="R673" s="8"/>
      <c r="S673" s="8"/>
      <c r="T673" s="8"/>
      <c r="U673" s="8"/>
      <c r="V673" s="8"/>
      <c r="W673" s="8"/>
      <c r="X673" s="8"/>
      <c r="Y673" s="8"/>
      <c r="Z673" s="8"/>
    </row>
    <row r="674">
      <c r="A674" s="7" t="s">
        <v>1022</v>
      </c>
      <c r="B674" s="7" t="s">
        <v>397</v>
      </c>
      <c r="C674" s="7" t="s">
        <v>57</v>
      </c>
      <c r="D674" s="7">
        <v>6.0</v>
      </c>
      <c r="E674" s="8"/>
      <c r="F674" s="8"/>
      <c r="G674" s="8"/>
      <c r="H674" s="8"/>
      <c r="I674" s="8"/>
      <c r="J674" s="9"/>
      <c r="K674" s="8"/>
      <c r="L674" s="8"/>
      <c r="M674" s="8"/>
      <c r="N674" s="8"/>
      <c r="O674" s="8"/>
      <c r="P674" s="8"/>
      <c r="Q674" s="8"/>
      <c r="R674" s="8"/>
      <c r="S674" s="8"/>
      <c r="T674" s="8"/>
      <c r="U674" s="8"/>
      <c r="V674" s="8"/>
      <c r="W674" s="8"/>
      <c r="X674" s="8"/>
      <c r="Y674" s="8"/>
      <c r="Z674" s="8"/>
    </row>
    <row r="675">
      <c r="A675" s="7" t="s">
        <v>1022</v>
      </c>
      <c r="B675" s="7" t="s">
        <v>1026</v>
      </c>
      <c r="C675" s="7" t="s">
        <v>51</v>
      </c>
      <c r="D675" s="7">
        <v>6.0</v>
      </c>
      <c r="E675" s="8"/>
      <c r="F675" s="8"/>
      <c r="G675" s="8"/>
      <c r="H675" s="8"/>
      <c r="I675" s="8"/>
      <c r="J675" s="9"/>
      <c r="K675" s="8"/>
      <c r="L675" s="8"/>
      <c r="M675" s="8"/>
      <c r="N675" s="8"/>
      <c r="O675" s="8"/>
      <c r="P675" s="8"/>
      <c r="Q675" s="8"/>
      <c r="R675" s="8"/>
      <c r="S675" s="8"/>
      <c r="T675" s="8"/>
      <c r="U675" s="8"/>
      <c r="V675" s="8"/>
      <c r="W675" s="8"/>
      <c r="X675" s="8"/>
      <c r="Y675" s="8"/>
      <c r="Z675" s="8"/>
    </row>
    <row r="676">
      <c r="A676" s="7" t="s">
        <v>1022</v>
      </c>
      <c r="B676" s="7" t="s">
        <v>1027</v>
      </c>
      <c r="C676" s="7" t="s">
        <v>57</v>
      </c>
      <c r="D676" s="7">
        <v>3.0</v>
      </c>
      <c r="E676" s="8"/>
      <c r="F676" s="8"/>
      <c r="G676" s="8"/>
      <c r="H676" s="8"/>
      <c r="I676" s="8"/>
      <c r="J676" s="9"/>
      <c r="K676" s="8"/>
      <c r="L676" s="8"/>
      <c r="M676" s="8"/>
      <c r="N676" s="8"/>
      <c r="O676" s="8"/>
      <c r="P676" s="8"/>
      <c r="Q676" s="8"/>
      <c r="R676" s="8"/>
      <c r="S676" s="8"/>
      <c r="T676" s="8"/>
      <c r="U676" s="8"/>
      <c r="V676" s="8"/>
      <c r="W676" s="8"/>
      <c r="X676" s="8"/>
      <c r="Y676" s="8"/>
      <c r="Z676" s="8"/>
    </row>
    <row r="677">
      <c r="A677" s="7" t="s">
        <v>1022</v>
      </c>
      <c r="B677" s="7" t="s">
        <v>1028</v>
      </c>
      <c r="C677" s="7" t="s">
        <v>66</v>
      </c>
      <c r="D677" s="7">
        <v>7.0</v>
      </c>
      <c r="E677" s="8"/>
      <c r="F677" s="8"/>
      <c r="G677" s="8"/>
      <c r="H677" s="8"/>
      <c r="I677" s="8"/>
      <c r="J677" s="9"/>
      <c r="K677" s="8"/>
      <c r="L677" s="8"/>
      <c r="M677" s="8"/>
      <c r="N677" s="8"/>
      <c r="O677" s="8"/>
      <c r="P677" s="8"/>
      <c r="Q677" s="8"/>
      <c r="R677" s="8"/>
      <c r="S677" s="8"/>
      <c r="T677" s="8"/>
      <c r="U677" s="8"/>
      <c r="V677" s="8"/>
      <c r="W677" s="8"/>
      <c r="X677" s="8"/>
      <c r="Y677" s="8"/>
      <c r="Z677" s="8"/>
    </row>
    <row r="678">
      <c r="A678" s="7" t="s">
        <v>1022</v>
      </c>
      <c r="B678" s="7" t="s">
        <v>1029</v>
      </c>
      <c r="C678" s="7">
        <v>4.0</v>
      </c>
      <c r="D678" s="7">
        <v>5.0</v>
      </c>
      <c r="E678" s="8"/>
      <c r="F678" s="8"/>
      <c r="G678" s="8"/>
      <c r="H678" s="8"/>
      <c r="I678" s="8"/>
      <c r="J678" s="9"/>
      <c r="K678" s="8"/>
      <c r="L678" s="8"/>
      <c r="M678" s="8"/>
      <c r="N678" s="8"/>
      <c r="O678" s="8"/>
      <c r="P678" s="8"/>
      <c r="Q678" s="8"/>
      <c r="R678" s="8"/>
      <c r="S678" s="8"/>
      <c r="T678" s="8"/>
      <c r="U678" s="8"/>
      <c r="V678" s="8"/>
      <c r="W678" s="8"/>
      <c r="X678" s="8"/>
      <c r="Y678" s="8"/>
      <c r="Z678" s="8"/>
    </row>
    <row r="679">
      <c r="A679" s="7" t="s">
        <v>1022</v>
      </c>
      <c r="B679" s="7" t="s">
        <v>1030</v>
      </c>
      <c r="C679" s="7" t="s">
        <v>66</v>
      </c>
      <c r="D679" s="7">
        <v>3.0</v>
      </c>
      <c r="E679" s="8"/>
      <c r="F679" s="8"/>
      <c r="G679" s="8"/>
      <c r="H679" s="8"/>
      <c r="I679" s="8"/>
      <c r="J679" s="9"/>
      <c r="K679" s="8"/>
      <c r="L679" s="8"/>
      <c r="M679" s="8"/>
      <c r="N679" s="8"/>
      <c r="O679" s="8"/>
      <c r="P679" s="8"/>
      <c r="Q679" s="8"/>
      <c r="R679" s="8"/>
      <c r="S679" s="8"/>
      <c r="T679" s="8"/>
      <c r="U679" s="8"/>
      <c r="V679" s="8"/>
      <c r="W679" s="8"/>
      <c r="X679" s="8"/>
      <c r="Y679" s="8"/>
      <c r="Z679" s="8"/>
    </row>
    <row r="680">
      <c r="A680" s="7" t="s">
        <v>1031</v>
      </c>
      <c r="B680" s="7" t="s">
        <v>1032</v>
      </c>
      <c r="C680" s="7" t="s">
        <v>51</v>
      </c>
      <c r="D680" s="7">
        <v>7.3</v>
      </c>
      <c r="E680" s="7"/>
      <c r="F680" s="8"/>
      <c r="G680" s="8"/>
      <c r="H680" s="8"/>
      <c r="I680" s="8"/>
      <c r="J680" s="8"/>
      <c r="K680" s="8"/>
      <c r="L680" s="8"/>
      <c r="M680" s="8"/>
      <c r="N680" s="8"/>
      <c r="O680" s="8"/>
      <c r="P680" s="8"/>
      <c r="Q680" s="8"/>
      <c r="R680" s="8"/>
      <c r="S680" s="8"/>
      <c r="T680" s="8"/>
      <c r="U680" s="8"/>
      <c r="V680" s="8"/>
      <c r="W680" s="8"/>
      <c r="X680" s="8"/>
      <c r="Y680" s="8"/>
      <c r="Z680" s="8"/>
    </row>
    <row r="681">
      <c r="A681" s="7" t="s">
        <v>1031</v>
      </c>
      <c r="B681" s="7" t="s">
        <v>1033</v>
      </c>
      <c r="C681" s="7"/>
      <c r="D681" s="7">
        <v>1.5</v>
      </c>
      <c r="E681" s="7"/>
      <c r="F681" s="8"/>
      <c r="G681" s="8"/>
      <c r="H681" s="8"/>
      <c r="I681" s="8"/>
      <c r="J681" s="8"/>
      <c r="K681" s="8"/>
      <c r="L681" s="8"/>
      <c r="M681" s="8"/>
      <c r="N681" s="8"/>
      <c r="O681" s="8"/>
      <c r="P681" s="8"/>
      <c r="Q681" s="8"/>
      <c r="R681" s="8"/>
      <c r="S681" s="8"/>
      <c r="T681" s="8"/>
      <c r="U681" s="8"/>
      <c r="V681" s="8"/>
      <c r="W681" s="8"/>
      <c r="X681" s="8"/>
      <c r="Y681" s="8"/>
      <c r="Z681" s="8"/>
    </row>
    <row r="682">
      <c r="A682" s="7" t="s">
        <v>1031</v>
      </c>
      <c r="B682" s="7" t="s">
        <v>1034</v>
      </c>
      <c r="C682" s="7" t="s">
        <v>51</v>
      </c>
      <c r="D682" s="7">
        <v>3.25</v>
      </c>
      <c r="E682" s="7"/>
      <c r="F682" s="8"/>
      <c r="G682" s="8"/>
      <c r="H682" s="8"/>
      <c r="I682" s="8"/>
      <c r="J682" s="8"/>
      <c r="K682" s="8"/>
      <c r="L682" s="8"/>
      <c r="M682" s="8"/>
      <c r="N682" s="8"/>
      <c r="O682" s="8"/>
      <c r="P682" s="8"/>
      <c r="Q682" s="8"/>
      <c r="R682" s="8"/>
      <c r="S682" s="8"/>
      <c r="T682" s="8"/>
      <c r="U682" s="8"/>
      <c r="V682" s="8"/>
      <c r="W682" s="8"/>
      <c r="X682" s="8"/>
      <c r="Y682" s="8"/>
      <c r="Z682" s="8"/>
    </row>
    <row r="683">
      <c r="A683" s="7" t="s">
        <v>1031</v>
      </c>
      <c r="B683" s="7" t="s">
        <v>1035</v>
      </c>
      <c r="C683" s="8"/>
      <c r="D683" s="7">
        <v>2.5</v>
      </c>
      <c r="E683" s="7"/>
      <c r="F683" s="8"/>
      <c r="G683" s="8"/>
      <c r="H683" s="8"/>
      <c r="I683" s="8"/>
      <c r="J683" s="8"/>
      <c r="K683" s="8"/>
      <c r="L683" s="8"/>
      <c r="M683" s="8"/>
      <c r="N683" s="8"/>
      <c r="O683" s="8"/>
      <c r="P683" s="8"/>
      <c r="Q683" s="8"/>
      <c r="R683" s="8"/>
      <c r="S683" s="8"/>
      <c r="T683" s="8"/>
      <c r="U683" s="8"/>
      <c r="V683" s="8"/>
      <c r="W683" s="8"/>
      <c r="X683" s="8"/>
      <c r="Y683" s="8"/>
      <c r="Z683" s="8"/>
    </row>
    <row r="684">
      <c r="A684" s="7" t="s">
        <v>1031</v>
      </c>
      <c r="B684" s="7" t="s">
        <v>1036</v>
      </c>
      <c r="C684" s="8"/>
      <c r="D684" s="7">
        <v>3.5</v>
      </c>
      <c r="E684" s="7"/>
      <c r="F684" s="8"/>
      <c r="G684" s="8"/>
      <c r="H684" s="8"/>
      <c r="I684" s="8"/>
      <c r="J684" s="8"/>
      <c r="K684" s="8"/>
      <c r="L684" s="8"/>
      <c r="M684" s="8"/>
      <c r="N684" s="8"/>
      <c r="O684" s="8"/>
      <c r="P684" s="8"/>
      <c r="Q684" s="8"/>
      <c r="R684" s="8"/>
      <c r="S684" s="8"/>
      <c r="T684" s="8"/>
      <c r="U684" s="8"/>
      <c r="V684" s="8"/>
      <c r="W684" s="8"/>
      <c r="X684" s="8"/>
      <c r="Y684" s="8"/>
      <c r="Z684" s="8"/>
    </row>
    <row r="685">
      <c r="A685" s="7" t="s">
        <v>1031</v>
      </c>
      <c r="B685" s="7" t="s">
        <v>1037</v>
      </c>
      <c r="C685" s="8"/>
      <c r="D685" s="7">
        <v>3.5</v>
      </c>
      <c r="E685" s="7"/>
      <c r="F685" s="8"/>
      <c r="G685" s="8"/>
      <c r="H685" s="8"/>
      <c r="I685" s="8"/>
      <c r="J685" s="8"/>
      <c r="K685" s="8"/>
      <c r="L685" s="8"/>
      <c r="M685" s="8"/>
      <c r="N685" s="8"/>
      <c r="O685" s="8"/>
      <c r="P685" s="8"/>
      <c r="Q685" s="8"/>
      <c r="R685" s="8"/>
      <c r="S685" s="8"/>
      <c r="T685" s="8"/>
      <c r="U685" s="8"/>
      <c r="V685" s="8"/>
      <c r="W685" s="8"/>
      <c r="X685" s="8"/>
      <c r="Y685" s="8"/>
      <c r="Z685" s="8"/>
    </row>
    <row r="686">
      <c r="A686" s="7" t="s">
        <v>1031</v>
      </c>
      <c r="B686" s="7" t="s">
        <v>1038</v>
      </c>
      <c r="C686" s="8"/>
      <c r="D686" s="7">
        <v>2.5</v>
      </c>
      <c r="E686" s="7"/>
      <c r="F686" s="8"/>
      <c r="G686" s="8"/>
      <c r="H686" s="8"/>
      <c r="I686" s="8"/>
      <c r="J686" s="8"/>
      <c r="K686" s="8"/>
      <c r="L686" s="8"/>
      <c r="M686" s="8"/>
      <c r="N686" s="8"/>
      <c r="O686" s="8"/>
      <c r="P686" s="8"/>
      <c r="Q686" s="8"/>
      <c r="R686" s="8"/>
      <c r="S686" s="8"/>
      <c r="T686" s="8"/>
      <c r="U686" s="8"/>
      <c r="V686" s="8"/>
      <c r="W686" s="8"/>
      <c r="X686" s="8"/>
      <c r="Y686" s="8"/>
      <c r="Z686" s="8"/>
    </row>
    <row r="687">
      <c r="A687" s="7" t="s">
        <v>1031</v>
      </c>
      <c r="B687" s="7" t="s">
        <v>1039</v>
      </c>
      <c r="C687" s="8"/>
      <c r="D687" s="7">
        <v>2.5</v>
      </c>
      <c r="E687" s="7" t="s">
        <v>184</v>
      </c>
      <c r="F687" s="8"/>
      <c r="G687" s="8"/>
      <c r="H687" s="8"/>
      <c r="I687" s="8"/>
      <c r="J687" s="8"/>
      <c r="K687" s="8"/>
      <c r="L687" s="8"/>
      <c r="M687" s="8"/>
      <c r="N687" s="8"/>
      <c r="O687" s="8"/>
      <c r="P687" s="8"/>
      <c r="Q687" s="8"/>
      <c r="R687" s="8"/>
      <c r="S687" s="8"/>
      <c r="T687" s="8"/>
      <c r="U687" s="8"/>
      <c r="V687" s="8"/>
      <c r="W687" s="8"/>
      <c r="X687" s="8"/>
      <c r="Y687" s="8"/>
      <c r="Z687" s="8"/>
    </row>
    <row r="688">
      <c r="A688" s="7" t="s">
        <v>1031</v>
      </c>
      <c r="B688" s="7" t="s">
        <v>1040</v>
      </c>
      <c r="C688" s="7"/>
      <c r="D688" s="7">
        <v>3.5</v>
      </c>
      <c r="E688" s="8"/>
      <c r="F688" s="8"/>
      <c r="G688" s="8"/>
      <c r="H688" s="8"/>
      <c r="I688" s="8"/>
      <c r="J688" s="9"/>
      <c r="K688" s="8"/>
      <c r="L688" s="8"/>
      <c r="M688" s="8"/>
      <c r="N688" s="8"/>
      <c r="O688" s="8"/>
      <c r="P688" s="8"/>
      <c r="Q688" s="8"/>
      <c r="R688" s="8"/>
      <c r="S688" s="8"/>
      <c r="T688" s="8"/>
      <c r="U688" s="8"/>
      <c r="V688" s="8"/>
      <c r="W688" s="8"/>
      <c r="X688" s="8"/>
      <c r="Y688" s="8"/>
      <c r="Z688" s="8"/>
    </row>
    <row r="689">
      <c r="A689" s="7" t="s">
        <v>1031</v>
      </c>
      <c r="B689" s="7" t="s">
        <v>1041</v>
      </c>
      <c r="C689" s="7"/>
      <c r="D689" s="7">
        <v>3.5</v>
      </c>
      <c r="E689" s="8"/>
      <c r="F689" s="8"/>
      <c r="G689" s="8"/>
      <c r="H689" s="8"/>
      <c r="I689" s="8"/>
      <c r="J689" s="9"/>
      <c r="K689" s="8"/>
      <c r="L689" s="8"/>
      <c r="M689" s="8"/>
      <c r="N689" s="8"/>
      <c r="O689" s="8"/>
      <c r="P689" s="8"/>
      <c r="Q689" s="8"/>
      <c r="R689" s="8"/>
      <c r="S689" s="8"/>
      <c r="T689" s="8"/>
      <c r="U689" s="8"/>
      <c r="V689" s="8"/>
      <c r="W689" s="8"/>
      <c r="X689" s="8"/>
      <c r="Y689" s="8"/>
      <c r="Z689" s="8"/>
    </row>
    <row r="690">
      <c r="A690" s="7" t="s">
        <v>1031</v>
      </c>
      <c r="B690" s="7" t="s">
        <v>831</v>
      </c>
      <c r="C690" s="7">
        <v>6.0</v>
      </c>
      <c r="D690" s="7">
        <v>4.3</v>
      </c>
      <c r="E690" s="8"/>
      <c r="F690" s="8"/>
      <c r="G690" s="8"/>
      <c r="H690" s="8"/>
      <c r="I690" s="8"/>
      <c r="J690" s="9"/>
      <c r="K690" s="8"/>
      <c r="L690" s="8"/>
      <c r="M690" s="8"/>
      <c r="N690" s="8"/>
      <c r="O690" s="8"/>
      <c r="P690" s="8"/>
      <c r="Q690" s="8"/>
      <c r="R690" s="8"/>
      <c r="S690" s="8"/>
      <c r="T690" s="8"/>
      <c r="U690" s="8"/>
      <c r="V690" s="8"/>
      <c r="W690" s="8"/>
      <c r="X690" s="8"/>
      <c r="Y690" s="8"/>
      <c r="Z690" s="8"/>
    </row>
    <row r="691">
      <c r="A691" s="7" t="s">
        <v>1031</v>
      </c>
      <c r="B691" s="7" t="s">
        <v>1042</v>
      </c>
      <c r="C691" s="7"/>
      <c r="D691" s="7"/>
      <c r="E691" s="8"/>
      <c r="F691" s="8"/>
      <c r="G691" s="8"/>
      <c r="H691" s="8"/>
      <c r="I691" s="8"/>
      <c r="J691" s="9"/>
      <c r="K691" s="8"/>
      <c r="L691" s="8"/>
      <c r="M691" s="8"/>
      <c r="N691" s="8"/>
      <c r="O691" s="8"/>
      <c r="P691" s="8"/>
      <c r="Q691" s="8"/>
      <c r="R691" s="8"/>
      <c r="S691" s="8"/>
      <c r="T691" s="8"/>
      <c r="U691" s="8"/>
      <c r="V691" s="8"/>
      <c r="W691" s="8"/>
      <c r="X691" s="8"/>
      <c r="Y691" s="8"/>
      <c r="Z691" s="8"/>
    </row>
    <row r="692">
      <c r="A692" s="7" t="s">
        <v>1043</v>
      </c>
      <c r="B692" s="7" t="s">
        <v>1044</v>
      </c>
      <c r="C692" s="7" t="s">
        <v>51</v>
      </c>
      <c r="D692" s="7">
        <v>10.0</v>
      </c>
      <c r="E692" s="8"/>
      <c r="F692" s="8"/>
      <c r="G692" s="8"/>
      <c r="H692" s="8"/>
      <c r="I692" s="8"/>
      <c r="J692" s="9"/>
      <c r="K692" s="8"/>
      <c r="L692" s="8"/>
      <c r="M692" s="8"/>
      <c r="N692" s="8"/>
      <c r="O692" s="8"/>
      <c r="P692" s="8"/>
      <c r="Q692" s="8"/>
      <c r="R692" s="8"/>
      <c r="S692" s="8"/>
      <c r="T692" s="8"/>
      <c r="U692" s="8"/>
      <c r="V692" s="8"/>
      <c r="W692" s="8"/>
      <c r="X692" s="8"/>
      <c r="Y692" s="8"/>
      <c r="Z692" s="8"/>
    </row>
    <row r="693">
      <c r="A693" s="7" t="s">
        <v>1043</v>
      </c>
      <c r="B693" s="7" t="s">
        <v>1045</v>
      </c>
      <c r="C693" s="7" t="s">
        <v>66</v>
      </c>
      <c r="D693" s="7"/>
      <c r="E693" s="8"/>
      <c r="F693" s="8"/>
      <c r="G693" s="8"/>
      <c r="H693" s="8"/>
      <c r="I693" s="8"/>
      <c r="J693" s="9"/>
      <c r="K693" s="8"/>
      <c r="L693" s="8"/>
      <c r="M693" s="8"/>
      <c r="N693" s="8"/>
      <c r="O693" s="8"/>
      <c r="P693" s="8"/>
      <c r="Q693" s="8"/>
      <c r="R693" s="8"/>
      <c r="S693" s="8"/>
      <c r="T693" s="8"/>
      <c r="U693" s="8"/>
      <c r="V693" s="8"/>
      <c r="W693" s="8"/>
      <c r="X693" s="8"/>
      <c r="Y693" s="8"/>
      <c r="Z693" s="8"/>
    </row>
    <row r="694">
      <c r="A694" s="7" t="s">
        <v>1046</v>
      </c>
      <c r="B694" s="7" t="s">
        <v>1047</v>
      </c>
      <c r="C694" s="7" t="s">
        <v>51</v>
      </c>
      <c r="D694" s="7">
        <v>5.0</v>
      </c>
      <c r="E694" s="8"/>
      <c r="F694" s="8"/>
      <c r="G694" s="8"/>
      <c r="H694" s="8"/>
      <c r="I694" s="8"/>
      <c r="J694" s="9"/>
      <c r="K694" s="8"/>
      <c r="L694" s="8"/>
      <c r="M694" s="8"/>
      <c r="N694" s="8"/>
      <c r="O694" s="8"/>
      <c r="P694" s="8"/>
      <c r="Q694" s="8"/>
      <c r="R694" s="8"/>
      <c r="S694" s="8"/>
      <c r="T694" s="8"/>
      <c r="U694" s="8"/>
      <c r="V694" s="8"/>
      <c r="W694" s="8"/>
      <c r="X694" s="8"/>
      <c r="Y694" s="8"/>
      <c r="Z694" s="8"/>
    </row>
    <row r="695">
      <c r="A695" s="7" t="s">
        <v>1046</v>
      </c>
      <c r="B695" s="7" t="s">
        <v>1048</v>
      </c>
      <c r="C695" s="7" t="s">
        <v>51</v>
      </c>
      <c r="D695" s="7"/>
      <c r="E695" s="8"/>
      <c r="F695" s="8"/>
      <c r="G695" s="8"/>
      <c r="H695" s="8"/>
      <c r="I695" s="8"/>
      <c r="J695" s="9"/>
      <c r="K695" s="8"/>
      <c r="L695" s="8"/>
      <c r="M695" s="8"/>
      <c r="N695" s="8"/>
      <c r="O695" s="8"/>
      <c r="P695" s="8"/>
      <c r="Q695" s="8"/>
      <c r="R695" s="8"/>
      <c r="S695" s="8"/>
      <c r="T695" s="8"/>
      <c r="U695" s="8"/>
      <c r="V695" s="8"/>
      <c r="W695" s="8"/>
      <c r="X695" s="8"/>
      <c r="Y695" s="8"/>
      <c r="Z695" s="8"/>
    </row>
    <row r="696">
      <c r="A696" s="7" t="s">
        <v>1049</v>
      </c>
      <c r="B696" s="7" t="s">
        <v>1050</v>
      </c>
      <c r="C696" s="7" t="s">
        <v>51</v>
      </c>
      <c r="D696" s="7">
        <v>9.0</v>
      </c>
      <c r="E696" s="8"/>
      <c r="F696" s="8"/>
      <c r="G696" s="8"/>
      <c r="H696" s="7"/>
      <c r="I696" s="7"/>
      <c r="J696" s="9"/>
      <c r="K696" s="8"/>
      <c r="L696" s="8"/>
      <c r="M696" s="8"/>
      <c r="N696" s="8"/>
      <c r="O696" s="8"/>
      <c r="P696" s="8"/>
      <c r="Q696" s="8"/>
      <c r="R696" s="8"/>
      <c r="S696" s="8"/>
      <c r="T696" s="8"/>
      <c r="U696" s="8"/>
      <c r="V696" s="8"/>
      <c r="W696" s="8"/>
      <c r="X696" s="8"/>
      <c r="Y696" s="8"/>
      <c r="Z696" s="8"/>
    </row>
    <row r="697">
      <c r="A697" s="7" t="s">
        <v>1051</v>
      </c>
      <c r="B697" s="7" t="s">
        <v>1052</v>
      </c>
      <c r="C697" s="7" t="s">
        <v>57</v>
      </c>
      <c r="D697" s="7">
        <v>5.0</v>
      </c>
      <c r="E697" s="8"/>
      <c r="F697" s="8"/>
      <c r="G697" s="8"/>
      <c r="H697" s="7"/>
      <c r="I697" s="7"/>
      <c r="J697" s="9"/>
      <c r="K697" s="8"/>
      <c r="L697" s="8"/>
      <c r="M697" s="8"/>
      <c r="N697" s="8"/>
      <c r="O697" s="8"/>
      <c r="P697" s="8"/>
      <c r="Q697" s="8"/>
      <c r="R697" s="8"/>
      <c r="S697" s="8"/>
      <c r="T697" s="8"/>
      <c r="U697" s="8"/>
      <c r="V697" s="8"/>
      <c r="W697" s="8"/>
      <c r="X697" s="8"/>
      <c r="Y697" s="8"/>
      <c r="Z697" s="8"/>
    </row>
    <row r="698">
      <c r="A698" s="7" t="s">
        <v>1051</v>
      </c>
      <c r="B698" s="7" t="s">
        <v>1053</v>
      </c>
      <c r="C698" s="7" t="s">
        <v>66</v>
      </c>
      <c r="D698" s="7">
        <v>5.0</v>
      </c>
      <c r="E698" s="8"/>
      <c r="F698" s="8"/>
      <c r="G698" s="8"/>
      <c r="H698" s="7"/>
      <c r="I698" s="7"/>
      <c r="J698" s="9"/>
      <c r="K698" s="8"/>
      <c r="L698" s="8"/>
      <c r="M698" s="8"/>
      <c r="N698" s="8"/>
      <c r="O698" s="8"/>
      <c r="P698" s="8"/>
      <c r="Q698" s="8"/>
      <c r="R698" s="8"/>
      <c r="S698" s="8"/>
      <c r="T698" s="8"/>
      <c r="U698" s="8"/>
      <c r="V698" s="8"/>
      <c r="W698" s="8"/>
      <c r="X698" s="8"/>
      <c r="Y698" s="8"/>
      <c r="Z698" s="8"/>
    </row>
    <row r="699">
      <c r="A699" s="7" t="s">
        <v>1051</v>
      </c>
      <c r="B699" s="7" t="s">
        <v>1054</v>
      </c>
      <c r="C699" s="7" t="s">
        <v>66</v>
      </c>
      <c r="D699" s="7">
        <v>10.0</v>
      </c>
      <c r="E699" s="8"/>
      <c r="F699" s="8"/>
      <c r="G699" s="8"/>
      <c r="H699" s="7"/>
      <c r="I699" s="7"/>
      <c r="J699" s="9"/>
      <c r="K699" s="8"/>
      <c r="L699" s="8"/>
      <c r="M699" s="8"/>
      <c r="N699" s="8"/>
      <c r="O699" s="8"/>
      <c r="P699" s="8"/>
      <c r="Q699" s="8"/>
      <c r="R699" s="8"/>
      <c r="S699" s="8"/>
      <c r="T699" s="8"/>
      <c r="U699" s="8"/>
      <c r="V699" s="8"/>
      <c r="W699" s="8"/>
      <c r="X699" s="8"/>
      <c r="Y699" s="8"/>
      <c r="Z699" s="8"/>
    </row>
    <row r="700">
      <c r="A700" s="7" t="s">
        <v>1051</v>
      </c>
      <c r="B700" s="7" t="s">
        <v>1055</v>
      </c>
      <c r="C700" s="7" t="s">
        <v>57</v>
      </c>
      <c r="D700" s="7">
        <v>8.0</v>
      </c>
      <c r="E700" s="8"/>
      <c r="F700" s="8"/>
      <c r="G700" s="8"/>
      <c r="H700" s="7"/>
      <c r="I700" s="7"/>
      <c r="J700" s="9"/>
      <c r="K700" s="8"/>
      <c r="L700" s="8"/>
      <c r="M700" s="8"/>
      <c r="N700" s="8"/>
      <c r="O700" s="8"/>
      <c r="P700" s="8"/>
      <c r="Q700" s="8"/>
      <c r="R700" s="8"/>
      <c r="S700" s="8"/>
      <c r="T700" s="8"/>
      <c r="U700" s="8"/>
      <c r="V700" s="8"/>
      <c r="W700" s="8"/>
      <c r="X700" s="8"/>
      <c r="Y700" s="8"/>
      <c r="Z700" s="8"/>
    </row>
    <row r="701">
      <c r="A701" s="7" t="s">
        <v>1051</v>
      </c>
      <c r="B701" s="7" t="s">
        <v>1056</v>
      </c>
      <c r="C701" s="7" t="s">
        <v>66</v>
      </c>
      <c r="D701" s="7">
        <v>7.0</v>
      </c>
      <c r="E701" s="8"/>
      <c r="F701" s="8"/>
      <c r="G701" s="8"/>
      <c r="H701" s="7"/>
      <c r="I701" s="7"/>
      <c r="J701" s="9"/>
      <c r="K701" s="8"/>
      <c r="L701" s="8"/>
      <c r="M701" s="8"/>
      <c r="N701" s="8"/>
      <c r="O701" s="8"/>
      <c r="P701" s="8"/>
      <c r="Q701" s="8"/>
      <c r="R701" s="8"/>
      <c r="S701" s="8"/>
      <c r="T701" s="8"/>
      <c r="U701" s="8"/>
      <c r="V701" s="8"/>
      <c r="W701" s="8"/>
      <c r="X701" s="8"/>
      <c r="Y701" s="8"/>
      <c r="Z701" s="8"/>
    </row>
    <row r="702">
      <c r="A702" s="7" t="s">
        <v>1057</v>
      </c>
      <c r="B702" s="7" t="s">
        <v>1058</v>
      </c>
      <c r="C702" s="7" t="s">
        <v>51</v>
      </c>
      <c r="D702" s="7">
        <v>7.0</v>
      </c>
      <c r="E702" s="8"/>
      <c r="F702" s="8"/>
      <c r="G702" s="8"/>
      <c r="H702" s="7"/>
      <c r="I702" s="7"/>
      <c r="J702" s="9"/>
      <c r="K702" s="8"/>
      <c r="L702" s="8"/>
      <c r="M702" s="8"/>
      <c r="N702" s="8"/>
      <c r="O702" s="8"/>
      <c r="P702" s="8"/>
      <c r="Q702" s="8"/>
      <c r="R702" s="8"/>
      <c r="S702" s="8"/>
      <c r="T702" s="8"/>
      <c r="U702" s="8"/>
      <c r="V702" s="8"/>
      <c r="W702" s="8"/>
      <c r="X702" s="8"/>
      <c r="Y702" s="8"/>
      <c r="Z702" s="8"/>
    </row>
    <row r="703">
      <c r="A703" s="10" t="s">
        <v>1057</v>
      </c>
      <c r="B703" s="10" t="s">
        <v>1059</v>
      </c>
      <c r="C703" s="10" t="s">
        <v>51</v>
      </c>
      <c r="D703" s="10">
        <v>7.0</v>
      </c>
      <c r="E703" s="11"/>
      <c r="F703" s="11"/>
      <c r="G703" s="11"/>
      <c r="H703" s="10" t="s">
        <v>84</v>
      </c>
      <c r="I703" s="10"/>
      <c r="J703" s="12"/>
      <c r="K703" s="11"/>
      <c r="L703" s="11"/>
      <c r="M703" s="11"/>
      <c r="N703" s="11"/>
      <c r="O703" s="11"/>
      <c r="P703" s="11"/>
      <c r="Q703" s="11"/>
      <c r="R703" s="11"/>
      <c r="S703" s="11"/>
      <c r="T703" s="11"/>
      <c r="U703" s="11"/>
      <c r="V703" s="11"/>
      <c r="W703" s="11"/>
      <c r="X703" s="11"/>
      <c r="Y703" s="11"/>
      <c r="Z703" s="11"/>
    </row>
    <row r="704">
      <c r="A704" s="2" t="s">
        <v>1057</v>
      </c>
      <c r="B704" s="2" t="s">
        <v>1060</v>
      </c>
      <c r="C704" s="2" t="s">
        <v>57</v>
      </c>
      <c r="D704" s="2">
        <v>7.0</v>
      </c>
      <c r="H704" s="2" t="s">
        <v>425</v>
      </c>
      <c r="J704" s="6"/>
    </row>
    <row r="705">
      <c r="A705" s="7" t="s">
        <v>1051</v>
      </c>
      <c r="B705" s="7" t="s">
        <v>1061</v>
      </c>
      <c r="C705" s="7" t="s">
        <v>57</v>
      </c>
      <c r="D705" s="7">
        <v>7.0</v>
      </c>
      <c r="E705" s="8"/>
      <c r="F705" s="8"/>
      <c r="G705" s="8"/>
      <c r="H705" s="7"/>
      <c r="I705" s="7"/>
      <c r="J705" s="9"/>
      <c r="K705" s="8"/>
      <c r="L705" s="8"/>
      <c r="M705" s="8"/>
      <c r="N705" s="8"/>
      <c r="O705" s="8"/>
      <c r="P705" s="8"/>
      <c r="Q705" s="8"/>
      <c r="R705" s="8"/>
      <c r="S705" s="8"/>
      <c r="T705" s="8"/>
      <c r="U705" s="8"/>
      <c r="V705" s="8"/>
      <c r="W705" s="8"/>
      <c r="X705" s="8"/>
      <c r="Y705" s="8"/>
      <c r="Z705" s="8"/>
    </row>
    <row r="706">
      <c r="A706" s="10" t="s">
        <v>1051</v>
      </c>
      <c r="B706" s="10" t="s">
        <v>1062</v>
      </c>
      <c r="C706" s="10" t="s">
        <v>66</v>
      </c>
      <c r="D706" s="10">
        <v>4.0</v>
      </c>
      <c r="E706" s="11"/>
      <c r="F706" s="11"/>
      <c r="G706" s="11"/>
      <c r="H706" s="10" t="s">
        <v>384</v>
      </c>
      <c r="I706" s="10"/>
      <c r="J706" s="12"/>
      <c r="K706" s="11"/>
      <c r="L706" s="11"/>
      <c r="M706" s="11"/>
      <c r="N706" s="11"/>
      <c r="O706" s="11"/>
      <c r="P706" s="11"/>
      <c r="Q706" s="11"/>
      <c r="R706" s="11"/>
      <c r="S706" s="11"/>
      <c r="T706" s="11"/>
      <c r="U706" s="11"/>
      <c r="V706" s="11"/>
      <c r="W706" s="11"/>
      <c r="X706" s="11"/>
      <c r="Y706" s="11"/>
      <c r="Z706" s="11"/>
    </row>
    <row r="707">
      <c r="A707" s="7" t="s">
        <v>1057</v>
      </c>
      <c r="B707" s="7" t="s">
        <v>1063</v>
      </c>
      <c r="C707" s="7">
        <v>6.0</v>
      </c>
      <c r="D707" s="7">
        <v>8.5</v>
      </c>
      <c r="E707" s="8"/>
      <c r="F707" s="8"/>
      <c r="G707" s="8"/>
      <c r="H707" s="7"/>
      <c r="I707" s="7"/>
      <c r="J707" s="9"/>
      <c r="K707" s="8"/>
      <c r="L707" s="8"/>
      <c r="M707" s="8"/>
      <c r="N707" s="8"/>
      <c r="O707" s="8"/>
      <c r="P707" s="8"/>
      <c r="Q707" s="8"/>
      <c r="R707" s="8"/>
      <c r="S707" s="8"/>
      <c r="T707" s="8"/>
      <c r="U707" s="8"/>
      <c r="V707" s="8"/>
      <c r="W707" s="8"/>
      <c r="X707" s="8"/>
      <c r="Y707" s="8"/>
      <c r="Z707" s="8"/>
    </row>
    <row r="708">
      <c r="A708" s="7" t="s">
        <v>1057</v>
      </c>
      <c r="B708" s="7" t="s">
        <v>1064</v>
      </c>
      <c r="C708" s="7">
        <v>4.0</v>
      </c>
      <c r="D708" s="7">
        <v>10.0</v>
      </c>
      <c r="E708" s="8"/>
      <c r="F708" s="8"/>
      <c r="G708" s="8"/>
      <c r="H708" s="7"/>
      <c r="I708" s="7"/>
      <c r="J708" s="9"/>
      <c r="K708" s="8"/>
      <c r="L708" s="8"/>
      <c r="M708" s="8"/>
      <c r="N708" s="8"/>
      <c r="O708" s="8"/>
      <c r="P708" s="8"/>
      <c r="Q708" s="8"/>
      <c r="R708" s="8"/>
      <c r="S708" s="8"/>
      <c r="T708" s="8"/>
      <c r="U708" s="8"/>
      <c r="V708" s="8"/>
      <c r="W708" s="8"/>
      <c r="X708" s="8"/>
      <c r="Y708" s="8"/>
      <c r="Z708" s="8"/>
    </row>
    <row r="709">
      <c r="A709" s="7" t="s">
        <v>1051</v>
      </c>
      <c r="B709" s="7" t="s">
        <v>1065</v>
      </c>
      <c r="C709" s="7">
        <v>4.0</v>
      </c>
      <c r="D709" s="7">
        <v>10.0</v>
      </c>
      <c r="E709" s="8"/>
      <c r="F709" s="8"/>
      <c r="G709" s="8"/>
      <c r="H709" s="7"/>
      <c r="I709" s="7"/>
      <c r="J709" s="9"/>
      <c r="K709" s="8"/>
      <c r="L709" s="8"/>
      <c r="M709" s="8"/>
      <c r="N709" s="8"/>
      <c r="O709" s="8"/>
      <c r="P709" s="8"/>
      <c r="Q709" s="8"/>
      <c r="R709" s="8"/>
      <c r="S709" s="8"/>
      <c r="T709" s="8"/>
      <c r="U709" s="8"/>
      <c r="V709" s="8"/>
      <c r="W709" s="8"/>
      <c r="X709" s="8"/>
      <c r="Y709" s="8"/>
      <c r="Z709" s="8"/>
    </row>
    <row r="710">
      <c r="A710" s="7" t="s">
        <v>1057</v>
      </c>
      <c r="B710" s="7" t="s">
        <v>1066</v>
      </c>
      <c r="C710" s="7" t="s">
        <v>51</v>
      </c>
      <c r="D710" s="7">
        <v>6.0</v>
      </c>
      <c r="E710" s="8"/>
      <c r="F710" s="8"/>
      <c r="G710" s="8"/>
      <c r="H710" s="7"/>
      <c r="I710" s="7"/>
      <c r="J710" s="9"/>
      <c r="K710" s="8"/>
      <c r="L710" s="8"/>
      <c r="M710" s="8"/>
      <c r="N710" s="8"/>
      <c r="O710" s="8"/>
      <c r="P710" s="8"/>
      <c r="Q710" s="8"/>
      <c r="R710" s="8"/>
      <c r="S710" s="8"/>
      <c r="T710" s="8"/>
      <c r="U710" s="8"/>
      <c r="V710" s="8"/>
      <c r="W710" s="8"/>
      <c r="X710" s="8"/>
      <c r="Y710" s="8"/>
      <c r="Z710" s="8"/>
    </row>
    <row r="711">
      <c r="A711" s="7" t="s">
        <v>1051</v>
      </c>
      <c r="B711" s="7" t="s">
        <v>434</v>
      </c>
      <c r="C711" s="7" t="s">
        <v>66</v>
      </c>
      <c r="D711" s="7">
        <v>8.3</v>
      </c>
      <c r="E711" s="8"/>
      <c r="F711" s="8"/>
      <c r="G711" s="8"/>
      <c r="H711" s="8"/>
      <c r="I711" s="8"/>
      <c r="J711" s="9"/>
      <c r="K711" s="8"/>
      <c r="L711" s="8"/>
      <c r="M711" s="8"/>
      <c r="N711" s="8"/>
      <c r="O711" s="8"/>
      <c r="P711" s="8"/>
      <c r="Q711" s="8"/>
      <c r="R711" s="8"/>
      <c r="S711" s="8"/>
      <c r="T711" s="8"/>
      <c r="U711" s="8"/>
      <c r="V711" s="8"/>
      <c r="W711" s="8"/>
      <c r="X711" s="8"/>
      <c r="Y711" s="8"/>
      <c r="Z711" s="8"/>
    </row>
    <row r="712">
      <c r="A712" s="14" t="s">
        <v>1057</v>
      </c>
      <c r="B712" s="14" t="s">
        <v>194</v>
      </c>
      <c r="C712" s="14">
        <v>27.0</v>
      </c>
      <c r="D712" s="14">
        <v>8.3</v>
      </c>
      <c r="E712" s="15"/>
      <c r="F712" s="15"/>
      <c r="G712" s="15"/>
      <c r="H712" s="15"/>
      <c r="I712" s="15"/>
      <c r="J712" s="16"/>
      <c r="K712" s="15"/>
      <c r="L712" s="15"/>
      <c r="M712" s="15"/>
      <c r="N712" s="15"/>
      <c r="O712" s="15"/>
      <c r="P712" s="15"/>
      <c r="Q712" s="15"/>
      <c r="R712" s="15"/>
      <c r="S712" s="15"/>
      <c r="T712" s="15"/>
      <c r="U712" s="15"/>
      <c r="V712" s="15"/>
      <c r="W712" s="15"/>
      <c r="X712" s="15"/>
      <c r="Y712" s="15"/>
      <c r="Z712" s="15"/>
    </row>
    <row r="713">
      <c r="A713" s="7" t="s">
        <v>1051</v>
      </c>
      <c r="B713" s="7" t="s">
        <v>1067</v>
      </c>
      <c r="C713" s="7">
        <v>4.0</v>
      </c>
      <c r="D713" s="7">
        <v>8.3</v>
      </c>
      <c r="E713" s="8"/>
      <c r="F713" s="8"/>
      <c r="G713" s="8"/>
      <c r="H713" s="8"/>
      <c r="I713" s="8"/>
      <c r="J713" s="9"/>
      <c r="K713" s="8"/>
      <c r="L713" s="8"/>
      <c r="M713" s="8"/>
      <c r="N713" s="8"/>
      <c r="O713" s="8"/>
      <c r="P713" s="8"/>
      <c r="Q713" s="8"/>
      <c r="R713" s="8"/>
      <c r="S713" s="8"/>
      <c r="T713" s="8"/>
      <c r="U713" s="8"/>
      <c r="V713" s="8"/>
      <c r="W713" s="8"/>
      <c r="X713" s="8"/>
      <c r="Y713" s="8"/>
      <c r="Z713" s="8"/>
    </row>
    <row r="714">
      <c r="A714" s="7" t="s">
        <v>1068</v>
      </c>
      <c r="B714" s="7" t="s">
        <v>1069</v>
      </c>
      <c r="C714" s="7" t="s">
        <v>1070</v>
      </c>
      <c r="D714" s="7">
        <v>6.99</v>
      </c>
      <c r="E714" s="8"/>
      <c r="F714" s="8"/>
      <c r="G714" s="8"/>
      <c r="H714" s="7"/>
      <c r="I714" s="7"/>
      <c r="J714" s="9"/>
      <c r="K714" s="8"/>
      <c r="L714" s="8"/>
      <c r="M714" s="8"/>
      <c r="N714" s="8"/>
      <c r="O714" s="8"/>
      <c r="P714" s="8"/>
      <c r="Q714" s="8"/>
      <c r="R714" s="8"/>
      <c r="S714" s="8"/>
      <c r="T714" s="8"/>
      <c r="U714" s="8"/>
      <c r="V714" s="8"/>
      <c r="W714" s="8"/>
      <c r="X714" s="8"/>
      <c r="Y714" s="8"/>
      <c r="Z714" s="8"/>
    </row>
    <row r="715">
      <c r="A715" s="7" t="s">
        <v>1068</v>
      </c>
      <c r="B715" s="7" t="s">
        <v>1071</v>
      </c>
      <c r="C715" s="7" t="s">
        <v>66</v>
      </c>
      <c r="D715" s="7">
        <v>5.0</v>
      </c>
      <c r="E715" s="8"/>
      <c r="F715" s="8"/>
      <c r="G715" s="8"/>
      <c r="H715" s="7"/>
      <c r="I715" s="7"/>
      <c r="J715" s="9"/>
      <c r="K715" s="8"/>
      <c r="L715" s="8"/>
      <c r="M715" s="8"/>
      <c r="N715" s="8"/>
      <c r="O715" s="8"/>
      <c r="P715" s="8"/>
      <c r="Q715" s="8"/>
      <c r="R715" s="8"/>
      <c r="S715" s="8"/>
      <c r="T715" s="8"/>
      <c r="U715" s="8"/>
      <c r="V715" s="8"/>
      <c r="W715" s="8"/>
      <c r="X715" s="8"/>
      <c r="Y715" s="8"/>
      <c r="Z715" s="8"/>
    </row>
    <row r="716">
      <c r="A716" s="7" t="s">
        <v>1068</v>
      </c>
      <c r="B716" s="7" t="s">
        <v>1072</v>
      </c>
      <c r="C716" s="7" t="s">
        <v>66</v>
      </c>
      <c r="D716" s="7">
        <v>5.5</v>
      </c>
      <c r="E716" s="8"/>
      <c r="F716" s="8"/>
      <c r="G716" s="8"/>
      <c r="H716" s="7"/>
      <c r="I716" s="7"/>
      <c r="J716" s="9"/>
      <c r="K716" s="8"/>
      <c r="L716" s="8"/>
      <c r="M716" s="8"/>
      <c r="N716" s="8"/>
      <c r="O716" s="8"/>
      <c r="P716" s="8"/>
      <c r="Q716" s="8"/>
      <c r="R716" s="8"/>
      <c r="S716" s="8"/>
      <c r="T716" s="8"/>
      <c r="U716" s="8"/>
      <c r="V716" s="8"/>
      <c r="W716" s="8"/>
      <c r="X716" s="8"/>
      <c r="Y716" s="8"/>
      <c r="Z716" s="8"/>
    </row>
    <row r="717">
      <c r="A717" s="7" t="s">
        <v>1068</v>
      </c>
      <c r="B717" s="7" t="s">
        <v>1073</v>
      </c>
      <c r="C717" s="7">
        <v>6.0</v>
      </c>
      <c r="D717" s="7">
        <v>4.5</v>
      </c>
      <c r="E717" s="8"/>
      <c r="F717" s="8"/>
      <c r="G717" s="8"/>
      <c r="H717" s="7"/>
      <c r="I717" s="7"/>
      <c r="J717" s="9"/>
      <c r="K717" s="8"/>
      <c r="L717" s="8"/>
      <c r="M717" s="8"/>
      <c r="N717" s="8"/>
      <c r="O717" s="8"/>
      <c r="P717" s="8"/>
      <c r="Q717" s="8"/>
      <c r="R717" s="8"/>
      <c r="S717" s="8"/>
      <c r="T717" s="8"/>
      <c r="U717" s="8"/>
      <c r="V717" s="8"/>
      <c r="W717" s="8"/>
      <c r="X717" s="8"/>
      <c r="Y717" s="8"/>
      <c r="Z717" s="8"/>
    </row>
    <row r="718">
      <c r="A718" s="7" t="s">
        <v>1074</v>
      </c>
      <c r="B718" s="7" t="s">
        <v>1075</v>
      </c>
      <c r="C718" s="7"/>
      <c r="D718" s="7">
        <v>3.0</v>
      </c>
      <c r="E718" s="8"/>
      <c r="F718" s="8"/>
      <c r="G718" s="8"/>
      <c r="H718" s="7"/>
      <c r="I718" s="7"/>
      <c r="J718" s="9"/>
      <c r="K718" s="8"/>
      <c r="L718" s="8"/>
      <c r="M718" s="8"/>
      <c r="N718" s="8"/>
      <c r="O718" s="8"/>
      <c r="P718" s="8"/>
      <c r="Q718" s="8"/>
      <c r="R718" s="8"/>
      <c r="S718" s="8"/>
      <c r="T718" s="8"/>
      <c r="U718" s="8"/>
      <c r="V718" s="8"/>
      <c r="W718" s="8"/>
      <c r="X718" s="8"/>
      <c r="Y718" s="8"/>
      <c r="Z718" s="8"/>
    </row>
    <row r="719">
      <c r="A719" s="7" t="s">
        <v>1076</v>
      </c>
      <c r="B719" s="7" t="s">
        <v>646</v>
      </c>
      <c r="C719" s="7" t="s">
        <v>66</v>
      </c>
      <c r="D719" s="7">
        <v>6.0</v>
      </c>
      <c r="E719" s="8"/>
      <c r="F719" s="8"/>
      <c r="G719" s="8"/>
      <c r="H719" s="7"/>
      <c r="I719" s="7"/>
      <c r="J719" s="9"/>
      <c r="K719" s="8"/>
      <c r="L719" s="8"/>
      <c r="M719" s="8"/>
      <c r="N719" s="8"/>
      <c r="O719" s="8"/>
      <c r="P719" s="8"/>
      <c r="Q719" s="8"/>
      <c r="R719" s="8"/>
      <c r="S719" s="8"/>
      <c r="T719" s="8"/>
      <c r="U719" s="8"/>
      <c r="V719" s="8"/>
      <c r="W719" s="8"/>
      <c r="X719" s="8"/>
      <c r="Y719" s="8"/>
      <c r="Z719" s="8"/>
    </row>
    <row r="720">
      <c r="A720" s="7" t="s">
        <v>1077</v>
      </c>
      <c r="B720" s="7" t="s">
        <v>945</v>
      </c>
      <c r="C720" s="7">
        <v>2.0</v>
      </c>
      <c r="D720" s="7">
        <v>15.0</v>
      </c>
      <c r="E720" s="8"/>
      <c r="F720" s="8"/>
      <c r="G720" s="8"/>
      <c r="H720" s="7"/>
      <c r="I720" s="7"/>
      <c r="J720" s="9"/>
      <c r="K720" s="8"/>
      <c r="L720" s="8"/>
      <c r="M720" s="8"/>
      <c r="N720" s="8"/>
      <c r="O720" s="8"/>
      <c r="P720" s="8"/>
      <c r="Q720" s="8"/>
      <c r="R720" s="8"/>
      <c r="S720" s="8"/>
      <c r="T720" s="8"/>
      <c r="U720" s="8"/>
      <c r="V720" s="8"/>
      <c r="W720" s="8"/>
      <c r="X720" s="8"/>
      <c r="Y720" s="8"/>
      <c r="Z720" s="8"/>
    </row>
    <row r="721">
      <c r="A721" s="7" t="s">
        <v>1078</v>
      </c>
      <c r="B721" s="7" t="s">
        <v>1079</v>
      </c>
      <c r="C721" s="7" t="s">
        <v>51</v>
      </c>
      <c r="D721" s="7">
        <v>10.0</v>
      </c>
      <c r="E721" s="8"/>
      <c r="F721" s="8"/>
      <c r="G721" s="8"/>
      <c r="H721" s="22" t="s">
        <v>1080</v>
      </c>
      <c r="I721" s="7"/>
      <c r="J721" s="9"/>
      <c r="K721" s="8"/>
      <c r="L721" s="8"/>
      <c r="M721" s="8"/>
      <c r="N721" s="8"/>
      <c r="O721" s="8"/>
      <c r="P721" s="8"/>
      <c r="Q721" s="8"/>
      <c r="R721" s="8"/>
      <c r="S721" s="8"/>
      <c r="T721" s="8"/>
      <c r="U721" s="8"/>
      <c r="V721" s="8"/>
      <c r="W721" s="8"/>
      <c r="X721" s="8"/>
      <c r="Y721" s="8"/>
      <c r="Z721" s="8"/>
    </row>
    <row r="722">
      <c r="A722" s="10" t="s">
        <v>1081</v>
      </c>
      <c r="B722" s="10" t="s">
        <v>1082</v>
      </c>
      <c r="C722" s="10">
        <v>2.0</v>
      </c>
      <c r="D722" s="10">
        <v>5.5</v>
      </c>
      <c r="E722" s="11"/>
      <c r="F722" s="11"/>
      <c r="G722" s="11"/>
      <c r="H722" s="10" t="s">
        <v>219</v>
      </c>
      <c r="I722" s="10"/>
      <c r="J722" s="12"/>
      <c r="K722" s="11"/>
      <c r="L722" s="11"/>
      <c r="M722" s="11"/>
      <c r="N722" s="11"/>
      <c r="O722" s="11"/>
      <c r="P722" s="11"/>
      <c r="Q722" s="11"/>
      <c r="R722" s="11"/>
      <c r="S722" s="11"/>
      <c r="T722" s="11"/>
      <c r="U722" s="11"/>
      <c r="V722" s="11"/>
      <c r="W722" s="11"/>
      <c r="X722" s="11"/>
      <c r="Y722" s="11"/>
      <c r="Z722" s="11"/>
    </row>
    <row r="723">
      <c r="A723" s="7" t="s">
        <v>1083</v>
      </c>
      <c r="B723" s="7" t="s">
        <v>826</v>
      </c>
      <c r="C723" s="7" t="s">
        <v>57</v>
      </c>
      <c r="D723" s="7">
        <v>0.91</v>
      </c>
      <c r="E723" s="8"/>
      <c r="F723" s="8"/>
      <c r="G723" s="8"/>
      <c r="H723" s="8"/>
      <c r="I723" s="8"/>
      <c r="J723" s="9"/>
      <c r="K723" s="8"/>
      <c r="L723" s="8"/>
      <c r="M723" s="8"/>
      <c r="N723" s="8"/>
      <c r="O723" s="8"/>
      <c r="P723" s="8"/>
      <c r="Q723" s="8"/>
      <c r="R723" s="8"/>
      <c r="S723" s="8"/>
      <c r="T723" s="8"/>
      <c r="U723" s="8"/>
      <c r="V723" s="8"/>
      <c r="W723" s="8"/>
      <c r="X723" s="8"/>
      <c r="Y723" s="8"/>
      <c r="Z723" s="8"/>
    </row>
    <row r="724">
      <c r="A724" s="7" t="s">
        <v>1084</v>
      </c>
      <c r="B724" s="7" t="s">
        <v>1085</v>
      </c>
      <c r="C724" s="7" t="s">
        <v>95</v>
      </c>
      <c r="D724" s="7">
        <v>9.0</v>
      </c>
      <c r="E724" s="8"/>
      <c r="F724" s="8"/>
      <c r="G724" s="8"/>
      <c r="H724" s="8"/>
      <c r="I724" s="8"/>
      <c r="J724" s="9"/>
      <c r="K724" s="8"/>
      <c r="L724" s="8"/>
      <c r="M724" s="8"/>
      <c r="N724" s="8"/>
      <c r="O724" s="8"/>
      <c r="P724" s="8"/>
      <c r="Q724" s="8"/>
      <c r="R724" s="8"/>
      <c r="S724" s="8"/>
      <c r="T724" s="8"/>
      <c r="U724" s="8"/>
      <c r="V724" s="8"/>
      <c r="W724" s="8"/>
      <c r="X724" s="8"/>
      <c r="Y724" s="8"/>
      <c r="Z724" s="8"/>
    </row>
    <row r="725">
      <c r="A725" s="7" t="s">
        <v>1086</v>
      </c>
      <c r="B725" s="7" t="s">
        <v>1087</v>
      </c>
      <c r="C725" s="7">
        <v>4.0</v>
      </c>
      <c r="D725" s="7">
        <v>8.0</v>
      </c>
      <c r="E725" s="8"/>
      <c r="F725" s="8"/>
      <c r="G725" s="8"/>
      <c r="H725" s="8"/>
      <c r="I725" s="8"/>
      <c r="J725" s="9"/>
      <c r="K725" s="8"/>
      <c r="L725" s="8"/>
      <c r="M725" s="8"/>
      <c r="N725" s="8"/>
      <c r="O725" s="8"/>
      <c r="P725" s="8"/>
      <c r="Q725" s="8"/>
      <c r="R725" s="8"/>
      <c r="S725" s="8"/>
      <c r="T725" s="8"/>
      <c r="U725" s="8"/>
      <c r="V725" s="8"/>
      <c r="W725" s="8"/>
      <c r="X725" s="8"/>
      <c r="Y725" s="8"/>
      <c r="Z725" s="8"/>
    </row>
    <row r="726">
      <c r="A726" s="7" t="s">
        <v>1088</v>
      </c>
      <c r="B726" s="7" t="s">
        <v>1089</v>
      </c>
      <c r="C726" s="7" t="s">
        <v>57</v>
      </c>
      <c r="D726" s="7">
        <v>9.0</v>
      </c>
      <c r="E726" s="8"/>
      <c r="F726" s="8"/>
      <c r="G726" s="8"/>
      <c r="H726" s="8"/>
      <c r="I726" s="8"/>
      <c r="J726" s="9"/>
      <c r="K726" s="8"/>
      <c r="L726" s="8"/>
      <c r="M726" s="8"/>
      <c r="N726" s="8"/>
      <c r="O726" s="8"/>
      <c r="P726" s="8"/>
      <c r="Q726" s="8"/>
      <c r="R726" s="8"/>
      <c r="S726" s="8"/>
      <c r="T726" s="8"/>
      <c r="U726" s="8"/>
      <c r="V726" s="8"/>
      <c r="W726" s="8"/>
      <c r="X726" s="8"/>
      <c r="Y726" s="8"/>
      <c r="Z726" s="8"/>
    </row>
    <row r="727">
      <c r="A727" s="10" t="s">
        <v>1090</v>
      </c>
      <c r="B727" s="10" t="s">
        <v>1091</v>
      </c>
      <c r="C727" s="10" t="s">
        <v>51</v>
      </c>
      <c r="D727" s="10">
        <v>7.0</v>
      </c>
      <c r="E727" s="11"/>
      <c r="F727" s="11"/>
      <c r="G727" s="11"/>
      <c r="H727" s="10" t="s">
        <v>155</v>
      </c>
      <c r="I727" s="11"/>
      <c r="J727" s="12"/>
      <c r="K727" s="11"/>
      <c r="L727" s="11"/>
      <c r="M727" s="11"/>
      <c r="N727" s="11"/>
      <c r="O727" s="11"/>
      <c r="P727" s="11"/>
      <c r="Q727" s="11"/>
      <c r="R727" s="11"/>
      <c r="S727" s="11"/>
      <c r="T727" s="11"/>
      <c r="U727" s="11"/>
      <c r="V727" s="11"/>
      <c r="W727" s="11"/>
      <c r="X727" s="11"/>
      <c r="Y727" s="11"/>
      <c r="Z727" s="11"/>
    </row>
    <row r="728">
      <c r="A728" s="7" t="s">
        <v>1092</v>
      </c>
      <c r="B728" s="7" t="s">
        <v>419</v>
      </c>
      <c r="C728" s="7" t="s">
        <v>1093</v>
      </c>
      <c r="D728" s="7"/>
      <c r="E728" s="8"/>
      <c r="F728" s="8"/>
      <c r="G728" s="8"/>
      <c r="H728" s="8"/>
      <c r="I728" s="8"/>
      <c r="J728" s="9"/>
      <c r="K728" s="8"/>
      <c r="L728" s="8"/>
      <c r="M728" s="8"/>
      <c r="N728" s="8"/>
      <c r="O728" s="8"/>
      <c r="P728" s="8"/>
      <c r="Q728" s="8"/>
      <c r="R728" s="8"/>
      <c r="S728" s="8"/>
      <c r="T728" s="8"/>
      <c r="U728" s="8"/>
      <c r="V728" s="8"/>
      <c r="W728" s="8"/>
      <c r="X728" s="8"/>
      <c r="Y728" s="8"/>
      <c r="Z728" s="8"/>
    </row>
    <row r="729">
      <c r="A729" s="10" t="s">
        <v>1094</v>
      </c>
      <c r="B729" s="10" t="s">
        <v>1095</v>
      </c>
      <c r="C729" s="10" t="s">
        <v>66</v>
      </c>
      <c r="D729" s="10">
        <v>7.3</v>
      </c>
      <c r="E729" s="11"/>
      <c r="F729" s="11"/>
      <c r="G729" s="11"/>
      <c r="H729" s="10" t="s">
        <v>219</v>
      </c>
      <c r="I729" s="11"/>
      <c r="J729" s="12"/>
      <c r="K729" s="11"/>
      <c r="L729" s="11"/>
      <c r="M729" s="11"/>
      <c r="N729" s="11"/>
      <c r="O729" s="11"/>
      <c r="P729" s="11"/>
      <c r="Q729" s="11"/>
      <c r="R729" s="11"/>
      <c r="S729" s="11"/>
      <c r="T729" s="11"/>
      <c r="U729" s="11"/>
      <c r="V729" s="11"/>
      <c r="W729" s="11"/>
      <c r="X729" s="11"/>
      <c r="Y729" s="11"/>
      <c r="Z729" s="11"/>
    </row>
    <row r="730">
      <c r="A730" s="7" t="s">
        <v>1094</v>
      </c>
      <c r="B730" s="7" t="s">
        <v>1072</v>
      </c>
      <c r="C730" s="7" t="s">
        <v>51</v>
      </c>
      <c r="D730" s="7">
        <v>3.0</v>
      </c>
      <c r="E730" s="8"/>
      <c r="F730" s="8"/>
      <c r="G730" s="8"/>
      <c r="H730" s="8"/>
      <c r="I730" s="8"/>
      <c r="J730" s="9"/>
      <c r="K730" s="8"/>
      <c r="L730" s="8"/>
      <c r="M730" s="8"/>
      <c r="N730" s="8"/>
      <c r="O730" s="8"/>
      <c r="P730" s="8"/>
      <c r="Q730" s="8"/>
      <c r="R730" s="8"/>
      <c r="S730" s="8"/>
      <c r="T730" s="8"/>
      <c r="U730" s="8"/>
      <c r="V730" s="8"/>
      <c r="W730" s="8"/>
      <c r="X730" s="8"/>
      <c r="Y730" s="8"/>
      <c r="Z730" s="8"/>
    </row>
    <row r="731">
      <c r="A731" s="7" t="s">
        <v>1094</v>
      </c>
      <c r="B731" s="7" t="s">
        <v>1096</v>
      </c>
      <c r="C731" s="7" t="s">
        <v>51</v>
      </c>
      <c r="D731" s="7"/>
      <c r="E731" s="8"/>
      <c r="F731" s="8"/>
      <c r="G731" s="8"/>
      <c r="H731" s="8"/>
      <c r="I731" s="8"/>
      <c r="J731" s="9"/>
      <c r="K731" s="8"/>
      <c r="L731" s="8"/>
      <c r="M731" s="8"/>
      <c r="N731" s="8"/>
      <c r="O731" s="8"/>
      <c r="P731" s="8"/>
      <c r="Q731" s="8"/>
      <c r="R731" s="8"/>
      <c r="S731" s="8"/>
      <c r="T731" s="8"/>
      <c r="U731" s="8"/>
      <c r="V731" s="8"/>
      <c r="W731" s="8"/>
      <c r="X731" s="8"/>
      <c r="Y731" s="8"/>
      <c r="Z731" s="8"/>
    </row>
    <row r="732">
      <c r="A732" s="7" t="s">
        <v>1092</v>
      </c>
      <c r="B732" s="7" t="s">
        <v>1097</v>
      </c>
      <c r="C732" s="7" t="s">
        <v>51</v>
      </c>
      <c r="D732" s="7">
        <v>7.0</v>
      </c>
      <c r="E732" s="8"/>
      <c r="F732" s="8"/>
      <c r="G732" s="8"/>
      <c r="H732" s="8"/>
      <c r="I732" s="8"/>
      <c r="J732" s="9"/>
      <c r="K732" s="8"/>
      <c r="L732" s="8"/>
      <c r="M732" s="8"/>
      <c r="N732" s="8"/>
      <c r="O732" s="8"/>
      <c r="P732" s="8"/>
      <c r="Q732" s="8"/>
      <c r="R732" s="8"/>
      <c r="S732" s="8"/>
      <c r="T732" s="8"/>
      <c r="U732" s="8"/>
      <c r="V732" s="8"/>
      <c r="W732" s="8"/>
      <c r="X732" s="8"/>
      <c r="Y732" s="8"/>
      <c r="Z732" s="8"/>
    </row>
    <row r="733">
      <c r="A733" s="7" t="s">
        <v>1092</v>
      </c>
      <c r="B733" s="7" t="s">
        <v>1098</v>
      </c>
      <c r="C733" s="7"/>
      <c r="D733" s="7">
        <v>2.45</v>
      </c>
      <c r="E733" s="8"/>
      <c r="F733" s="8"/>
      <c r="G733" s="8"/>
      <c r="H733" s="8"/>
      <c r="I733" s="8"/>
      <c r="J733" s="9"/>
      <c r="K733" s="8"/>
      <c r="L733" s="8"/>
      <c r="M733" s="8"/>
      <c r="N733" s="8"/>
      <c r="O733" s="8"/>
      <c r="P733" s="8"/>
      <c r="Q733" s="8"/>
      <c r="R733" s="8"/>
      <c r="S733" s="8"/>
      <c r="T733" s="8"/>
      <c r="U733" s="8"/>
      <c r="V733" s="8"/>
      <c r="W733" s="8"/>
      <c r="X733" s="8"/>
      <c r="Y733" s="8"/>
      <c r="Z733" s="8"/>
    </row>
    <row r="734">
      <c r="A734" s="7" t="s">
        <v>1092</v>
      </c>
      <c r="B734" s="7" t="s">
        <v>1099</v>
      </c>
      <c r="C734" s="7" t="s">
        <v>51</v>
      </c>
      <c r="D734" s="7">
        <v>4.0</v>
      </c>
      <c r="E734" s="8"/>
      <c r="F734" s="8"/>
      <c r="G734" s="8"/>
      <c r="H734" s="8"/>
      <c r="I734" s="8"/>
      <c r="J734" s="8"/>
      <c r="K734" s="8"/>
      <c r="L734" s="8"/>
      <c r="M734" s="8"/>
      <c r="N734" s="8"/>
      <c r="O734" s="8"/>
      <c r="P734" s="8"/>
      <c r="Q734" s="8"/>
      <c r="R734" s="8"/>
      <c r="S734" s="8"/>
      <c r="T734" s="8"/>
      <c r="U734" s="8"/>
      <c r="V734" s="8"/>
      <c r="W734" s="8"/>
      <c r="X734" s="8"/>
      <c r="Y734" s="8"/>
      <c r="Z734" s="8"/>
    </row>
    <row r="735">
      <c r="A735" s="7" t="s">
        <v>1092</v>
      </c>
      <c r="B735" s="7" t="s">
        <v>1100</v>
      </c>
      <c r="C735" s="7" t="s">
        <v>51</v>
      </c>
      <c r="D735" s="7">
        <v>3.5</v>
      </c>
      <c r="E735" s="8"/>
      <c r="F735" s="8"/>
      <c r="G735" s="8"/>
      <c r="H735" s="8"/>
      <c r="I735" s="8"/>
      <c r="J735" s="8"/>
      <c r="K735" s="8"/>
      <c r="L735" s="8"/>
      <c r="M735" s="8"/>
      <c r="N735" s="8"/>
      <c r="O735" s="8"/>
      <c r="P735" s="8"/>
      <c r="Q735" s="8"/>
      <c r="R735" s="8"/>
      <c r="S735" s="8"/>
      <c r="T735" s="8"/>
      <c r="U735" s="8"/>
      <c r="V735" s="8"/>
      <c r="W735" s="8"/>
      <c r="X735" s="8"/>
      <c r="Y735" s="8"/>
      <c r="Z735" s="8"/>
    </row>
    <row r="736">
      <c r="A736" s="7" t="s">
        <v>1092</v>
      </c>
      <c r="B736" s="7" t="s">
        <v>1101</v>
      </c>
      <c r="C736" s="7" t="s">
        <v>57</v>
      </c>
      <c r="D736" s="7">
        <v>4.0</v>
      </c>
      <c r="E736" s="8"/>
      <c r="F736" s="8"/>
      <c r="G736" s="8"/>
      <c r="H736" s="8"/>
      <c r="I736" s="8"/>
      <c r="J736" s="8"/>
      <c r="K736" s="8"/>
      <c r="L736" s="8"/>
      <c r="M736" s="8"/>
      <c r="N736" s="8"/>
      <c r="O736" s="8"/>
      <c r="P736" s="8"/>
      <c r="Q736" s="8"/>
      <c r="R736" s="8"/>
      <c r="S736" s="8"/>
      <c r="T736" s="8"/>
      <c r="U736" s="8"/>
      <c r="V736" s="8"/>
      <c r="W736" s="8"/>
      <c r="X736" s="8"/>
      <c r="Y736" s="8"/>
      <c r="Z736" s="8"/>
    </row>
    <row r="738">
      <c r="A738" s="2"/>
      <c r="B738" s="2"/>
      <c r="C738" s="2"/>
      <c r="D738" s="2"/>
      <c r="H738" s="2"/>
      <c r="I738" s="2"/>
      <c r="J738" s="6"/>
    </row>
    <row r="739">
      <c r="A739" s="23" t="s">
        <v>1102</v>
      </c>
      <c r="B739" s="23" t="s">
        <v>1103</v>
      </c>
      <c r="C739" s="23">
        <v>4.0</v>
      </c>
      <c r="D739" s="23">
        <v>10.0</v>
      </c>
      <c r="E739" s="24"/>
      <c r="F739" s="24"/>
      <c r="G739" s="24"/>
      <c r="H739" s="23" t="s">
        <v>1104</v>
      </c>
      <c r="I739" s="24"/>
      <c r="J739" s="25"/>
      <c r="K739" s="24"/>
      <c r="L739" s="24"/>
      <c r="M739" s="24"/>
      <c r="N739" s="24"/>
      <c r="O739" s="24"/>
      <c r="P739" s="24"/>
      <c r="Q739" s="24"/>
      <c r="R739" s="24"/>
      <c r="S739" s="24"/>
      <c r="T739" s="24"/>
      <c r="U739" s="24"/>
      <c r="V739" s="24"/>
      <c r="W739" s="24"/>
      <c r="X739" s="24"/>
      <c r="Y739" s="24"/>
      <c r="Z739" s="24"/>
    </row>
    <row r="740">
      <c r="A740" s="23" t="s">
        <v>453</v>
      </c>
      <c r="B740" s="23" t="s">
        <v>1105</v>
      </c>
      <c r="C740" s="23" t="s">
        <v>51</v>
      </c>
      <c r="D740" s="23">
        <v>3.5</v>
      </c>
      <c r="E740" s="24"/>
      <c r="F740" s="24"/>
      <c r="G740" s="23" t="s">
        <v>155</v>
      </c>
      <c r="H740" s="23" t="s">
        <v>1104</v>
      </c>
      <c r="I740" s="24"/>
      <c r="J740" s="25"/>
      <c r="K740" s="24"/>
      <c r="L740" s="24"/>
      <c r="M740" s="24"/>
      <c r="N740" s="24"/>
      <c r="O740" s="24"/>
      <c r="P740" s="24"/>
      <c r="Q740" s="24"/>
      <c r="R740" s="24"/>
      <c r="S740" s="24"/>
      <c r="T740" s="24"/>
      <c r="U740" s="24"/>
      <c r="V740" s="24"/>
      <c r="W740" s="24"/>
      <c r="X740" s="24"/>
      <c r="Y740" s="24"/>
      <c r="Z740" s="24"/>
    </row>
    <row r="741">
      <c r="A741" s="23" t="s">
        <v>187</v>
      </c>
      <c r="B741" s="23" t="s">
        <v>1106</v>
      </c>
      <c r="C741" s="23" t="s">
        <v>278</v>
      </c>
      <c r="D741" s="23">
        <v>9.0</v>
      </c>
      <c r="E741" s="24"/>
      <c r="F741" s="24"/>
      <c r="G741" s="24"/>
      <c r="H741" s="23" t="s">
        <v>1104</v>
      </c>
      <c r="I741" s="24"/>
      <c r="J741" s="25"/>
      <c r="K741" s="24"/>
      <c r="L741" s="24"/>
      <c r="M741" s="24"/>
      <c r="N741" s="24"/>
      <c r="O741" s="24"/>
      <c r="P741" s="24"/>
      <c r="Q741" s="24"/>
      <c r="R741" s="24"/>
      <c r="S741" s="24"/>
      <c r="T741" s="24"/>
      <c r="U741" s="24"/>
      <c r="V741" s="24"/>
      <c r="W741" s="24"/>
      <c r="X741" s="24"/>
      <c r="Y741" s="24"/>
      <c r="Z741" s="24"/>
    </row>
    <row r="742">
      <c r="A742" s="23" t="s">
        <v>1107</v>
      </c>
      <c r="B742" s="23" t="s">
        <v>1108</v>
      </c>
      <c r="C742" s="23" t="s">
        <v>51</v>
      </c>
      <c r="D742" s="23">
        <v>6.0</v>
      </c>
      <c r="E742" s="24"/>
      <c r="F742" s="24"/>
      <c r="G742" s="24"/>
      <c r="H742" s="23" t="s">
        <v>1104</v>
      </c>
      <c r="I742" s="24"/>
      <c r="J742" s="25"/>
      <c r="K742" s="24"/>
      <c r="L742" s="24"/>
      <c r="M742" s="24"/>
      <c r="N742" s="24"/>
      <c r="O742" s="24"/>
      <c r="P742" s="24"/>
      <c r="Q742" s="24"/>
      <c r="R742" s="24"/>
      <c r="S742" s="24"/>
      <c r="T742" s="24"/>
      <c r="U742" s="24"/>
      <c r="V742" s="24"/>
      <c r="W742" s="24"/>
      <c r="X742" s="24"/>
      <c r="Y742" s="24"/>
      <c r="Z742" s="24"/>
    </row>
    <row r="743">
      <c r="A743" s="23" t="s">
        <v>501</v>
      </c>
      <c r="B743" s="23" t="s">
        <v>1109</v>
      </c>
      <c r="C743" s="23" t="s">
        <v>66</v>
      </c>
      <c r="D743" s="23">
        <v>7.0</v>
      </c>
      <c r="E743" s="24"/>
      <c r="F743" s="24"/>
      <c r="G743" s="24"/>
      <c r="H743" s="23" t="s">
        <v>1104</v>
      </c>
      <c r="I743" s="23" t="s">
        <v>139</v>
      </c>
      <c r="J743" s="25"/>
      <c r="K743" s="24"/>
      <c r="L743" s="24"/>
      <c r="M743" s="24"/>
      <c r="N743" s="24"/>
      <c r="O743" s="24"/>
      <c r="P743" s="24"/>
      <c r="Q743" s="24"/>
      <c r="R743" s="24"/>
      <c r="S743" s="24"/>
      <c r="T743" s="24"/>
      <c r="U743" s="24"/>
      <c r="V743" s="24"/>
      <c r="W743" s="24"/>
      <c r="X743" s="24"/>
      <c r="Y743" s="24"/>
      <c r="Z743" s="24"/>
    </row>
    <row r="744">
      <c r="A744" s="23" t="s">
        <v>534</v>
      </c>
      <c r="B744" s="23" t="s">
        <v>1110</v>
      </c>
      <c r="C744" s="23" t="s">
        <v>51</v>
      </c>
      <c r="D744" s="23">
        <v>6.0</v>
      </c>
      <c r="E744" s="24"/>
      <c r="F744" s="24"/>
      <c r="G744" s="24"/>
      <c r="H744" s="23" t="s">
        <v>1104</v>
      </c>
      <c r="I744" s="23"/>
      <c r="J744" s="25"/>
      <c r="K744" s="24"/>
      <c r="L744" s="24"/>
      <c r="M744" s="24"/>
      <c r="N744" s="24"/>
      <c r="O744" s="24"/>
      <c r="P744" s="24"/>
      <c r="Q744" s="24"/>
      <c r="R744" s="24"/>
      <c r="S744" s="24"/>
      <c r="T744" s="24"/>
      <c r="U744" s="24"/>
      <c r="V744" s="24"/>
      <c r="W744" s="24"/>
      <c r="X744" s="24"/>
      <c r="Y744" s="24"/>
      <c r="Z744" s="24"/>
    </row>
    <row r="745">
      <c r="A745" s="23" t="s">
        <v>1111</v>
      </c>
      <c r="B745" s="23" t="s">
        <v>753</v>
      </c>
      <c r="C745" s="23" t="s">
        <v>66</v>
      </c>
      <c r="D745" s="23">
        <v>7.0</v>
      </c>
      <c r="E745" s="24"/>
      <c r="F745" s="24"/>
      <c r="G745" s="24"/>
      <c r="H745" s="23" t="s">
        <v>1104</v>
      </c>
      <c r="I745" s="24"/>
      <c r="J745" s="25"/>
      <c r="K745" s="24"/>
      <c r="L745" s="24"/>
      <c r="M745" s="24"/>
      <c r="N745" s="24"/>
      <c r="O745" s="24"/>
      <c r="P745" s="24"/>
      <c r="Q745" s="24"/>
      <c r="R745" s="24"/>
      <c r="S745" s="24"/>
      <c r="T745" s="24"/>
      <c r="U745" s="24"/>
      <c r="V745" s="24"/>
      <c r="W745" s="24"/>
      <c r="X745" s="24"/>
      <c r="Y745" s="24"/>
      <c r="Z745" s="24"/>
    </row>
    <row r="746">
      <c r="A746" s="23" t="s">
        <v>187</v>
      </c>
      <c r="B746" s="23" t="s">
        <v>1112</v>
      </c>
      <c r="C746" s="23" t="s">
        <v>66</v>
      </c>
      <c r="D746" s="23"/>
      <c r="E746" s="24"/>
      <c r="F746" s="24"/>
      <c r="G746" s="24"/>
      <c r="H746" s="23" t="s">
        <v>1104</v>
      </c>
      <c r="I746" s="24"/>
      <c r="J746" s="25"/>
      <c r="K746" s="24"/>
      <c r="L746" s="24"/>
      <c r="M746" s="24"/>
      <c r="N746" s="24"/>
      <c r="O746" s="24"/>
      <c r="P746" s="24"/>
      <c r="Q746" s="24"/>
      <c r="R746" s="24"/>
      <c r="S746" s="24"/>
      <c r="T746" s="24"/>
      <c r="U746" s="24"/>
      <c r="V746" s="24"/>
      <c r="W746" s="24"/>
      <c r="X746" s="24"/>
      <c r="Y746" s="24"/>
      <c r="Z746" s="24"/>
    </row>
    <row r="747">
      <c r="A747" s="23" t="s">
        <v>534</v>
      </c>
      <c r="B747" s="23" t="s">
        <v>1113</v>
      </c>
      <c r="C747" s="23" t="s">
        <v>66</v>
      </c>
      <c r="D747" s="23"/>
      <c r="E747" s="24"/>
      <c r="F747" s="24"/>
      <c r="G747" s="24"/>
      <c r="H747" s="23" t="s">
        <v>1104</v>
      </c>
      <c r="I747" s="23"/>
      <c r="J747" s="25"/>
      <c r="K747" s="24"/>
      <c r="L747" s="24"/>
      <c r="M747" s="24"/>
      <c r="N747" s="24"/>
      <c r="O747" s="24"/>
      <c r="P747" s="24"/>
      <c r="Q747" s="24"/>
      <c r="R747" s="24"/>
      <c r="S747" s="24"/>
      <c r="T747" s="24"/>
      <c r="U747" s="24"/>
      <c r="V747" s="24"/>
      <c r="W747" s="24"/>
      <c r="X747" s="24"/>
      <c r="Y747" s="24"/>
      <c r="Z747" s="24"/>
    </row>
    <row r="748">
      <c r="A748" s="23" t="s">
        <v>532</v>
      </c>
      <c r="B748" s="23" t="s">
        <v>1114</v>
      </c>
      <c r="C748" s="23" t="s">
        <v>51</v>
      </c>
      <c r="D748" s="23"/>
      <c r="E748" s="24"/>
      <c r="F748" s="24"/>
      <c r="G748" s="24"/>
      <c r="H748" s="23" t="s">
        <v>1104</v>
      </c>
      <c r="I748" s="24"/>
      <c r="J748" s="25"/>
      <c r="K748" s="24"/>
      <c r="L748" s="24"/>
      <c r="M748" s="24"/>
      <c r="N748" s="24"/>
      <c r="O748" s="24"/>
      <c r="P748" s="24"/>
      <c r="Q748" s="24"/>
      <c r="R748" s="24"/>
      <c r="S748" s="24"/>
      <c r="T748" s="24"/>
      <c r="U748" s="24"/>
      <c r="V748" s="24"/>
      <c r="W748" s="24"/>
      <c r="X748" s="24"/>
      <c r="Y748" s="24"/>
      <c r="Z748" s="24"/>
    </row>
    <row r="749">
      <c r="A749" s="23" t="s">
        <v>1115</v>
      </c>
      <c r="B749" s="23" t="s">
        <v>1116</v>
      </c>
      <c r="C749" s="23" t="s">
        <v>1117</v>
      </c>
      <c r="D749" s="23"/>
      <c r="E749" s="24"/>
      <c r="F749" s="24"/>
      <c r="G749" s="24"/>
      <c r="H749" s="23" t="s">
        <v>1104</v>
      </c>
      <c r="I749" s="23"/>
      <c r="J749" s="25"/>
      <c r="K749" s="24"/>
      <c r="L749" s="24"/>
      <c r="M749" s="24"/>
      <c r="N749" s="24"/>
      <c r="O749" s="24"/>
      <c r="P749" s="24"/>
      <c r="Q749" s="24"/>
      <c r="R749" s="24"/>
      <c r="S749" s="24"/>
      <c r="T749" s="24"/>
      <c r="U749" s="24"/>
      <c r="V749" s="24"/>
      <c r="W749" s="24"/>
      <c r="X749" s="24"/>
      <c r="Y749" s="24"/>
      <c r="Z749" s="24"/>
    </row>
    <row r="750">
      <c r="A750" s="23" t="s">
        <v>640</v>
      </c>
      <c r="B750" s="23" t="s">
        <v>1118</v>
      </c>
      <c r="C750" s="23" t="s">
        <v>66</v>
      </c>
      <c r="D750" s="23"/>
      <c r="E750" s="24"/>
      <c r="F750" s="24"/>
      <c r="G750" s="24"/>
      <c r="H750" s="23" t="s">
        <v>1104</v>
      </c>
      <c r="I750" s="24"/>
      <c r="J750" s="25"/>
      <c r="K750" s="24"/>
      <c r="L750" s="24"/>
      <c r="M750" s="24"/>
      <c r="N750" s="24"/>
      <c r="O750" s="24"/>
      <c r="P750" s="24"/>
      <c r="Q750" s="24"/>
      <c r="R750" s="24"/>
      <c r="S750" s="24"/>
      <c r="T750" s="24"/>
      <c r="U750" s="24"/>
      <c r="V750" s="24"/>
      <c r="W750" s="24"/>
      <c r="X750" s="24"/>
      <c r="Y750" s="24"/>
      <c r="Z750" s="24"/>
    </row>
    <row r="751">
      <c r="A751" s="23" t="s">
        <v>640</v>
      </c>
      <c r="B751" s="23" t="s">
        <v>1119</v>
      </c>
      <c r="C751" s="23" t="s">
        <v>51</v>
      </c>
      <c r="D751" s="23">
        <v>0.0</v>
      </c>
      <c r="E751" s="24"/>
      <c r="F751" s="24"/>
      <c r="G751" s="24"/>
      <c r="H751" s="23" t="s">
        <v>1104</v>
      </c>
      <c r="I751" s="24"/>
      <c r="J751" s="25"/>
      <c r="K751" s="24"/>
      <c r="L751" s="24"/>
      <c r="M751" s="24"/>
      <c r="N751" s="24"/>
      <c r="O751" s="24"/>
      <c r="P751" s="24"/>
      <c r="Q751" s="24"/>
      <c r="R751" s="24"/>
      <c r="S751" s="24"/>
      <c r="T751" s="24"/>
      <c r="U751" s="24"/>
      <c r="V751" s="24"/>
      <c r="W751" s="24"/>
      <c r="X751" s="24"/>
      <c r="Y751" s="24"/>
      <c r="Z751" s="24"/>
    </row>
    <row r="752">
      <c r="A752" s="23" t="s">
        <v>1120</v>
      </c>
      <c r="B752" s="23" t="s">
        <v>1121</v>
      </c>
      <c r="C752" s="23" t="s">
        <v>51</v>
      </c>
      <c r="D752" s="23">
        <v>7.0</v>
      </c>
      <c r="E752" s="24"/>
      <c r="F752" s="24"/>
      <c r="G752" s="24"/>
      <c r="H752" s="23" t="s">
        <v>1104</v>
      </c>
      <c r="I752" s="24"/>
      <c r="J752" s="25"/>
      <c r="K752" s="24"/>
      <c r="L752" s="24"/>
      <c r="M752" s="24"/>
      <c r="N752" s="24"/>
      <c r="O752" s="24"/>
      <c r="P752" s="24"/>
      <c r="Q752" s="24"/>
      <c r="R752" s="24"/>
      <c r="S752" s="24"/>
      <c r="T752" s="24"/>
      <c r="U752" s="24"/>
      <c r="V752" s="24"/>
      <c r="W752" s="24"/>
      <c r="X752" s="24"/>
      <c r="Y752" s="24"/>
      <c r="Z752" s="24"/>
    </row>
    <row r="753">
      <c r="A753" s="23" t="s">
        <v>1120</v>
      </c>
      <c r="B753" s="23" t="s">
        <v>1122</v>
      </c>
      <c r="C753" s="23" t="s">
        <v>51</v>
      </c>
      <c r="D753" s="23">
        <v>7.0</v>
      </c>
      <c r="E753" s="24"/>
      <c r="F753" s="24"/>
      <c r="G753" s="24"/>
      <c r="H753" s="23" t="s">
        <v>1104</v>
      </c>
      <c r="I753" s="24"/>
      <c r="J753" s="25"/>
      <c r="K753" s="24"/>
      <c r="L753" s="24"/>
      <c r="M753" s="24"/>
      <c r="N753" s="24"/>
      <c r="O753" s="24"/>
      <c r="P753" s="24"/>
      <c r="Q753" s="24"/>
      <c r="R753" s="24"/>
      <c r="S753" s="24"/>
      <c r="T753" s="24"/>
      <c r="U753" s="24"/>
      <c r="V753" s="24"/>
      <c r="W753" s="24"/>
      <c r="X753" s="24"/>
      <c r="Y753" s="24"/>
      <c r="Z753" s="24"/>
    </row>
    <row r="754">
      <c r="A754" s="23" t="s">
        <v>1123</v>
      </c>
      <c r="B754" s="23" t="s">
        <v>1124</v>
      </c>
      <c r="C754" s="23" t="s">
        <v>51</v>
      </c>
      <c r="D754" s="23">
        <v>7.0</v>
      </c>
      <c r="E754" s="24"/>
      <c r="F754" s="24"/>
      <c r="G754" s="23"/>
      <c r="H754" s="23" t="s">
        <v>1104</v>
      </c>
      <c r="I754" s="24"/>
      <c r="J754" s="25"/>
      <c r="K754" s="24"/>
      <c r="L754" s="24"/>
      <c r="M754" s="24"/>
      <c r="N754" s="24"/>
      <c r="O754" s="24"/>
      <c r="P754" s="24"/>
      <c r="Q754" s="24"/>
      <c r="R754" s="24"/>
      <c r="S754" s="24"/>
      <c r="T754" s="24"/>
      <c r="U754" s="24"/>
      <c r="V754" s="24"/>
      <c r="W754" s="24"/>
      <c r="X754" s="24"/>
      <c r="Y754" s="24"/>
      <c r="Z754" s="24"/>
    </row>
    <row r="755">
      <c r="A755" s="23" t="s">
        <v>1084</v>
      </c>
      <c r="B755" s="23" t="s">
        <v>1125</v>
      </c>
      <c r="C755" s="23" t="s">
        <v>57</v>
      </c>
      <c r="D755" s="23">
        <v>7.0</v>
      </c>
      <c r="E755" s="24"/>
      <c r="F755" s="24"/>
      <c r="G755" s="24"/>
      <c r="H755" s="23" t="s">
        <v>1104</v>
      </c>
      <c r="I755" s="24"/>
      <c r="J755" s="25"/>
      <c r="K755" s="24"/>
      <c r="L755" s="24"/>
      <c r="M755" s="24"/>
      <c r="N755" s="24"/>
      <c r="O755" s="24"/>
      <c r="P755" s="24"/>
      <c r="Q755" s="24"/>
      <c r="R755" s="24"/>
      <c r="S755" s="24"/>
      <c r="T755" s="24"/>
      <c r="U755" s="24"/>
      <c r="V755" s="24"/>
      <c r="W755" s="24"/>
      <c r="X755" s="24"/>
      <c r="Y755" s="24"/>
      <c r="Z755" s="24"/>
    </row>
    <row r="756">
      <c r="A756" s="23" t="s">
        <v>1126</v>
      </c>
      <c r="B756" s="23" t="s">
        <v>1127</v>
      </c>
      <c r="C756" s="23" t="s">
        <v>66</v>
      </c>
      <c r="D756" s="23"/>
      <c r="E756" s="24"/>
      <c r="F756" s="24"/>
      <c r="G756" s="24"/>
      <c r="H756" s="23" t="s">
        <v>1104</v>
      </c>
      <c r="I756" s="30"/>
      <c r="J756" s="25"/>
      <c r="K756" s="24"/>
      <c r="L756" s="24"/>
      <c r="M756" s="24"/>
      <c r="N756" s="24"/>
      <c r="O756" s="24"/>
      <c r="P756" s="24"/>
      <c r="Q756" s="24"/>
      <c r="R756" s="24"/>
      <c r="S756" s="24"/>
      <c r="T756" s="24"/>
      <c r="U756" s="24"/>
      <c r="V756" s="24"/>
      <c r="W756" s="24"/>
      <c r="X756" s="24"/>
      <c r="Y756" s="24"/>
      <c r="Z756" s="24"/>
    </row>
    <row r="757">
      <c r="A757" s="23" t="s">
        <v>1005</v>
      </c>
      <c r="B757" s="23" t="s">
        <v>1128</v>
      </c>
      <c r="C757" s="23" t="s">
        <v>57</v>
      </c>
      <c r="D757" s="23">
        <v>9.0</v>
      </c>
      <c r="E757" s="24"/>
      <c r="F757" s="24"/>
      <c r="G757" s="24"/>
      <c r="H757" s="23" t="s">
        <v>1104</v>
      </c>
      <c r="I757" s="24"/>
      <c r="J757" s="25"/>
      <c r="K757" s="24"/>
      <c r="L757" s="24"/>
      <c r="M757" s="24"/>
      <c r="N757" s="24"/>
      <c r="O757" s="24"/>
      <c r="P757" s="24"/>
      <c r="Q757" s="24"/>
      <c r="R757" s="24"/>
      <c r="S757" s="24"/>
      <c r="T757" s="24"/>
      <c r="U757" s="24"/>
      <c r="V757" s="24"/>
      <c r="W757" s="24"/>
      <c r="X757" s="24"/>
      <c r="Y757" s="24"/>
      <c r="Z757" s="24"/>
    </row>
    <row r="758">
      <c r="A758" s="23" t="s">
        <v>1129</v>
      </c>
      <c r="B758" s="23" t="s">
        <v>1130</v>
      </c>
      <c r="C758" s="23" t="s">
        <v>57</v>
      </c>
      <c r="D758" s="23">
        <v>10.0</v>
      </c>
      <c r="E758" s="24"/>
      <c r="F758" s="24"/>
      <c r="G758" s="24"/>
      <c r="H758" s="23" t="s">
        <v>1104</v>
      </c>
      <c r="I758" s="24"/>
      <c r="J758" s="25"/>
      <c r="K758" s="24"/>
      <c r="L758" s="24"/>
      <c r="M758" s="24"/>
      <c r="N758" s="24"/>
      <c r="O758" s="24"/>
      <c r="P758" s="24"/>
      <c r="Q758" s="24"/>
      <c r="R758" s="24"/>
      <c r="S758" s="24"/>
      <c r="T758" s="24"/>
      <c r="U758" s="24"/>
      <c r="V758" s="24"/>
      <c r="W758" s="24"/>
      <c r="X758" s="24"/>
      <c r="Y758" s="24"/>
      <c r="Z758" s="24"/>
    </row>
    <row r="759">
      <c r="A759" s="23" t="s">
        <v>1131</v>
      </c>
      <c r="B759" s="23" t="s">
        <v>243</v>
      </c>
      <c r="C759" s="23" t="s">
        <v>57</v>
      </c>
      <c r="D759" s="23"/>
      <c r="E759" s="24"/>
      <c r="F759" s="24"/>
      <c r="G759" s="24"/>
      <c r="H759" s="23" t="s">
        <v>1104</v>
      </c>
      <c r="I759" s="24"/>
      <c r="J759" s="25"/>
      <c r="K759" s="24"/>
      <c r="L759" s="24"/>
      <c r="M759" s="24"/>
      <c r="N759" s="24"/>
      <c r="O759" s="24"/>
      <c r="P759" s="24"/>
      <c r="Q759" s="24"/>
      <c r="R759" s="24"/>
      <c r="S759" s="24"/>
      <c r="T759" s="24"/>
      <c r="U759" s="24"/>
      <c r="V759" s="24"/>
      <c r="W759" s="24"/>
      <c r="X759" s="24"/>
      <c r="Y759" s="24"/>
      <c r="Z759" s="24"/>
    </row>
    <row r="760">
      <c r="A760" s="23" t="s">
        <v>1120</v>
      </c>
      <c r="B760" s="23" t="s">
        <v>1132</v>
      </c>
      <c r="C760" s="23" t="s">
        <v>51</v>
      </c>
      <c r="D760" s="23">
        <v>7.0</v>
      </c>
      <c r="E760" s="24"/>
      <c r="F760" s="24"/>
      <c r="G760" s="24"/>
      <c r="H760" s="23" t="s">
        <v>1104</v>
      </c>
      <c r="I760" s="24"/>
      <c r="J760" s="25"/>
      <c r="K760" s="24"/>
      <c r="L760" s="24"/>
      <c r="M760" s="24"/>
      <c r="N760" s="24"/>
      <c r="O760" s="24"/>
      <c r="P760" s="24"/>
      <c r="Q760" s="24"/>
      <c r="R760" s="24"/>
      <c r="S760" s="24"/>
      <c r="T760" s="24"/>
      <c r="U760" s="24"/>
      <c r="V760" s="24"/>
      <c r="W760" s="24"/>
      <c r="X760" s="24"/>
      <c r="Y760" s="24"/>
      <c r="Z760" s="24"/>
    </row>
    <row r="761">
      <c r="A761" s="23" t="s">
        <v>1088</v>
      </c>
      <c r="B761" s="23" t="s">
        <v>1133</v>
      </c>
      <c r="C761" s="23" t="s">
        <v>66</v>
      </c>
      <c r="D761" s="23">
        <v>7.0</v>
      </c>
      <c r="E761" s="24"/>
      <c r="F761" s="24"/>
      <c r="G761" s="24"/>
      <c r="H761" s="23" t="s">
        <v>614</v>
      </c>
      <c r="I761" s="23" t="s">
        <v>1134</v>
      </c>
      <c r="J761" s="25"/>
      <c r="K761" s="24"/>
      <c r="L761" s="24"/>
      <c r="M761" s="24"/>
      <c r="N761" s="24"/>
      <c r="O761" s="24"/>
      <c r="P761" s="24"/>
      <c r="Q761" s="24"/>
      <c r="R761" s="24"/>
      <c r="S761" s="24"/>
      <c r="T761" s="24"/>
      <c r="U761" s="24"/>
      <c r="V761" s="24"/>
      <c r="W761" s="24"/>
      <c r="X761" s="24"/>
      <c r="Y761" s="24"/>
      <c r="Z761" s="24"/>
    </row>
    <row r="762">
      <c r="A762" s="23" t="s">
        <v>1135</v>
      </c>
      <c r="B762" s="23" t="s">
        <v>1136</v>
      </c>
      <c r="C762" s="23" t="s">
        <v>57</v>
      </c>
      <c r="D762" s="23"/>
      <c r="E762" s="24"/>
      <c r="F762" s="24"/>
      <c r="G762" s="24"/>
      <c r="H762" s="23" t="s">
        <v>1104</v>
      </c>
      <c r="I762" s="24"/>
      <c r="J762" s="25"/>
      <c r="K762" s="24"/>
      <c r="L762" s="24"/>
      <c r="M762" s="24"/>
      <c r="N762" s="24"/>
      <c r="O762" s="24"/>
      <c r="P762" s="24"/>
      <c r="Q762" s="24"/>
      <c r="R762" s="24"/>
      <c r="S762" s="24"/>
      <c r="T762" s="24"/>
      <c r="U762" s="24"/>
      <c r="V762" s="24"/>
      <c r="W762" s="24"/>
      <c r="X762" s="24"/>
      <c r="Y762" s="24"/>
      <c r="Z762" s="24"/>
    </row>
    <row r="763">
      <c r="A763" s="23" t="s">
        <v>1137</v>
      </c>
      <c r="B763" s="23" t="s">
        <v>1138</v>
      </c>
      <c r="C763" s="23" t="s">
        <v>628</v>
      </c>
      <c r="D763" s="23">
        <v>7.0</v>
      </c>
      <c r="E763" s="24"/>
      <c r="F763" s="24"/>
      <c r="G763" s="24"/>
      <c r="H763" s="23" t="s">
        <v>347</v>
      </c>
      <c r="I763" s="23"/>
      <c r="J763" s="25"/>
      <c r="K763" s="24"/>
      <c r="L763" s="24"/>
      <c r="M763" s="24"/>
      <c r="N763" s="24"/>
      <c r="O763" s="24"/>
      <c r="P763" s="24"/>
      <c r="Q763" s="24"/>
      <c r="R763" s="24"/>
      <c r="S763" s="24"/>
      <c r="T763" s="24"/>
      <c r="U763" s="24"/>
      <c r="V763" s="24"/>
      <c r="W763" s="24"/>
      <c r="X763" s="24"/>
      <c r="Y763" s="24"/>
      <c r="Z763" s="24"/>
    </row>
    <row r="764">
      <c r="A764" s="23" t="s">
        <v>1139</v>
      </c>
      <c r="B764" s="23" t="s">
        <v>1140</v>
      </c>
      <c r="C764" s="23" t="s">
        <v>922</v>
      </c>
      <c r="D764" s="23"/>
      <c r="E764" s="24"/>
      <c r="F764" s="24"/>
      <c r="G764" s="24"/>
      <c r="H764" s="23" t="s">
        <v>1104</v>
      </c>
      <c r="I764" s="30"/>
      <c r="J764" s="25"/>
      <c r="K764" s="24"/>
      <c r="L764" s="24"/>
      <c r="M764" s="24"/>
      <c r="N764" s="24"/>
      <c r="O764" s="24"/>
      <c r="P764" s="24"/>
      <c r="Q764" s="24"/>
      <c r="R764" s="24"/>
      <c r="S764" s="24"/>
      <c r="T764" s="24"/>
      <c r="U764" s="24"/>
      <c r="V764" s="24"/>
      <c r="W764" s="24"/>
      <c r="X764" s="24"/>
      <c r="Y764" s="24"/>
      <c r="Z764" s="24"/>
    </row>
    <row r="765">
      <c r="A765" s="23" t="s">
        <v>1141</v>
      </c>
      <c r="B765" s="23" t="s">
        <v>471</v>
      </c>
      <c r="C765" s="23" t="s">
        <v>57</v>
      </c>
      <c r="D765" s="23">
        <v>9.0</v>
      </c>
      <c r="E765" s="24"/>
      <c r="F765" s="24"/>
      <c r="G765" s="24"/>
      <c r="H765" s="23" t="s">
        <v>1104</v>
      </c>
      <c r="I765" s="24"/>
      <c r="J765" s="25"/>
      <c r="K765" s="24"/>
      <c r="L765" s="24"/>
      <c r="M765" s="24"/>
      <c r="N765" s="24"/>
      <c r="O765" s="24"/>
      <c r="P765" s="24"/>
      <c r="Q765" s="24"/>
      <c r="R765" s="24"/>
      <c r="S765" s="24"/>
      <c r="T765" s="24"/>
      <c r="U765" s="24"/>
      <c r="V765" s="24"/>
      <c r="W765" s="24"/>
      <c r="X765" s="24"/>
      <c r="Y765" s="24"/>
      <c r="Z765" s="24"/>
    </row>
    <row r="766">
      <c r="A766" s="23" t="s">
        <v>819</v>
      </c>
      <c r="B766" s="23" t="s">
        <v>434</v>
      </c>
      <c r="C766" s="23" t="s">
        <v>95</v>
      </c>
      <c r="D766" s="23">
        <v>9.0</v>
      </c>
      <c r="E766" s="24"/>
      <c r="F766" s="24"/>
      <c r="G766" s="24"/>
      <c r="H766" s="23" t="s">
        <v>1104</v>
      </c>
      <c r="I766" s="24"/>
      <c r="J766" s="25"/>
      <c r="K766" s="24"/>
      <c r="L766" s="24"/>
      <c r="M766" s="24"/>
      <c r="N766" s="24"/>
      <c r="O766" s="24"/>
      <c r="P766" s="24"/>
      <c r="Q766" s="24"/>
      <c r="R766" s="24"/>
      <c r="S766" s="24"/>
      <c r="T766" s="24"/>
      <c r="U766" s="24"/>
      <c r="V766" s="24"/>
      <c r="W766" s="24"/>
      <c r="X766" s="24"/>
      <c r="Y766" s="24"/>
      <c r="Z766" s="24"/>
    </row>
    <row r="767">
      <c r="A767" s="23" t="s">
        <v>723</v>
      </c>
      <c r="B767" s="23" t="s">
        <v>1142</v>
      </c>
      <c r="C767" s="23" t="s">
        <v>66</v>
      </c>
      <c r="D767" s="23">
        <v>10.0</v>
      </c>
      <c r="E767" s="24"/>
      <c r="F767" s="24"/>
      <c r="G767" s="24"/>
      <c r="H767" s="23" t="s">
        <v>1104</v>
      </c>
      <c r="I767" s="24"/>
      <c r="J767" s="25"/>
      <c r="K767" s="24"/>
      <c r="L767" s="24"/>
      <c r="M767" s="24"/>
      <c r="N767" s="24"/>
      <c r="O767" s="24"/>
      <c r="P767" s="24"/>
      <c r="Q767" s="24"/>
      <c r="R767" s="24"/>
      <c r="S767" s="24"/>
      <c r="T767" s="24"/>
      <c r="U767" s="24"/>
      <c r="V767" s="24"/>
      <c r="W767" s="24"/>
      <c r="X767" s="24"/>
      <c r="Y767" s="24"/>
      <c r="Z767" s="24"/>
    </row>
    <row r="768">
      <c r="A768" s="23" t="s">
        <v>706</v>
      </c>
      <c r="B768" s="23" t="s">
        <v>1143</v>
      </c>
      <c r="C768" s="23" t="s">
        <v>51</v>
      </c>
      <c r="D768" s="23">
        <v>10.0</v>
      </c>
      <c r="E768" s="24"/>
      <c r="F768" s="24"/>
      <c r="G768" s="24"/>
      <c r="H768" s="23" t="s">
        <v>1104</v>
      </c>
      <c r="I768" s="23"/>
      <c r="J768" s="25"/>
      <c r="K768" s="24"/>
      <c r="L768" s="24"/>
      <c r="M768" s="24"/>
      <c r="N768" s="24"/>
      <c r="O768" s="24"/>
      <c r="P768" s="24"/>
      <c r="Q768" s="24"/>
      <c r="R768" s="24"/>
      <c r="S768" s="24"/>
      <c r="T768" s="24"/>
      <c r="U768" s="24"/>
      <c r="V768" s="24"/>
      <c r="W768" s="24"/>
      <c r="X768" s="24"/>
      <c r="Y768" s="24"/>
      <c r="Z768" s="24"/>
    </row>
    <row r="769">
      <c r="A769" s="23" t="s">
        <v>1144</v>
      </c>
      <c r="B769" s="23" t="s">
        <v>1145</v>
      </c>
      <c r="C769" s="23" t="s">
        <v>51</v>
      </c>
      <c r="D769" s="23">
        <v>7.0</v>
      </c>
      <c r="E769" s="24"/>
      <c r="F769" s="24"/>
      <c r="G769" s="24"/>
      <c r="H769" s="23" t="s">
        <v>1104</v>
      </c>
      <c r="I769" s="24"/>
      <c r="J769" s="25"/>
      <c r="K769" s="24"/>
      <c r="L769" s="24"/>
      <c r="M769" s="24"/>
      <c r="N769" s="24"/>
      <c r="O769" s="24"/>
      <c r="P769" s="24"/>
      <c r="Q769" s="24"/>
      <c r="R769" s="24"/>
      <c r="S769" s="24"/>
      <c r="T769" s="24"/>
      <c r="U769" s="24"/>
      <c r="V769" s="24"/>
      <c r="W769" s="24"/>
      <c r="X769" s="24"/>
      <c r="Y769" s="24"/>
      <c r="Z769" s="24"/>
    </row>
    <row r="770">
      <c r="A770" s="23" t="s">
        <v>532</v>
      </c>
      <c r="B770" s="23" t="s">
        <v>1146</v>
      </c>
      <c r="C770" s="23">
        <v>0.0</v>
      </c>
      <c r="D770" s="23">
        <v>3.0</v>
      </c>
      <c r="E770" s="24"/>
      <c r="F770" s="24"/>
      <c r="G770" s="24"/>
      <c r="H770" s="23" t="s">
        <v>1104</v>
      </c>
      <c r="I770" s="23"/>
      <c r="J770" s="25"/>
      <c r="K770" s="24"/>
      <c r="L770" s="24"/>
      <c r="M770" s="24"/>
      <c r="N770" s="24"/>
      <c r="O770" s="24"/>
      <c r="P770" s="24"/>
      <c r="Q770" s="24"/>
      <c r="R770" s="24"/>
      <c r="S770" s="24"/>
      <c r="T770" s="24"/>
      <c r="U770" s="24"/>
      <c r="V770" s="24"/>
      <c r="W770" s="24"/>
      <c r="X770" s="24"/>
      <c r="Y770" s="24"/>
      <c r="Z770" s="24"/>
    </row>
    <row r="771">
      <c r="A771" s="23" t="s">
        <v>263</v>
      </c>
      <c r="B771" s="23" t="s">
        <v>1147</v>
      </c>
      <c r="C771" s="23" t="s">
        <v>51</v>
      </c>
      <c r="D771" s="23">
        <v>7.0</v>
      </c>
      <c r="E771" s="24"/>
      <c r="F771" s="24"/>
      <c r="G771" s="24"/>
      <c r="H771" s="23" t="s">
        <v>1104</v>
      </c>
      <c r="I771" s="24"/>
      <c r="J771" s="25"/>
      <c r="K771" s="24"/>
      <c r="L771" s="24"/>
      <c r="M771" s="24"/>
      <c r="N771" s="24"/>
      <c r="O771" s="24"/>
      <c r="P771" s="24"/>
      <c r="Q771" s="24"/>
      <c r="R771" s="24"/>
      <c r="S771" s="24"/>
      <c r="T771" s="24"/>
      <c r="U771" s="24"/>
      <c r="V771" s="24"/>
      <c r="W771" s="24"/>
      <c r="X771" s="24"/>
      <c r="Y771" s="24"/>
      <c r="Z771" s="24"/>
    </row>
    <row r="772">
      <c r="A772" s="23" t="s">
        <v>1148</v>
      </c>
      <c r="B772" s="23" t="s">
        <v>1149</v>
      </c>
      <c r="C772" s="23" t="s">
        <v>57</v>
      </c>
      <c r="D772" s="23">
        <v>7.0</v>
      </c>
      <c r="E772" s="24"/>
      <c r="F772" s="24"/>
      <c r="G772" s="24"/>
      <c r="H772" s="23" t="s">
        <v>1104</v>
      </c>
      <c r="I772" s="24"/>
      <c r="J772" s="25"/>
      <c r="K772" s="24"/>
      <c r="L772" s="24"/>
      <c r="M772" s="24"/>
      <c r="N772" s="24"/>
      <c r="O772" s="24"/>
      <c r="P772" s="24"/>
      <c r="Q772" s="24"/>
      <c r="R772" s="24"/>
      <c r="S772" s="24"/>
      <c r="T772" s="24"/>
      <c r="U772" s="24"/>
      <c r="V772" s="24"/>
      <c r="W772" s="24"/>
      <c r="X772" s="24"/>
      <c r="Y772" s="24"/>
      <c r="Z772" s="24"/>
    </row>
    <row r="773">
      <c r="A773" s="23" t="s">
        <v>1150</v>
      </c>
      <c r="B773" s="23" t="s">
        <v>1151</v>
      </c>
      <c r="C773" s="23">
        <v>2.0</v>
      </c>
      <c r="D773" s="23">
        <v>10.0</v>
      </c>
      <c r="E773" s="24"/>
      <c r="F773" s="24"/>
      <c r="G773" s="24"/>
      <c r="H773" s="23" t="s">
        <v>1104</v>
      </c>
      <c r="I773" s="24"/>
      <c r="J773" s="25"/>
      <c r="K773" s="24"/>
      <c r="L773" s="24"/>
      <c r="M773" s="24"/>
      <c r="N773" s="24"/>
      <c r="O773" s="24"/>
      <c r="P773" s="24"/>
      <c r="Q773" s="24"/>
      <c r="R773" s="24"/>
      <c r="S773" s="24"/>
      <c r="T773" s="24"/>
      <c r="U773" s="24"/>
      <c r="V773" s="24"/>
      <c r="W773" s="24"/>
      <c r="X773" s="24"/>
      <c r="Y773" s="24"/>
      <c r="Z773" s="24"/>
    </row>
    <row r="774">
      <c r="A774" s="23" t="s">
        <v>1152</v>
      </c>
      <c r="B774" s="23" t="s">
        <v>1153</v>
      </c>
      <c r="C774" s="23" t="s">
        <v>51</v>
      </c>
      <c r="D774" s="23">
        <v>7.0</v>
      </c>
      <c r="E774" s="24"/>
      <c r="F774" s="24"/>
      <c r="G774" s="24"/>
      <c r="H774" s="23" t="s">
        <v>1104</v>
      </c>
      <c r="I774" s="24"/>
      <c r="J774" s="25"/>
      <c r="K774" s="24"/>
      <c r="L774" s="24"/>
      <c r="M774" s="24"/>
      <c r="N774" s="24"/>
      <c r="O774" s="24"/>
      <c r="P774" s="24"/>
      <c r="Q774" s="24"/>
      <c r="R774" s="24"/>
      <c r="S774" s="24"/>
      <c r="T774" s="24"/>
      <c r="U774" s="24"/>
      <c r="V774" s="24"/>
      <c r="W774" s="24"/>
      <c r="X774" s="24"/>
      <c r="Y774" s="24"/>
      <c r="Z774" s="24"/>
    </row>
    <row r="775">
      <c r="A775" s="23" t="s">
        <v>640</v>
      </c>
      <c r="B775" s="23" t="s">
        <v>1154</v>
      </c>
      <c r="C775" s="23" t="s">
        <v>1155</v>
      </c>
      <c r="D775" s="23">
        <v>7.0</v>
      </c>
      <c r="E775" s="24"/>
      <c r="F775" s="24"/>
      <c r="G775" s="24"/>
      <c r="H775" s="23" t="s">
        <v>1104</v>
      </c>
      <c r="I775" s="24"/>
      <c r="J775" s="25"/>
      <c r="K775" s="24"/>
      <c r="L775" s="24"/>
      <c r="M775" s="24"/>
      <c r="N775" s="24"/>
      <c r="O775" s="24"/>
      <c r="P775" s="24"/>
      <c r="Q775" s="24"/>
      <c r="R775" s="24"/>
      <c r="S775" s="24"/>
      <c r="T775" s="24"/>
      <c r="U775" s="24"/>
      <c r="V775" s="24"/>
      <c r="W775" s="24"/>
      <c r="X775" s="24"/>
      <c r="Y775" s="24"/>
      <c r="Z775" s="24"/>
    </row>
    <row r="776">
      <c r="A776" s="23" t="s">
        <v>1094</v>
      </c>
      <c r="B776" s="23" t="s">
        <v>1156</v>
      </c>
      <c r="C776" s="23" t="s">
        <v>51</v>
      </c>
      <c r="D776" s="23"/>
      <c r="E776" s="24"/>
      <c r="F776" s="24"/>
      <c r="G776" s="24"/>
      <c r="H776" s="23" t="s">
        <v>1104</v>
      </c>
      <c r="I776" s="24"/>
      <c r="J776" s="25"/>
      <c r="K776" s="24"/>
      <c r="L776" s="24"/>
      <c r="M776" s="24"/>
      <c r="N776" s="24"/>
      <c r="O776" s="24"/>
      <c r="P776" s="24"/>
      <c r="Q776" s="24"/>
      <c r="R776" s="24"/>
      <c r="S776" s="24"/>
      <c r="T776" s="24"/>
      <c r="U776" s="24"/>
      <c r="V776" s="24"/>
      <c r="W776" s="24"/>
      <c r="X776" s="24"/>
      <c r="Y776" s="24"/>
      <c r="Z776" s="24"/>
    </row>
    <row r="777">
      <c r="A777" s="23" t="s">
        <v>197</v>
      </c>
      <c r="B777" s="23" t="s">
        <v>1157</v>
      </c>
      <c r="C777" s="23" t="s">
        <v>66</v>
      </c>
      <c r="D777" s="23">
        <v>7.0</v>
      </c>
      <c r="E777" s="24"/>
      <c r="F777" s="24"/>
      <c r="G777" s="24"/>
      <c r="H777" s="23" t="s">
        <v>1104</v>
      </c>
      <c r="I777" s="24"/>
      <c r="J777" s="25"/>
      <c r="K777" s="24"/>
      <c r="L777" s="24"/>
      <c r="M777" s="24"/>
      <c r="N777" s="24"/>
      <c r="O777" s="24"/>
      <c r="P777" s="24"/>
      <c r="Q777" s="24"/>
      <c r="R777" s="24"/>
      <c r="S777" s="24"/>
      <c r="T777" s="24"/>
      <c r="U777" s="24"/>
      <c r="V777" s="24"/>
      <c r="W777" s="24"/>
      <c r="X777" s="24"/>
      <c r="Y777" s="24"/>
      <c r="Z777" s="24"/>
    </row>
    <row r="778">
      <c r="A778" s="23" t="s">
        <v>1158</v>
      </c>
      <c r="B778" s="23" t="s">
        <v>1159</v>
      </c>
      <c r="C778" s="23" t="s">
        <v>51</v>
      </c>
      <c r="D778" s="23">
        <v>7.5</v>
      </c>
      <c r="E778" s="24"/>
      <c r="F778" s="24"/>
      <c r="G778" s="24"/>
      <c r="H778" s="23" t="s">
        <v>1104</v>
      </c>
      <c r="I778" s="24"/>
      <c r="J778" s="25"/>
      <c r="K778" s="24"/>
      <c r="L778" s="24"/>
      <c r="M778" s="24"/>
      <c r="N778" s="24"/>
      <c r="O778" s="24"/>
      <c r="P778" s="24"/>
      <c r="Q778" s="24"/>
      <c r="R778" s="24"/>
      <c r="S778" s="24"/>
      <c r="T778" s="24"/>
      <c r="U778" s="24"/>
      <c r="V778" s="24"/>
      <c r="W778" s="24"/>
      <c r="X778" s="24"/>
      <c r="Y778" s="24"/>
      <c r="Z778" s="24"/>
    </row>
    <row r="779">
      <c r="A779" s="23" t="s">
        <v>723</v>
      </c>
      <c r="B779" s="23" t="s">
        <v>1160</v>
      </c>
      <c r="C779" s="23">
        <v>0.0</v>
      </c>
      <c r="D779" s="23">
        <v>6.9</v>
      </c>
      <c r="E779" s="24"/>
      <c r="F779" s="24"/>
      <c r="G779" s="24"/>
      <c r="H779" s="23" t="s">
        <v>1104</v>
      </c>
      <c r="I779" s="23"/>
      <c r="J779" s="25"/>
      <c r="K779" s="24"/>
      <c r="L779" s="24"/>
      <c r="M779" s="24"/>
      <c r="N779" s="24"/>
      <c r="O779" s="24"/>
      <c r="P779" s="24"/>
      <c r="Q779" s="24"/>
      <c r="R779" s="24"/>
      <c r="S779" s="24"/>
      <c r="T779" s="24"/>
      <c r="U779" s="24"/>
      <c r="V779" s="24"/>
      <c r="W779" s="24"/>
      <c r="X779" s="24"/>
      <c r="Y779" s="24"/>
      <c r="Z779" s="24"/>
    </row>
    <row r="780">
      <c r="A780" s="23" t="s">
        <v>1161</v>
      </c>
      <c r="B780" s="23" t="s">
        <v>1162</v>
      </c>
      <c r="C780" s="23" t="s">
        <v>57</v>
      </c>
      <c r="D780" s="23">
        <v>7.0</v>
      </c>
      <c r="E780" s="24"/>
      <c r="F780" s="24"/>
      <c r="G780" s="24"/>
      <c r="H780" s="23" t="s">
        <v>1104</v>
      </c>
      <c r="I780" s="24"/>
      <c r="J780" s="25"/>
      <c r="K780" s="24"/>
      <c r="L780" s="24"/>
      <c r="M780" s="24"/>
      <c r="N780" s="24"/>
      <c r="O780" s="24"/>
      <c r="P780" s="24"/>
      <c r="Q780" s="24"/>
      <c r="R780" s="24"/>
      <c r="S780" s="24"/>
      <c r="T780" s="24"/>
      <c r="U780" s="24"/>
      <c r="V780" s="24"/>
      <c r="W780" s="24"/>
      <c r="X780" s="24"/>
      <c r="Y780" s="24"/>
      <c r="Z780" s="24"/>
    </row>
    <row r="781">
      <c r="A781" s="23" t="s">
        <v>1135</v>
      </c>
      <c r="B781" s="23" t="s">
        <v>1163</v>
      </c>
      <c r="C781" s="23" t="s">
        <v>628</v>
      </c>
      <c r="D781" s="23"/>
      <c r="E781" s="24"/>
      <c r="F781" s="24"/>
      <c r="G781" s="24"/>
      <c r="H781" s="23" t="s">
        <v>1104</v>
      </c>
      <c r="I781" s="24"/>
      <c r="J781" s="25"/>
      <c r="K781" s="24"/>
      <c r="L781" s="24"/>
      <c r="M781" s="24"/>
      <c r="N781" s="24"/>
      <c r="O781" s="24"/>
      <c r="P781" s="24"/>
      <c r="Q781" s="24"/>
      <c r="R781" s="24"/>
      <c r="S781" s="24"/>
      <c r="T781" s="24"/>
      <c r="U781" s="24"/>
      <c r="V781" s="24"/>
      <c r="W781" s="24"/>
      <c r="X781" s="24"/>
      <c r="Y781" s="24"/>
      <c r="Z781" s="24"/>
    </row>
    <row r="782">
      <c r="A782" s="23" t="s">
        <v>1164</v>
      </c>
      <c r="B782" s="23" t="s">
        <v>1165</v>
      </c>
      <c r="C782" s="23" t="s">
        <v>51</v>
      </c>
      <c r="D782" s="23"/>
      <c r="E782" s="24"/>
      <c r="F782" s="24"/>
      <c r="G782" s="24"/>
      <c r="H782" s="23" t="s">
        <v>1104</v>
      </c>
      <c r="I782" s="24"/>
      <c r="J782" s="25"/>
      <c r="K782" s="24"/>
      <c r="L782" s="24"/>
      <c r="M782" s="24"/>
      <c r="N782" s="24"/>
      <c r="O782" s="24"/>
      <c r="P782" s="24"/>
      <c r="Q782" s="24"/>
      <c r="R782" s="24"/>
      <c r="S782" s="24"/>
      <c r="T782" s="24"/>
      <c r="U782" s="24"/>
      <c r="V782" s="24"/>
      <c r="W782" s="24"/>
      <c r="X782" s="24"/>
      <c r="Y782" s="24"/>
      <c r="Z782" s="24"/>
    </row>
    <row r="783">
      <c r="A783" s="23" t="s">
        <v>1166</v>
      </c>
      <c r="B783" s="23" t="s">
        <v>1167</v>
      </c>
      <c r="C783" s="23" t="s">
        <v>95</v>
      </c>
      <c r="D783" s="23">
        <v>3.0</v>
      </c>
      <c r="E783" s="24"/>
      <c r="F783" s="24"/>
      <c r="G783" s="24"/>
      <c r="H783" s="23" t="s">
        <v>1104</v>
      </c>
      <c r="I783" s="23"/>
      <c r="J783" s="25"/>
      <c r="K783" s="24"/>
      <c r="L783" s="24"/>
      <c r="M783" s="24"/>
      <c r="N783" s="24"/>
      <c r="O783" s="24"/>
      <c r="P783" s="24"/>
      <c r="Q783" s="24"/>
      <c r="R783" s="24"/>
      <c r="S783" s="24"/>
      <c r="T783" s="24"/>
      <c r="U783" s="24"/>
      <c r="V783" s="24"/>
      <c r="W783" s="24"/>
      <c r="X783" s="24"/>
      <c r="Y783" s="24"/>
      <c r="Z783" s="24"/>
    </row>
    <row r="784">
      <c r="A784" s="23" t="s">
        <v>197</v>
      </c>
      <c r="B784" s="23" t="s">
        <v>1168</v>
      </c>
      <c r="C784" s="23" t="s">
        <v>51</v>
      </c>
      <c r="D784" s="23">
        <v>13.0</v>
      </c>
      <c r="E784" s="24"/>
      <c r="F784" s="24"/>
      <c r="G784" s="24"/>
      <c r="H784" s="23" t="s">
        <v>1104</v>
      </c>
      <c r="I784" s="23"/>
      <c r="J784" s="25"/>
      <c r="K784" s="24"/>
      <c r="L784" s="24"/>
      <c r="M784" s="24"/>
      <c r="N784" s="24"/>
      <c r="O784" s="24"/>
      <c r="P784" s="24"/>
      <c r="Q784" s="24"/>
      <c r="R784" s="24"/>
      <c r="S784" s="24"/>
      <c r="T784" s="24"/>
      <c r="U784" s="24"/>
      <c r="V784" s="24"/>
      <c r="W784" s="24"/>
      <c r="X784" s="24"/>
      <c r="Y784" s="24"/>
      <c r="Z784" s="24"/>
    </row>
    <row r="785">
      <c r="A785" s="23" t="s">
        <v>1169</v>
      </c>
      <c r="B785" s="23" t="s">
        <v>1170</v>
      </c>
      <c r="C785" s="23" t="s">
        <v>481</v>
      </c>
      <c r="D785" s="23">
        <v>5.0</v>
      </c>
      <c r="E785" s="24"/>
      <c r="F785" s="24"/>
      <c r="G785" s="24"/>
      <c r="H785" s="23" t="s">
        <v>1104</v>
      </c>
      <c r="I785" s="24"/>
      <c r="J785" s="25"/>
      <c r="K785" s="24"/>
      <c r="L785" s="24"/>
      <c r="M785" s="24"/>
      <c r="N785" s="24"/>
      <c r="O785" s="24"/>
      <c r="P785" s="24"/>
      <c r="Q785" s="24"/>
      <c r="R785" s="24"/>
      <c r="S785" s="24"/>
      <c r="T785" s="24"/>
      <c r="U785" s="24"/>
      <c r="V785" s="24"/>
      <c r="W785" s="24"/>
      <c r="X785" s="24"/>
      <c r="Y785" s="24"/>
      <c r="Z785" s="24"/>
    </row>
    <row r="786">
      <c r="A786" s="23" t="s">
        <v>1171</v>
      </c>
      <c r="B786" s="23" t="s">
        <v>1172</v>
      </c>
      <c r="C786" s="23" t="s">
        <v>51</v>
      </c>
      <c r="D786" s="23">
        <v>7.0</v>
      </c>
      <c r="E786" s="24"/>
      <c r="F786" s="24"/>
      <c r="G786" s="24"/>
      <c r="H786" s="23" t="s">
        <v>1104</v>
      </c>
      <c r="I786" s="23"/>
      <c r="J786" s="25"/>
      <c r="K786" s="24"/>
      <c r="L786" s="24"/>
      <c r="M786" s="24"/>
      <c r="N786" s="24"/>
      <c r="O786" s="24"/>
      <c r="P786" s="24"/>
      <c r="Q786" s="24"/>
      <c r="R786" s="24"/>
      <c r="S786" s="24"/>
      <c r="T786" s="24"/>
      <c r="U786" s="24"/>
      <c r="V786" s="24"/>
      <c r="W786" s="24"/>
      <c r="X786" s="24"/>
      <c r="Y786" s="24"/>
      <c r="Z786" s="24"/>
    </row>
    <row r="787">
      <c r="A787" s="23" t="s">
        <v>987</v>
      </c>
      <c r="B787" s="23" t="s">
        <v>1173</v>
      </c>
      <c r="C787" s="23" t="s">
        <v>57</v>
      </c>
      <c r="D787" s="23">
        <v>7.0</v>
      </c>
      <c r="E787" s="24"/>
      <c r="F787" s="24"/>
      <c r="G787" s="24"/>
      <c r="H787" s="23" t="s">
        <v>1104</v>
      </c>
      <c r="I787" s="24"/>
      <c r="J787" s="25"/>
      <c r="K787" s="24"/>
      <c r="L787" s="24"/>
      <c r="M787" s="24"/>
      <c r="N787" s="24"/>
      <c r="O787" s="24"/>
      <c r="P787" s="24"/>
      <c r="Q787" s="24"/>
      <c r="R787" s="24"/>
      <c r="S787" s="24"/>
      <c r="T787" s="24"/>
      <c r="U787" s="24"/>
      <c r="V787" s="24"/>
      <c r="W787" s="24"/>
      <c r="X787" s="24"/>
      <c r="Y787" s="24"/>
      <c r="Z787" s="24"/>
    </row>
    <row r="788">
      <c r="A788" s="23" t="s">
        <v>1174</v>
      </c>
      <c r="B788" s="23" t="s">
        <v>1175</v>
      </c>
      <c r="C788" s="23" t="s">
        <v>51</v>
      </c>
      <c r="D788" s="23">
        <v>10.0</v>
      </c>
      <c r="E788" s="24"/>
      <c r="F788" s="24"/>
      <c r="G788" s="24"/>
      <c r="H788" s="23" t="s">
        <v>1104</v>
      </c>
      <c r="I788" s="24"/>
      <c r="J788" s="25"/>
      <c r="K788" s="24"/>
      <c r="L788" s="24"/>
      <c r="M788" s="24"/>
      <c r="N788" s="24"/>
      <c r="O788" s="24"/>
      <c r="P788" s="24"/>
      <c r="Q788" s="24"/>
      <c r="R788" s="24"/>
      <c r="S788" s="24"/>
      <c r="T788" s="24"/>
      <c r="U788" s="24"/>
      <c r="V788" s="24"/>
      <c r="W788" s="24"/>
      <c r="X788" s="24"/>
      <c r="Y788" s="24"/>
      <c r="Z788" s="24"/>
    </row>
    <row r="789">
      <c r="A789" s="23" t="s">
        <v>1176</v>
      </c>
      <c r="B789" s="23" t="s">
        <v>1177</v>
      </c>
      <c r="C789" s="23" t="s">
        <v>51</v>
      </c>
      <c r="D789" s="23">
        <v>7.0</v>
      </c>
      <c r="E789" s="24"/>
      <c r="F789" s="24"/>
      <c r="G789" s="24"/>
      <c r="H789" s="23" t="s">
        <v>1104</v>
      </c>
      <c r="I789" s="24"/>
      <c r="J789" s="25"/>
      <c r="K789" s="24"/>
      <c r="L789" s="24"/>
      <c r="M789" s="24"/>
      <c r="N789" s="24"/>
      <c r="O789" s="24"/>
      <c r="P789" s="24"/>
      <c r="Q789" s="24"/>
      <c r="R789" s="24"/>
      <c r="S789" s="24"/>
      <c r="T789" s="24"/>
      <c r="U789" s="24"/>
      <c r="V789" s="24"/>
      <c r="W789" s="24"/>
      <c r="X789" s="24"/>
      <c r="Y789" s="24"/>
      <c r="Z789" s="24"/>
    </row>
    <row r="790">
      <c r="A790" s="23" t="s">
        <v>349</v>
      </c>
      <c r="B790" s="23" t="s">
        <v>1178</v>
      </c>
      <c r="C790" s="23" t="s">
        <v>51</v>
      </c>
      <c r="D790" s="23">
        <v>5.5</v>
      </c>
      <c r="E790" s="24"/>
      <c r="F790" s="24"/>
      <c r="G790" s="24"/>
      <c r="H790" s="23" t="s">
        <v>1104</v>
      </c>
      <c r="I790" s="24"/>
      <c r="J790" s="25"/>
      <c r="K790" s="24"/>
      <c r="L790" s="24"/>
      <c r="M790" s="24"/>
      <c r="N790" s="24"/>
      <c r="O790" s="24"/>
      <c r="P790" s="24"/>
      <c r="Q790" s="24"/>
      <c r="R790" s="24"/>
      <c r="S790" s="24"/>
      <c r="T790" s="24"/>
      <c r="U790" s="24"/>
      <c r="V790" s="24"/>
      <c r="W790" s="24"/>
      <c r="X790" s="24"/>
      <c r="Y790" s="24"/>
      <c r="Z790" s="24"/>
    </row>
    <row r="791">
      <c r="A791" s="23" t="s">
        <v>105</v>
      </c>
      <c r="B791" s="23" t="s">
        <v>1179</v>
      </c>
      <c r="C791" s="23" t="s">
        <v>481</v>
      </c>
      <c r="D791" s="23">
        <v>7.5</v>
      </c>
      <c r="E791" s="24"/>
      <c r="F791" s="24"/>
      <c r="G791" s="24"/>
      <c r="H791" s="23" t="s">
        <v>1104</v>
      </c>
      <c r="I791" s="23"/>
      <c r="J791" s="25"/>
      <c r="K791" s="24"/>
      <c r="L791" s="24"/>
      <c r="M791" s="24"/>
      <c r="N791" s="24"/>
      <c r="O791" s="24"/>
      <c r="P791" s="24"/>
      <c r="Q791" s="24"/>
      <c r="R791" s="24"/>
      <c r="S791" s="24"/>
      <c r="T791" s="24"/>
      <c r="U791" s="24"/>
      <c r="V791" s="24"/>
      <c r="W791" s="24"/>
      <c r="X791" s="24"/>
      <c r="Y791" s="24"/>
      <c r="Z791" s="24"/>
    </row>
    <row r="792">
      <c r="A792" s="23" t="s">
        <v>1180</v>
      </c>
      <c r="B792" s="23" t="s">
        <v>106</v>
      </c>
      <c r="C792" s="23">
        <v>10.0</v>
      </c>
      <c r="D792" s="23">
        <v>7.3</v>
      </c>
      <c r="E792" s="24"/>
      <c r="F792" s="24"/>
      <c r="G792" s="24"/>
      <c r="H792" s="23" t="s">
        <v>1104</v>
      </c>
      <c r="I792" s="24"/>
      <c r="J792" s="25"/>
      <c r="K792" s="24"/>
      <c r="L792" s="24"/>
      <c r="M792" s="24"/>
      <c r="N792" s="24"/>
      <c r="O792" s="24"/>
      <c r="P792" s="24"/>
      <c r="Q792" s="24"/>
      <c r="R792" s="24"/>
      <c r="S792" s="24"/>
      <c r="T792" s="24"/>
      <c r="U792" s="24"/>
      <c r="V792" s="24"/>
      <c r="W792" s="24"/>
      <c r="X792" s="24"/>
      <c r="Y792" s="24"/>
      <c r="Z792" s="24"/>
    </row>
    <row r="793">
      <c r="A793" s="23" t="s">
        <v>137</v>
      </c>
      <c r="B793" s="23" t="s">
        <v>790</v>
      </c>
      <c r="C793" s="23" t="s">
        <v>66</v>
      </c>
      <c r="D793" s="23">
        <v>4.3</v>
      </c>
      <c r="E793" s="24"/>
      <c r="F793" s="24"/>
      <c r="G793" s="24"/>
      <c r="H793" s="23" t="s">
        <v>1104</v>
      </c>
      <c r="I793" s="24"/>
      <c r="J793" s="25"/>
      <c r="K793" s="24"/>
      <c r="L793" s="24"/>
      <c r="M793" s="24"/>
      <c r="N793" s="24"/>
      <c r="O793" s="24"/>
      <c r="P793" s="24"/>
      <c r="Q793" s="24"/>
      <c r="R793" s="24"/>
      <c r="S793" s="24"/>
      <c r="T793" s="24"/>
      <c r="U793" s="24"/>
      <c r="V793" s="24"/>
      <c r="W793" s="24"/>
      <c r="X793" s="24"/>
      <c r="Y793" s="24"/>
      <c r="Z793" s="24"/>
    </row>
    <row r="794">
      <c r="A794" s="23" t="s">
        <v>1181</v>
      </c>
      <c r="B794" s="23" t="s">
        <v>1182</v>
      </c>
      <c r="C794" s="23" t="s">
        <v>95</v>
      </c>
      <c r="D794" s="23">
        <v>5.0</v>
      </c>
      <c r="E794" s="24"/>
      <c r="F794" s="24"/>
      <c r="G794" s="24"/>
      <c r="H794" s="23" t="s">
        <v>1104</v>
      </c>
      <c r="I794" s="24"/>
      <c r="J794" s="25"/>
      <c r="K794" s="24"/>
      <c r="L794" s="24"/>
      <c r="M794" s="24"/>
      <c r="N794" s="24"/>
      <c r="O794" s="24"/>
      <c r="P794" s="24"/>
      <c r="Q794" s="24"/>
      <c r="R794" s="24"/>
      <c r="S794" s="24"/>
      <c r="T794" s="24"/>
      <c r="U794" s="24"/>
      <c r="V794" s="24"/>
      <c r="W794" s="24"/>
      <c r="X794" s="24"/>
      <c r="Y794" s="24"/>
      <c r="Z794" s="24"/>
    </row>
    <row r="795">
      <c r="A795" s="23" t="s">
        <v>195</v>
      </c>
      <c r="B795" s="23" t="s">
        <v>1183</v>
      </c>
      <c r="C795" s="23">
        <v>1.0</v>
      </c>
      <c r="D795" s="23">
        <v>3.0</v>
      </c>
      <c r="E795" s="24"/>
      <c r="F795" s="24"/>
      <c r="G795" s="24"/>
      <c r="H795" s="23" t="s">
        <v>1104</v>
      </c>
      <c r="I795" s="24"/>
      <c r="J795" s="25"/>
      <c r="K795" s="24"/>
      <c r="L795" s="24"/>
      <c r="M795" s="24"/>
      <c r="N795" s="24"/>
      <c r="O795" s="24"/>
      <c r="P795" s="24"/>
      <c r="Q795" s="24"/>
      <c r="R795" s="24"/>
      <c r="S795" s="24"/>
      <c r="T795" s="24"/>
      <c r="U795" s="24"/>
      <c r="V795" s="24"/>
      <c r="W795" s="24"/>
      <c r="X795" s="24"/>
      <c r="Y795" s="24"/>
      <c r="Z795" s="24"/>
    </row>
    <row r="796">
      <c r="A796" s="23" t="s">
        <v>1184</v>
      </c>
      <c r="B796" s="23" t="s">
        <v>188</v>
      </c>
      <c r="C796" s="23">
        <v>6.0</v>
      </c>
      <c r="D796" s="23">
        <v>7.5</v>
      </c>
      <c r="E796" s="24"/>
      <c r="F796" s="24"/>
      <c r="G796" s="24"/>
      <c r="H796" s="23" t="s">
        <v>1104</v>
      </c>
      <c r="I796" s="24"/>
      <c r="J796" s="25"/>
      <c r="K796" s="24"/>
      <c r="L796" s="24"/>
      <c r="M796" s="24"/>
      <c r="N796" s="24"/>
      <c r="O796" s="24"/>
      <c r="P796" s="24"/>
      <c r="Q796" s="24"/>
      <c r="R796" s="24"/>
      <c r="S796" s="24"/>
      <c r="T796" s="24"/>
      <c r="U796" s="24"/>
      <c r="V796" s="24"/>
      <c r="W796" s="24"/>
      <c r="X796" s="24"/>
      <c r="Y796" s="24"/>
      <c r="Z796" s="24"/>
    </row>
    <row r="797">
      <c r="A797" s="23" t="s">
        <v>1185</v>
      </c>
      <c r="B797" s="23" t="s">
        <v>1186</v>
      </c>
      <c r="C797" s="23" t="s">
        <v>51</v>
      </c>
      <c r="D797" s="23">
        <v>8.5</v>
      </c>
      <c r="E797" s="24"/>
      <c r="F797" s="24"/>
      <c r="G797" s="24"/>
      <c r="H797" s="23" t="s">
        <v>1104</v>
      </c>
      <c r="I797" s="24"/>
      <c r="J797" s="25"/>
      <c r="K797" s="24"/>
      <c r="L797" s="24"/>
      <c r="M797" s="24"/>
      <c r="N797" s="24"/>
      <c r="O797" s="24"/>
      <c r="P797" s="24"/>
      <c r="Q797" s="24"/>
      <c r="R797" s="24"/>
      <c r="S797" s="24"/>
      <c r="T797" s="24"/>
      <c r="U797" s="24"/>
      <c r="V797" s="24"/>
      <c r="W797" s="24"/>
      <c r="X797" s="24"/>
      <c r="Y797" s="24"/>
      <c r="Z797" s="24"/>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row r="904">
      <c r="J904" s="6"/>
    </row>
    <row r="905">
      <c r="J905" s="6"/>
    </row>
    <row r="906">
      <c r="J906" s="6"/>
    </row>
    <row r="907">
      <c r="J907" s="6"/>
    </row>
    <row r="908">
      <c r="J908" s="6"/>
    </row>
    <row r="909">
      <c r="J909" s="6"/>
    </row>
    <row r="910">
      <c r="J910" s="6"/>
    </row>
    <row r="911">
      <c r="J911" s="6"/>
    </row>
    <row r="912">
      <c r="J912" s="6"/>
    </row>
    <row r="913">
      <c r="J913" s="6"/>
    </row>
    <row r="914">
      <c r="J914" s="6"/>
    </row>
    <row r="915">
      <c r="J915" s="6"/>
    </row>
    <row r="916">
      <c r="J916" s="6"/>
    </row>
    <row r="917">
      <c r="J917" s="6"/>
    </row>
    <row r="918">
      <c r="J918" s="6"/>
    </row>
    <row r="919">
      <c r="J919" s="6"/>
    </row>
    <row r="920">
      <c r="J920" s="6"/>
    </row>
    <row r="921">
      <c r="J921" s="6"/>
    </row>
    <row r="922">
      <c r="J922" s="6"/>
    </row>
    <row r="923">
      <c r="J923" s="6"/>
    </row>
    <row r="924">
      <c r="J924" s="6"/>
    </row>
    <row r="925">
      <c r="J925" s="6"/>
    </row>
    <row r="926">
      <c r="J926" s="6"/>
    </row>
    <row r="927">
      <c r="J927" s="6"/>
    </row>
    <row r="928">
      <c r="J928" s="6"/>
    </row>
    <row r="929">
      <c r="J929" s="6"/>
    </row>
    <row r="930">
      <c r="J930" s="6"/>
    </row>
    <row r="931">
      <c r="J931" s="6"/>
    </row>
    <row r="932">
      <c r="J932" s="6"/>
    </row>
    <row r="933">
      <c r="J933" s="6"/>
    </row>
    <row r="934">
      <c r="J934" s="6"/>
    </row>
    <row r="935">
      <c r="J935" s="6"/>
    </row>
    <row r="936">
      <c r="J936" s="6"/>
    </row>
    <row r="937">
      <c r="J937" s="6"/>
    </row>
    <row r="938">
      <c r="J938" s="6"/>
    </row>
    <row r="939">
      <c r="J939" s="6"/>
    </row>
    <row r="940">
      <c r="J940" s="6"/>
    </row>
    <row r="941">
      <c r="J941" s="6"/>
    </row>
    <row r="942">
      <c r="J942" s="6"/>
    </row>
    <row r="943">
      <c r="J943" s="6"/>
    </row>
    <row r="944">
      <c r="J944" s="6"/>
    </row>
    <row r="945">
      <c r="J945" s="6"/>
    </row>
    <row r="946">
      <c r="J946" s="6"/>
    </row>
    <row r="947">
      <c r="J947" s="6"/>
    </row>
    <row r="948">
      <c r="J948" s="6"/>
    </row>
    <row r="949">
      <c r="J949" s="6"/>
    </row>
    <row r="950">
      <c r="J950" s="6"/>
    </row>
    <row r="951">
      <c r="J951" s="6"/>
    </row>
    <row r="952">
      <c r="J952" s="6"/>
    </row>
    <row r="953">
      <c r="J953" s="6"/>
    </row>
    <row r="954">
      <c r="J954" s="6"/>
    </row>
    <row r="955">
      <c r="J955" s="6"/>
    </row>
    <row r="956">
      <c r="J956" s="6"/>
    </row>
    <row r="957">
      <c r="J957" s="6"/>
    </row>
    <row r="958">
      <c r="J958" s="6"/>
    </row>
    <row r="959">
      <c r="J959" s="6"/>
    </row>
    <row r="960">
      <c r="J960" s="6"/>
    </row>
    <row r="961">
      <c r="J961" s="6"/>
    </row>
    <row r="962">
      <c r="J962" s="6"/>
    </row>
    <row r="963">
      <c r="J963" s="6"/>
    </row>
    <row r="964">
      <c r="J964" s="6"/>
    </row>
    <row r="965">
      <c r="J965" s="6"/>
    </row>
    <row r="966">
      <c r="J966" s="6"/>
    </row>
    <row r="967">
      <c r="J967" s="6"/>
    </row>
    <row r="968">
      <c r="J968" s="6"/>
    </row>
    <row r="969">
      <c r="J969" s="6"/>
    </row>
    <row r="970">
      <c r="J970" s="6"/>
    </row>
    <row r="971">
      <c r="J971" s="6"/>
    </row>
    <row r="972">
      <c r="J972" s="6"/>
    </row>
    <row r="973">
      <c r="J973" s="6"/>
    </row>
    <row r="974">
      <c r="J974" s="6"/>
    </row>
    <row r="975">
      <c r="J975" s="6"/>
    </row>
    <row r="976">
      <c r="J976" s="6"/>
    </row>
    <row r="977">
      <c r="J977" s="6"/>
    </row>
    <row r="978">
      <c r="J978" s="6"/>
    </row>
    <row r="979">
      <c r="J979" s="6"/>
    </row>
    <row r="980">
      <c r="J980" s="6"/>
    </row>
    <row r="981">
      <c r="J981" s="6"/>
    </row>
    <row r="982">
      <c r="J982" s="6"/>
    </row>
    <row r="983">
      <c r="J983" s="6"/>
    </row>
    <row r="984">
      <c r="J984" s="6"/>
    </row>
    <row r="985">
      <c r="J985" s="6"/>
    </row>
    <row r="986">
      <c r="J986" s="6"/>
    </row>
    <row r="987">
      <c r="J987" s="6"/>
    </row>
    <row r="988">
      <c r="J988" s="6"/>
    </row>
    <row r="989">
      <c r="J989" s="6"/>
    </row>
    <row r="990">
      <c r="J990" s="6"/>
    </row>
    <row r="991">
      <c r="J991" s="6"/>
    </row>
    <row r="992">
      <c r="J992" s="6"/>
    </row>
    <row r="993">
      <c r="J993" s="6"/>
    </row>
    <row r="994">
      <c r="J994" s="6"/>
    </row>
    <row r="995">
      <c r="J995" s="6"/>
    </row>
    <row r="996">
      <c r="J996" s="6"/>
    </row>
    <row r="997">
      <c r="J997" s="6"/>
    </row>
    <row r="998">
      <c r="J998" s="6"/>
    </row>
    <row r="999">
      <c r="J999" s="6"/>
    </row>
    <row r="1000">
      <c r="J1000" s="6"/>
    </row>
    <row r="1001">
      <c r="J1001" s="6"/>
    </row>
    <row r="1002">
      <c r="J1002" s="6"/>
    </row>
    <row r="1003">
      <c r="J1003" s="6"/>
    </row>
    <row r="1004">
      <c r="J1004" s="6"/>
    </row>
    <row r="1005">
      <c r="J1005" s="6"/>
    </row>
    <row r="1006">
      <c r="J1006" s="6"/>
    </row>
    <row r="1007">
      <c r="J1007" s="6"/>
    </row>
    <row r="1008">
      <c r="J1008" s="6"/>
    </row>
    <row r="1009">
      <c r="J1009" s="6"/>
    </row>
    <row r="1010">
      <c r="J1010" s="6"/>
    </row>
    <row r="1011">
      <c r="J1011" s="6"/>
    </row>
    <row r="1012">
      <c r="J1012" s="6"/>
    </row>
    <row r="1013">
      <c r="J1013" s="6"/>
    </row>
    <row r="1014">
      <c r="J1014" s="6"/>
    </row>
    <row r="1015">
      <c r="J1015" s="6"/>
    </row>
    <row r="1016">
      <c r="J1016" s="6"/>
    </row>
    <row r="1017">
      <c r="J1017" s="6"/>
    </row>
    <row r="1018">
      <c r="J1018" s="6"/>
    </row>
    <row r="1019">
      <c r="J1019" s="6"/>
    </row>
    <row r="1020">
      <c r="J1020" s="6"/>
    </row>
    <row r="1021">
      <c r="J1021" s="6"/>
    </row>
    <row r="1022">
      <c r="J1022" s="6"/>
    </row>
    <row r="1023">
      <c r="J1023" s="6"/>
    </row>
    <row r="1024">
      <c r="J1024" s="6"/>
    </row>
    <row r="1025">
      <c r="J1025" s="6"/>
    </row>
    <row r="1026">
      <c r="J1026" s="6"/>
    </row>
    <row r="1027">
      <c r="J1027" s="6"/>
    </row>
    <row r="1028">
      <c r="J1028" s="6"/>
    </row>
    <row r="1029">
      <c r="J1029" s="6"/>
    </row>
    <row r="1030">
      <c r="J1030" s="6"/>
    </row>
    <row r="1031">
      <c r="J1031" s="6"/>
    </row>
    <row r="1032">
      <c r="J1032" s="6"/>
    </row>
    <row r="1033">
      <c r="J1033" s="6"/>
    </row>
    <row r="1034">
      <c r="J1034" s="6"/>
    </row>
    <row r="1035">
      <c r="J1035" s="6"/>
    </row>
    <row r="1036">
      <c r="J1036" s="6"/>
    </row>
    <row r="1037">
      <c r="J1037" s="6"/>
    </row>
    <row r="1038">
      <c r="J1038" s="6"/>
    </row>
    <row r="1039">
      <c r="J1039" s="6"/>
    </row>
    <row r="1040">
      <c r="J1040" s="6"/>
    </row>
    <row r="1041">
      <c r="J1041" s="6"/>
    </row>
    <row r="1042">
      <c r="J1042" s="6"/>
    </row>
    <row r="1043">
      <c r="J1043" s="6"/>
    </row>
    <row r="1044">
      <c r="J1044" s="6"/>
    </row>
    <row r="1045">
      <c r="J1045" s="6"/>
    </row>
    <row r="1046">
      <c r="J1046" s="6"/>
    </row>
    <row r="1047">
      <c r="J1047" s="6"/>
    </row>
    <row r="1048">
      <c r="J1048" s="6"/>
    </row>
    <row r="1049">
      <c r="J1049" s="6"/>
    </row>
    <row r="1050">
      <c r="J1050" s="6"/>
    </row>
    <row r="1051">
      <c r="J1051" s="6"/>
    </row>
    <row r="1052">
      <c r="J1052" s="6"/>
    </row>
    <row r="1053">
      <c r="J1053" s="6"/>
    </row>
    <row r="1054">
      <c r="J1054" s="6"/>
    </row>
    <row r="1055">
      <c r="J1055" s="6"/>
    </row>
    <row r="1056">
      <c r="J1056" s="6"/>
    </row>
    <row r="1057">
      <c r="J1057" s="6"/>
    </row>
    <row r="1058">
      <c r="J1058" s="6"/>
    </row>
    <row r="1059">
      <c r="J1059" s="6"/>
    </row>
    <row r="1060">
      <c r="J1060" s="6"/>
    </row>
    <row r="1061">
      <c r="J1061" s="6"/>
    </row>
    <row r="1062">
      <c r="J1062" s="6"/>
    </row>
    <row r="1063">
      <c r="J1063" s="6"/>
    </row>
    <row r="1064">
      <c r="J1064" s="6"/>
    </row>
    <row r="1065">
      <c r="J1065" s="6"/>
    </row>
    <row r="1066">
      <c r="J1066" s="6"/>
    </row>
    <row r="1067">
      <c r="J1067" s="6"/>
    </row>
    <row r="1068">
      <c r="J1068" s="6"/>
    </row>
    <row r="1069">
      <c r="J1069" s="6"/>
    </row>
    <row r="1070">
      <c r="J1070" s="6"/>
    </row>
    <row r="1071">
      <c r="J1071" s="6"/>
    </row>
    <row r="1072">
      <c r="J1072" s="6"/>
    </row>
    <row r="1073">
      <c r="J1073" s="6"/>
    </row>
    <row r="1074">
      <c r="J1074" s="6"/>
    </row>
    <row r="1075">
      <c r="J1075" s="6"/>
    </row>
    <row r="1076">
      <c r="J1076" s="6"/>
    </row>
    <row r="1077">
      <c r="J1077" s="6"/>
    </row>
    <row r="1078">
      <c r="J1078" s="6"/>
    </row>
    <row r="1079">
      <c r="J1079" s="6"/>
    </row>
    <row r="1080">
      <c r="J1080" s="6"/>
    </row>
    <row r="1081">
      <c r="J1081" s="6"/>
    </row>
    <row r="1082">
      <c r="J1082" s="6"/>
    </row>
    <row r="1083">
      <c r="J1083" s="6"/>
    </row>
    <row r="1084">
      <c r="J1084" s="6"/>
    </row>
    <row r="1085">
      <c r="J1085" s="6"/>
    </row>
    <row r="1086">
      <c r="J1086" s="6"/>
    </row>
    <row r="1087">
      <c r="J1087" s="6"/>
    </row>
    <row r="1088">
      <c r="J1088" s="6"/>
    </row>
    <row r="1089">
      <c r="J1089" s="6"/>
    </row>
    <row r="1090">
      <c r="J1090" s="6"/>
    </row>
    <row r="1091">
      <c r="J1091" s="6"/>
    </row>
    <row r="1092">
      <c r="J1092" s="6"/>
    </row>
    <row r="1093">
      <c r="J1093" s="6"/>
    </row>
    <row r="1094">
      <c r="J1094" s="6"/>
    </row>
    <row r="1095">
      <c r="J1095" s="6"/>
    </row>
    <row r="1096">
      <c r="J1096" s="6"/>
    </row>
    <row r="1097">
      <c r="J1097" s="6"/>
    </row>
    <row r="1098">
      <c r="J1098" s="6"/>
    </row>
    <row r="1099">
      <c r="J1099" s="6"/>
    </row>
    <row r="1100">
      <c r="J1100" s="6"/>
    </row>
    <row r="1101">
      <c r="J1101" s="6"/>
    </row>
    <row r="1102">
      <c r="J1102" s="6"/>
    </row>
    <row r="1103">
      <c r="J1103" s="6"/>
    </row>
    <row r="1104">
      <c r="J1104" s="6"/>
    </row>
    <row r="1105">
      <c r="J1105" s="6"/>
    </row>
    <row r="1106">
      <c r="J1106" s="6"/>
    </row>
    <row r="1107">
      <c r="J1107" s="6"/>
    </row>
    <row r="1108">
      <c r="J1108" s="6"/>
    </row>
    <row r="1109">
      <c r="J1109" s="6"/>
    </row>
    <row r="1110">
      <c r="J1110" s="6"/>
    </row>
    <row r="1111">
      <c r="J1111" s="6"/>
    </row>
    <row r="1112">
      <c r="J1112" s="6"/>
    </row>
    <row r="1113">
      <c r="J1113" s="6"/>
    </row>
    <row r="1114">
      <c r="J1114" s="6"/>
    </row>
    <row r="1115">
      <c r="J1115" s="6"/>
    </row>
    <row r="1116">
      <c r="J1116" s="6"/>
    </row>
    <row r="1117">
      <c r="J1117" s="6"/>
    </row>
    <row r="1118">
      <c r="J1118" s="6"/>
    </row>
    <row r="1119">
      <c r="J1119" s="6"/>
    </row>
    <row r="1120">
      <c r="J1120" s="6"/>
    </row>
    <row r="1121">
      <c r="J1121" s="6"/>
    </row>
    <row r="1122">
      <c r="J1122" s="6"/>
    </row>
    <row r="1123">
      <c r="J1123" s="6"/>
    </row>
    <row r="1124">
      <c r="J1124" s="6"/>
    </row>
    <row r="1125">
      <c r="J1125" s="6"/>
    </row>
    <row r="1126">
      <c r="J1126" s="6"/>
    </row>
    <row r="1127">
      <c r="J1127" s="6"/>
    </row>
    <row r="1128">
      <c r="J1128" s="6"/>
    </row>
    <row r="1129">
      <c r="J1129" s="6"/>
    </row>
    <row r="1130">
      <c r="J1130" s="6"/>
    </row>
    <row r="1131">
      <c r="J1131" s="6"/>
    </row>
    <row r="1132">
      <c r="J1132" s="6"/>
    </row>
    <row r="1133">
      <c r="J1133" s="6"/>
    </row>
    <row r="1134">
      <c r="J1134" s="6"/>
    </row>
    <row r="1135">
      <c r="J1135" s="6"/>
    </row>
    <row r="1136">
      <c r="J1136" s="6"/>
    </row>
    <row r="1137">
      <c r="J1137" s="6"/>
    </row>
    <row r="1138">
      <c r="J1138" s="6"/>
    </row>
    <row r="1139">
      <c r="J1139" s="6"/>
    </row>
    <row r="1140">
      <c r="J1140" s="6"/>
    </row>
    <row r="1141">
      <c r="J1141" s="6"/>
    </row>
    <row r="1142">
      <c r="J1142" s="6"/>
    </row>
    <row r="1143">
      <c r="J1143" s="6"/>
    </row>
    <row r="1144">
      <c r="J1144" s="6"/>
    </row>
    <row r="1145">
      <c r="J1145" s="6"/>
    </row>
    <row r="1146">
      <c r="J1146" s="6"/>
    </row>
    <row r="1147">
      <c r="J1147" s="6"/>
    </row>
    <row r="1148">
      <c r="J1148" s="6"/>
    </row>
    <row r="1149">
      <c r="J1149" s="6"/>
    </row>
    <row r="1150">
      <c r="J1150" s="6"/>
    </row>
    <row r="1151">
      <c r="J1151" s="6"/>
    </row>
    <row r="1152">
      <c r="J1152" s="6"/>
    </row>
    <row r="1153">
      <c r="J1153" s="6"/>
    </row>
    <row r="1154">
      <c r="J1154" s="6"/>
    </row>
    <row r="1155">
      <c r="J1155" s="6"/>
    </row>
    <row r="1156">
      <c r="J1156" s="6"/>
    </row>
    <row r="1157">
      <c r="J1157" s="6"/>
    </row>
    <row r="1158">
      <c r="J1158" s="6"/>
    </row>
    <row r="1159">
      <c r="J1159" s="6"/>
    </row>
    <row r="1160">
      <c r="J1160" s="6"/>
    </row>
    <row r="1161">
      <c r="J1161" s="6"/>
    </row>
    <row r="1162">
      <c r="J1162" s="6"/>
    </row>
    <row r="1163">
      <c r="J1163" s="6"/>
    </row>
    <row r="1164">
      <c r="J1164" s="6"/>
    </row>
    <row r="1165">
      <c r="J1165" s="6"/>
    </row>
    <row r="1166">
      <c r="J1166" s="6"/>
    </row>
    <row r="1167">
      <c r="J1167" s="6"/>
    </row>
    <row r="1168">
      <c r="J1168" s="6"/>
    </row>
    <row r="1169">
      <c r="J1169" s="6"/>
    </row>
    <row r="1170">
      <c r="J1170" s="6"/>
    </row>
    <row r="1171">
      <c r="J1171" s="6"/>
    </row>
    <row r="1172">
      <c r="J1172" s="6"/>
    </row>
    <row r="1173">
      <c r="J1173" s="6"/>
    </row>
    <row r="1174">
      <c r="J1174" s="6"/>
    </row>
    <row r="1175">
      <c r="J1175" s="6"/>
    </row>
    <row r="1176">
      <c r="J1176" s="6"/>
    </row>
    <row r="1177">
      <c r="J1177" s="6"/>
    </row>
    <row r="1178">
      <c r="J1178" s="6"/>
    </row>
    <row r="1179">
      <c r="J1179" s="6"/>
    </row>
    <row r="1180">
      <c r="J1180" s="6"/>
    </row>
    <row r="1181">
      <c r="J1181" s="6"/>
    </row>
    <row r="1182">
      <c r="J1182" s="6"/>
    </row>
    <row r="1183">
      <c r="J1183" s="6"/>
    </row>
    <row r="1184">
      <c r="J1184" s="6"/>
    </row>
    <row r="1185">
      <c r="J1185" s="6"/>
    </row>
    <row r="1186">
      <c r="J1186" s="6"/>
    </row>
    <row r="1187">
      <c r="J1187" s="6"/>
    </row>
    <row r="1188">
      <c r="J1188" s="6"/>
    </row>
    <row r="1189">
      <c r="J1189" s="6"/>
    </row>
    <row r="1190">
      <c r="J1190" s="6"/>
    </row>
    <row r="1191">
      <c r="J1191" s="6"/>
    </row>
    <row r="1192">
      <c r="J1192" s="6"/>
    </row>
    <row r="1193">
      <c r="J1193" s="6"/>
    </row>
    <row r="1194">
      <c r="J1194" s="6"/>
    </row>
    <row r="1195">
      <c r="J1195" s="6"/>
    </row>
    <row r="1196">
      <c r="J1196" s="6"/>
    </row>
    <row r="1197">
      <c r="J1197" s="6"/>
    </row>
    <row r="1198">
      <c r="J1198" s="6"/>
    </row>
    <row r="1199">
      <c r="J1199" s="6"/>
    </row>
    <row r="1200">
      <c r="J1200" s="6"/>
    </row>
    <row r="1201">
      <c r="J1201" s="6"/>
    </row>
    <row r="1202">
      <c r="J1202" s="6"/>
    </row>
    <row r="1203">
      <c r="J1203" s="6"/>
    </row>
    <row r="1204">
      <c r="J1204" s="6"/>
    </row>
    <row r="1205">
      <c r="J1205" s="6"/>
    </row>
    <row r="1206">
      <c r="J1206" s="6"/>
    </row>
    <row r="1207">
      <c r="J1207" s="6"/>
    </row>
    <row r="1208">
      <c r="J1208" s="6"/>
    </row>
    <row r="1209">
      <c r="J1209" s="6"/>
    </row>
    <row r="1210">
      <c r="J1210" s="6"/>
    </row>
    <row r="1211">
      <c r="J1211" s="6"/>
    </row>
    <row r="1212">
      <c r="J1212" s="6"/>
    </row>
    <row r="1213">
      <c r="J1213" s="6"/>
    </row>
    <row r="1214">
      <c r="J1214" s="6"/>
    </row>
    <row r="1215">
      <c r="J1215" s="6"/>
    </row>
    <row r="1216">
      <c r="J1216" s="6"/>
    </row>
    <row r="1217">
      <c r="J1217" s="6"/>
    </row>
    <row r="1218">
      <c r="J1218" s="6"/>
    </row>
    <row r="1219">
      <c r="J1219" s="6"/>
    </row>
    <row r="1220">
      <c r="J1220" s="6"/>
    </row>
    <row r="1221">
      <c r="J1221" s="6"/>
    </row>
    <row r="1222">
      <c r="J1222" s="6"/>
    </row>
    <row r="1223">
      <c r="J1223" s="6"/>
    </row>
    <row r="1224">
      <c r="J1224" s="6"/>
    </row>
    <row r="1225">
      <c r="J1225" s="6"/>
    </row>
    <row r="1226">
      <c r="J1226" s="6"/>
    </row>
    <row r="1227">
      <c r="J1227" s="6"/>
    </row>
    <row r="1228">
      <c r="J1228" s="6"/>
    </row>
    <row r="1229">
      <c r="J1229" s="6"/>
    </row>
    <row r="1230">
      <c r="J1230" s="6"/>
    </row>
    <row r="1231">
      <c r="J1231" s="6"/>
    </row>
    <row r="1232">
      <c r="J1232" s="6"/>
    </row>
    <row r="1233">
      <c r="J1233" s="6"/>
    </row>
    <row r="1234">
      <c r="J1234" s="6"/>
    </row>
    <row r="1235">
      <c r="J1235" s="6"/>
    </row>
    <row r="1236">
      <c r="J1236" s="6"/>
    </row>
    <row r="1237">
      <c r="J1237" s="6"/>
    </row>
    <row r="1238">
      <c r="J1238" s="6"/>
    </row>
    <row r="1239">
      <c r="J1239" s="6"/>
    </row>
    <row r="1240">
      <c r="J1240" s="6"/>
    </row>
    <row r="1241">
      <c r="J1241" s="6"/>
    </row>
    <row r="1242">
      <c r="J1242" s="6"/>
    </row>
    <row r="1243">
      <c r="J1243" s="6"/>
    </row>
    <row r="1244">
      <c r="J1244" s="6"/>
    </row>
    <row r="1245">
      <c r="J1245" s="6"/>
    </row>
    <row r="1246">
      <c r="J1246" s="6"/>
    </row>
    <row r="1247">
      <c r="J1247" s="6"/>
    </row>
    <row r="1248">
      <c r="J1248" s="6"/>
    </row>
    <row r="1249">
      <c r="J1249" s="6"/>
    </row>
    <row r="1250">
      <c r="J1250" s="6"/>
    </row>
    <row r="1251">
      <c r="J1251" s="6"/>
    </row>
    <row r="1252">
      <c r="J1252" s="6"/>
    </row>
    <row r="1253">
      <c r="J1253" s="6"/>
    </row>
    <row r="1254">
      <c r="J1254" s="6"/>
    </row>
    <row r="1255">
      <c r="J1255" s="6"/>
    </row>
    <row r="1256">
      <c r="J1256" s="6"/>
    </row>
    <row r="1257">
      <c r="J1257" s="6"/>
    </row>
    <row r="1258">
      <c r="J1258" s="6"/>
    </row>
    <row r="1259">
      <c r="J1259" s="6"/>
    </row>
    <row r="1260">
      <c r="J1260" s="6"/>
    </row>
    <row r="1261">
      <c r="J1261" s="6"/>
    </row>
    <row r="1262">
      <c r="J1262" s="6"/>
    </row>
    <row r="1263">
      <c r="J1263" s="6"/>
    </row>
    <row r="1264">
      <c r="J1264" s="6"/>
    </row>
    <row r="1265">
      <c r="J1265" s="6"/>
    </row>
    <row r="1266">
      <c r="J1266" s="6"/>
    </row>
    <row r="1267">
      <c r="J1267" s="6"/>
    </row>
    <row r="1268">
      <c r="J1268" s="6"/>
    </row>
    <row r="1269">
      <c r="J1269" s="6"/>
    </row>
    <row r="1270">
      <c r="J1270" s="6"/>
    </row>
    <row r="1271">
      <c r="J1271" s="6"/>
    </row>
    <row r="1272">
      <c r="J1272" s="6"/>
    </row>
    <row r="1273">
      <c r="J1273" s="6"/>
    </row>
    <row r="1274">
      <c r="J1274" s="6"/>
    </row>
    <row r="1275">
      <c r="J1275" s="6"/>
    </row>
    <row r="1276">
      <c r="J1276" s="6"/>
    </row>
    <row r="1277">
      <c r="J1277" s="6"/>
    </row>
    <row r="1278">
      <c r="J1278" s="6"/>
    </row>
    <row r="1279">
      <c r="J1279" s="6"/>
    </row>
    <row r="1280">
      <c r="J1280" s="6"/>
    </row>
    <row r="1281">
      <c r="J1281" s="6"/>
    </row>
    <row r="1282">
      <c r="J1282" s="6"/>
    </row>
    <row r="1283">
      <c r="J1283" s="6"/>
    </row>
    <row r="1284">
      <c r="J1284" s="6"/>
    </row>
    <row r="1285">
      <c r="J1285" s="6"/>
    </row>
    <row r="1286">
      <c r="J1286" s="6"/>
    </row>
    <row r="1287">
      <c r="J1287" s="6"/>
    </row>
    <row r="1288">
      <c r="J1288" s="6"/>
    </row>
    <row r="1289">
      <c r="J1289" s="6"/>
    </row>
    <row r="1290">
      <c r="J1290" s="6"/>
    </row>
    <row r="1291">
      <c r="J1291" s="6"/>
    </row>
    <row r="1292">
      <c r="J1292" s="6"/>
    </row>
    <row r="1293">
      <c r="J1293" s="6"/>
    </row>
    <row r="1294">
      <c r="J1294" s="6"/>
    </row>
    <row r="1295">
      <c r="J1295" s="6"/>
    </row>
    <row r="1296">
      <c r="J1296" s="6"/>
    </row>
    <row r="1297">
      <c r="J1297" s="6"/>
    </row>
    <row r="1298">
      <c r="J1298" s="6"/>
    </row>
    <row r="1299">
      <c r="J1299" s="6"/>
    </row>
    <row r="1300">
      <c r="J1300" s="6"/>
    </row>
    <row r="1301">
      <c r="J1301" s="6"/>
    </row>
    <row r="1302">
      <c r="J1302" s="6"/>
    </row>
    <row r="1303">
      <c r="J1303" s="6"/>
    </row>
    <row r="1304">
      <c r="J1304" s="6"/>
    </row>
    <row r="1305">
      <c r="J1305" s="6"/>
    </row>
    <row r="1306">
      <c r="J1306" s="6"/>
    </row>
    <row r="1307">
      <c r="J1307" s="6"/>
    </row>
    <row r="1308">
      <c r="J1308" s="6"/>
    </row>
    <row r="1309">
      <c r="J1309" s="6"/>
    </row>
    <row r="1310">
      <c r="J1310" s="6"/>
    </row>
    <row r="1311">
      <c r="J1311" s="6"/>
    </row>
    <row r="1312">
      <c r="J1312" s="6"/>
    </row>
    <row r="1313">
      <c r="J1313" s="6"/>
    </row>
    <row r="1314">
      <c r="J1314" s="6"/>
    </row>
    <row r="1315">
      <c r="J1315" s="6"/>
    </row>
    <row r="1316">
      <c r="J1316" s="6"/>
    </row>
    <row r="1317">
      <c r="J1317" s="6"/>
    </row>
    <row r="1318">
      <c r="J1318" s="6"/>
    </row>
    <row r="1319">
      <c r="J1319" s="6"/>
    </row>
    <row r="1320">
      <c r="J1320" s="6"/>
    </row>
    <row r="1321">
      <c r="J1321" s="6"/>
    </row>
    <row r="1322">
      <c r="J1322" s="6"/>
    </row>
    <row r="1323">
      <c r="J1323" s="6"/>
    </row>
    <row r="1324">
      <c r="J1324" s="6"/>
    </row>
    <row r="1325">
      <c r="J1325" s="6"/>
    </row>
    <row r="1326">
      <c r="J1326" s="6"/>
    </row>
    <row r="1327">
      <c r="J1327" s="6"/>
    </row>
    <row r="1328">
      <c r="J1328" s="6"/>
    </row>
    <row r="1329">
      <c r="J1329" s="6"/>
    </row>
    <row r="1330">
      <c r="J1330" s="6"/>
    </row>
    <row r="1331">
      <c r="J1331" s="6"/>
    </row>
    <row r="1332">
      <c r="J1332" s="6"/>
    </row>
    <row r="1333">
      <c r="J1333" s="6"/>
    </row>
    <row r="1334">
      <c r="J1334" s="6"/>
    </row>
    <row r="1335">
      <c r="J1335" s="6"/>
    </row>
    <row r="1336">
      <c r="J1336" s="6"/>
    </row>
    <row r="1337">
      <c r="J1337" s="6"/>
    </row>
    <row r="1338">
      <c r="J1338" s="6"/>
    </row>
    <row r="1339">
      <c r="J1339" s="6"/>
    </row>
    <row r="1340">
      <c r="J1340" s="6"/>
    </row>
    <row r="1341">
      <c r="J1341" s="6"/>
    </row>
    <row r="1342">
      <c r="J1342" s="6"/>
    </row>
    <row r="1343">
      <c r="J1343" s="6"/>
    </row>
    <row r="1344">
      <c r="J1344" s="6"/>
    </row>
    <row r="1345">
      <c r="J1345" s="6"/>
    </row>
    <row r="1346">
      <c r="J1346" s="6"/>
    </row>
    <row r="1347">
      <c r="J1347" s="6"/>
    </row>
    <row r="1348">
      <c r="J1348" s="6"/>
    </row>
    <row r="1349">
      <c r="J1349" s="6"/>
    </row>
    <row r="1350">
      <c r="J1350" s="6"/>
    </row>
    <row r="1351">
      <c r="J1351" s="6"/>
    </row>
    <row r="1352">
      <c r="J1352" s="6"/>
    </row>
    <row r="1353">
      <c r="J1353" s="6"/>
    </row>
    <row r="1354">
      <c r="J1354" s="6"/>
    </row>
    <row r="1355">
      <c r="J1355" s="6"/>
    </row>
    <row r="1356">
      <c r="J1356" s="6"/>
    </row>
    <row r="1357">
      <c r="J1357" s="6"/>
    </row>
    <row r="1358">
      <c r="J1358" s="6"/>
    </row>
    <row r="1359">
      <c r="J1359" s="6"/>
    </row>
    <row r="1360">
      <c r="J1360" s="6"/>
    </row>
    <row r="1361">
      <c r="J1361" s="6"/>
    </row>
    <row r="1362">
      <c r="J1362" s="6"/>
    </row>
    <row r="1363">
      <c r="J1363" s="6"/>
    </row>
    <row r="1364">
      <c r="J1364" s="6"/>
    </row>
    <row r="1365">
      <c r="J1365" s="6"/>
    </row>
    <row r="1366">
      <c r="J1366" s="6"/>
    </row>
    <row r="1367">
      <c r="J1367" s="6"/>
    </row>
    <row r="1368">
      <c r="J1368" s="6"/>
    </row>
    <row r="1369">
      <c r="J1369" s="6"/>
    </row>
    <row r="1370">
      <c r="J1370" s="6"/>
    </row>
    <row r="1371">
      <c r="J1371" s="6"/>
    </row>
    <row r="1372">
      <c r="J1372" s="6"/>
    </row>
    <row r="1373">
      <c r="J1373" s="6"/>
    </row>
    <row r="1374">
      <c r="J1374" s="6"/>
    </row>
    <row r="1375">
      <c r="J1375" s="6"/>
    </row>
    <row r="1376">
      <c r="J1376" s="6"/>
    </row>
    <row r="1377">
      <c r="J1377" s="6"/>
    </row>
    <row r="1378">
      <c r="J1378" s="6"/>
    </row>
    <row r="1379">
      <c r="J1379" s="6"/>
    </row>
    <row r="1380">
      <c r="J1380" s="6"/>
    </row>
    <row r="1381">
      <c r="J1381" s="6"/>
    </row>
    <row r="1382">
      <c r="J1382" s="6"/>
    </row>
    <row r="1383">
      <c r="J1383" s="6"/>
    </row>
    <row r="1384">
      <c r="J1384" s="6"/>
    </row>
    <row r="1385">
      <c r="J1385" s="6"/>
    </row>
    <row r="1386">
      <c r="J1386" s="6"/>
    </row>
    <row r="1387">
      <c r="J1387" s="6"/>
    </row>
    <row r="1388">
      <c r="J1388" s="6"/>
    </row>
    <row r="1389">
      <c r="J1389" s="6"/>
    </row>
    <row r="1390">
      <c r="J1390" s="6"/>
    </row>
    <row r="1391">
      <c r="J1391" s="6"/>
    </row>
    <row r="1392">
      <c r="J1392" s="6"/>
    </row>
    <row r="1393">
      <c r="J1393" s="6"/>
    </row>
    <row r="1394">
      <c r="J1394" s="6"/>
    </row>
    <row r="1395">
      <c r="J1395" s="6"/>
    </row>
    <row r="1396">
      <c r="J1396" s="6"/>
    </row>
    <row r="1397">
      <c r="J1397" s="6"/>
    </row>
    <row r="1398">
      <c r="J1398" s="6"/>
    </row>
    <row r="1399">
      <c r="J1399" s="6"/>
    </row>
    <row r="1400">
      <c r="J1400" s="6"/>
    </row>
    <row r="1401">
      <c r="J1401" s="6"/>
    </row>
    <row r="1402">
      <c r="J1402" s="6"/>
    </row>
    <row r="1403">
      <c r="J1403" s="6"/>
    </row>
    <row r="1404">
      <c r="J1404" s="6"/>
    </row>
    <row r="1405">
      <c r="J1405" s="6"/>
    </row>
    <row r="1406">
      <c r="J1406" s="6"/>
    </row>
    <row r="1407">
      <c r="J1407" s="6"/>
    </row>
    <row r="1408">
      <c r="J1408" s="6"/>
    </row>
    <row r="1409">
      <c r="J1409" s="6"/>
    </row>
    <row r="1410">
      <c r="J1410" s="6"/>
    </row>
    <row r="1411">
      <c r="J1411" s="6"/>
    </row>
    <row r="1412">
      <c r="J1412" s="6"/>
    </row>
    <row r="1413">
      <c r="J1413" s="6"/>
    </row>
    <row r="1414">
      <c r="J1414" s="6"/>
    </row>
    <row r="1415">
      <c r="J1415" s="6"/>
    </row>
    <row r="1416">
      <c r="J1416" s="6"/>
    </row>
    <row r="1417">
      <c r="J1417" s="6"/>
    </row>
    <row r="1418">
      <c r="J1418" s="6"/>
    </row>
    <row r="1419">
      <c r="J1419" s="6"/>
    </row>
    <row r="1420">
      <c r="J1420" s="6"/>
    </row>
    <row r="1421">
      <c r="J1421" s="6"/>
    </row>
    <row r="1422">
      <c r="J1422" s="6"/>
    </row>
    <row r="1423">
      <c r="J1423" s="6"/>
    </row>
    <row r="1424">
      <c r="J1424" s="6"/>
    </row>
    <row r="1425">
      <c r="J1425" s="6"/>
    </row>
    <row r="1426">
      <c r="J1426" s="6"/>
    </row>
    <row r="1427">
      <c r="J1427" s="6"/>
    </row>
    <row r="1428">
      <c r="J1428" s="6"/>
    </row>
    <row r="1429">
      <c r="J1429" s="6"/>
    </row>
    <row r="1430">
      <c r="J1430" s="6"/>
    </row>
    <row r="1431">
      <c r="J1431" s="6"/>
    </row>
    <row r="1432">
      <c r="J1432" s="6"/>
    </row>
    <row r="1433">
      <c r="J1433" s="6"/>
    </row>
    <row r="1434">
      <c r="J1434" s="6"/>
    </row>
    <row r="1435">
      <c r="J1435" s="6"/>
    </row>
    <row r="1436">
      <c r="J1436" s="6"/>
    </row>
    <row r="1437">
      <c r="J1437" s="6"/>
    </row>
    <row r="1438">
      <c r="J1438" s="6"/>
    </row>
    <row r="1439">
      <c r="J1439" s="6"/>
    </row>
    <row r="1440">
      <c r="J1440" s="6"/>
    </row>
    <row r="1441">
      <c r="J1441" s="6"/>
    </row>
    <row r="1442">
      <c r="J1442" s="6"/>
    </row>
    <row r="1443">
      <c r="J1443" s="6"/>
    </row>
    <row r="1444">
      <c r="J1444" s="6"/>
    </row>
    <row r="1445">
      <c r="J1445" s="6"/>
    </row>
    <row r="1446">
      <c r="J1446" s="6"/>
    </row>
    <row r="1447">
      <c r="J1447" s="6"/>
    </row>
    <row r="1448">
      <c r="J1448" s="6"/>
    </row>
    <row r="1449">
      <c r="J1449" s="6"/>
    </row>
    <row r="1450">
      <c r="J1450" s="6"/>
    </row>
    <row r="1451">
      <c r="J1451" s="6"/>
    </row>
    <row r="1452">
      <c r="J1452" s="6"/>
    </row>
    <row r="1453">
      <c r="J1453" s="6"/>
    </row>
    <row r="1454">
      <c r="J1454" s="6"/>
    </row>
    <row r="1455">
      <c r="J1455" s="6"/>
    </row>
    <row r="1456">
      <c r="J1456" s="6"/>
    </row>
    <row r="1457">
      <c r="J1457" s="6"/>
    </row>
    <row r="1458">
      <c r="J1458" s="6"/>
    </row>
    <row r="1459">
      <c r="J1459" s="6"/>
    </row>
    <row r="1460">
      <c r="J1460" s="6"/>
    </row>
    <row r="1461">
      <c r="J1461" s="6"/>
    </row>
    <row r="1462">
      <c r="J1462" s="6"/>
    </row>
    <row r="1463">
      <c r="J1463" s="6"/>
    </row>
    <row r="1464">
      <c r="J1464" s="6"/>
    </row>
    <row r="1465">
      <c r="J1465" s="6"/>
    </row>
    <row r="1466">
      <c r="J1466" s="6"/>
    </row>
    <row r="1467">
      <c r="J1467" s="6"/>
    </row>
    <row r="1468">
      <c r="J1468" s="6"/>
    </row>
    <row r="1469">
      <c r="J1469" s="6"/>
    </row>
    <row r="1470">
      <c r="J1470" s="6"/>
    </row>
    <row r="1471">
      <c r="J1471" s="6"/>
    </row>
    <row r="1472">
      <c r="J1472" s="6"/>
    </row>
    <row r="1473">
      <c r="J1473" s="6"/>
    </row>
    <row r="1474">
      <c r="J1474" s="6"/>
    </row>
    <row r="1475">
      <c r="J1475" s="6"/>
    </row>
    <row r="1476">
      <c r="J1476" s="6"/>
    </row>
    <row r="1477">
      <c r="J1477" s="6"/>
    </row>
    <row r="1478">
      <c r="J1478" s="6"/>
    </row>
    <row r="1479">
      <c r="J1479" s="6"/>
    </row>
    <row r="1480">
      <c r="J1480" s="6"/>
    </row>
    <row r="1481">
      <c r="J1481" s="6"/>
    </row>
    <row r="1482">
      <c r="J1482" s="6"/>
    </row>
    <row r="1483">
      <c r="J1483" s="6"/>
    </row>
    <row r="1484">
      <c r="J1484" s="6"/>
    </row>
    <row r="1485">
      <c r="J1485" s="6"/>
    </row>
    <row r="1486">
      <c r="J1486" s="6"/>
    </row>
    <row r="1487">
      <c r="J1487" s="6"/>
    </row>
    <row r="1488">
      <c r="J1488" s="6"/>
    </row>
    <row r="1489">
      <c r="J1489" s="6"/>
    </row>
    <row r="1490">
      <c r="J1490" s="6"/>
    </row>
    <row r="1491">
      <c r="J1491" s="6"/>
    </row>
    <row r="1492">
      <c r="J1492" s="6"/>
    </row>
    <row r="1493">
      <c r="J1493" s="6"/>
    </row>
    <row r="1494">
      <c r="J1494" s="6"/>
    </row>
    <row r="1495">
      <c r="J1495" s="6"/>
    </row>
    <row r="1496">
      <c r="J1496" s="6"/>
    </row>
    <row r="1497">
      <c r="J1497" s="6"/>
    </row>
    <row r="1498">
      <c r="J1498" s="6"/>
    </row>
    <row r="1499">
      <c r="J1499" s="6"/>
    </row>
    <row r="1500">
      <c r="J1500" s="6"/>
    </row>
    <row r="1501">
      <c r="J1501" s="6"/>
    </row>
    <row r="1502">
      <c r="J1502" s="6"/>
    </row>
    <row r="1503">
      <c r="J1503" s="6"/>
    </row>
    <row r="1504">
      <c r="J1504" s="6"/>
    </row>
    <row r="1505">
      <c r="J1505" s="6"/>
    </row>
    <row r="1506">
      <c r="J1506" s="6"/>
    </row>
    <row r="1507">
      <c r="J1507" s="6"/>
    </row>
    <row r="1508">
      <c r="J1508" s="6"/>
    </row>
    <row r="1509">
      <c r="J1509" s="6"/>
    </row>
    <row r="1510">
      <c r="J1510" s="6"/>
    </row>
    <row r="1511">
      <c r="J1511" s="6"/>
    </row>
    <row r="1512">
      <c r="J1512" s="6"/>
    </row>
    <row r="1513">
      <c r="J1513" s="6"/>
    </row>
    <row r="1514">
      <c r="J1514" s="6"/>
    </row>
    <row r="1515">
      <c r="J1515" s="6"/>
    </row>
    <row r="1516">
      <c r="J1516" s="6"/>
    </row>
    <row r="1517">
      <c r="J1517" s="6"/>
    </row>
    <row r="1518">
      <c r="J1518" s="6"/>
    </row>
    <row r="1519">
      <c r="J1519" s="6"/>
    </row>
    <row r="1520">
      <c r="J1520" s="6"/>
    </row>
    <row r="1521">
      <c r="J1521" s="6"/>
    </row>
    <row r="1522">
      <c r="J1522" s="6"/>
    </row>
    <row r="1523">
      <c r="J1523" s="6"/>
    </row>
    <row r="1524">
      <c r="J1524" s="6"/>
    </row>
    <row r="1525">
      <c r="J1525" s="6"/>
    </row>
    <row r="1526">
      <c r="J1526" s="6"/>
    </row>
    <row r="1527">
      <c r="J1527" s="6"/>
    </row>
    <row r="1528">
      <c r="J1528" s="6"/>
    </row>
    <row r="1529">
      <c r="J1529" s="6"/>
    </row>
    <row r="1530">
      <c r="J1530" s="6"/>
    </row>
    <row r="1531">
      <c r="J1531" s="6"/>
    </row>
    <row r="1532">
      <c r="J1532" s="6"/>
    </row>
    <row r="1533">
      <c r="J1533" s="6"/>
    </row>
    <row r="1534">
      <c r="J1534" s="6"/>
    </row>
    <row r="1535">
      <c r="J1535" s="6"/>
    </row>
    <row r="1536">
      <c r="J1536" s="6"/>
    </row>
    <row r="1537">
      <c r="J1537" s="6"/>
    </row>
    <row r="1538">
      <c r="J1538" s="6"/>
    </row>
    <row r="1539">
      <c r="J1539" s="6"/>
    </row>
    <row r="1540">
      <c r="J1540" s="6"/>
    </row>
    <row r="1541">
      <c r="J1541" s="6"/>
    </row>
    <row r="1542">
      <c r="J1542" s="6"/>
    </row>
    <row r="1543">
      <c r="J1543" s="6"/>
    </row>
    <row r="1544">
      <c r="J1544" s="6"/>
    </row>
    <row r="1545">
      <c r="J1545" s="6"/>
    </row>
    <row r="1546">
      <c r="J1546" s="6"/>
    </row>
    <row r="1547">
      <c r="J1547" s="6"/>
    </row>
    <row r="1548">
      <c r="J1548" s="6"/>
    </row>
    <row r="1549">
      <c r="J1549" s="6"/>
    </row>
    <row r="1550">
      <c r="J1550" s="6"/>
    </row>
    <row r="1551">
      <c r="J1551" s="6"/>
    </row>
    <row r="1552">
      <c r="J1552" s="6"/>
    </row>
    <row r="1553">
      <c r="J1553" s="6"/>
    </row>
    <row r="1554">
      <c r="J1554" s="6"/>
    </row>
    <row r="1555">
      <c r="J1555" s="6"/>
    </row>
    <row r="1556">
      <c r="J1556" s="6"/>
    </row>
    <row r="1557">
      <c r="J1557" s="6"/>
    </row>
    <row r="1558">
      <c r="J1558" s="6"/>
    </row>
    <row r="1559">
      <c r="J1559" s="6"/>
    </row>
    <row r="1560">
      <c r="J1560" s="6"/>
    </row>
    <row r="1561">
      <c r="J1561" s="6"/>
    </row>
    <row r="1562">
      <c r="J1562" s="6"/>
    </row>
    <row r="1563">
      <c r="J1563" s="6"/>
    </row>
    <row r="1564">
      <c r="J1564" s="6"/>
    </row>
    <row r="1565">
      <c r="J1565" s="6"/>
    </row>
    <row r="1566">
      <c r="J1566" s="6"/>
    </row>
    <row r="1567">
      <c r="J1567" s="6"/>
    </row>
    <row r="1568">
      <c r="J1568" s="6"/>
    </row>
    <row r="1569">
      <c r="J1569" s="6"/>
    </row>
    <row r="1570">
      <c r="J1570" s="6"/>
    </row>
    <row r="1571">
      <c r="J1571" s="6"/>
    </row>
    <row r="1572">
      <c r="J1572" s="6"/>
    </row>
    <row r="1573">
      <c r="J1573" s="6"/>
    </row>
    <row r="1574">
      <c r="J1574" s="6"/>
    </row>
    <row r="1575">
      <c r="J1575" s="6"/>
    </row>
    <row r="1576">
      <c r="J1576" s="6"/>
    </row>
    <row r="1577">
      <c r="J1577" s="6"/>
    </row>
    <row r="1578">
      <c r="J1578" s="6"/>
    </row>
    <row r="1579">
      <c r="J1579" s="6"/>
    </row>
    <row r="1580">
      <c r="J1580" s="6"/>
    </row>
    <row r="1581">
      <c r="J1581" s="6"/>
    </row>
    <row r="1582">
      <c r="J1582" s="6"/>
    </row>
    <row r="1583">
      <c r="J1583" s="6"/>
    </row>
    <row r="1584">
      <c r="J1584" s="6"/>
    </row>
    <row r="1585">
      <c r="J1585" s="6"/>
    </row>
    <row r="1586">
      <c r="J1586" s="6"/>
    </row>
    <row r="1587">
      <c r="J1587" s="6"/>
    </row>
    <row r="1588">
      <c r="J1588" s="6"/>
    </row>
    <row r="1589">
      <c r="J1589" s="6"/>
    </row>
    <row r="1590">
      <c r="J1590" s="6"/>
    </row>
    <row r="1591">
      <c r="J1591" s="6"/>
    </row>
    <row r="1592">
      <c r="J1592" s="6"/>
    </row>
    <row r="1593">
      <c r="J1593" s="6"/>
    </row>
    <row r="1594">
      <c r="J1594" s="6"/>
    </row>
    <row r="1595">
      <c r="J1595" s="6"/>
    </row>
    <row r="1596">
      <c r="J1596" s="6"/>
    </row>
    <row r="1597">
      <c r="J1597" s="6"/>
    </row>
    <row r="1598">
      <c r="J1598" s="6"/>
    </row>
    <row r="1599">
      <c r="J1599" s="6"/>
    </row>
    <row r="1600">
      <c r="J1600" s="6"/>
    </row>
    <row r="1601">
      <c r="J1601" s="6"/>
    </row>
    <row r="1602">
      <c r="J1602" s="6"/>
    </row>
    <row r="1603">
      <c r="J1603" s="6"/>
    </row>
    <row r="1604">
      <c r="J1604" s="6"/>
    </row>
    <row r="1605">
      <c r="J1605" s="6"/>
    </row>
    <row r="1606">
      <c r="J1606" s="6"/>
    </row>
    <row r="1607">
      <c r="J1607" s="6"/>
    </row>
    <row r="1608">
      <c r="J1608" s="6"/>
    </row>
    <row r="1609">
      <c r="J1609" s="6"/>
    </row>
    <row r="1610">
      <c r="J1610" s="6"/>
    </row>
  </sheetData>
  <hyperlinks>
    <hyperlink r:id="rId1" ref="J182"/>
    <hyperlink r:id="rId2" ref="I269"/>
    <hyperlink r:id="rId3" ref="I369"/>
    <hyperlink r:id="rId4" ref="I441"/>
    <hyperlink r:id="rId5" ref="I454"/>
    <hyperlink r:id="rId6" ref="I530"/>
    <hyperlink r:id="rId7" ref="H72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10" max="10" width="8.75"/>
  </cols>
  <sheetData>
    <row r="1">
      <c r="A1" s="1" t="s">
        <v>40</v>
      </c>
      <c r="B1" s="1" t="s">
        <v>41</v>
      </c>
      <c r="C1" s="1" t="s">
        <v>42</v>
      </c>
      <c r="D1" s="1" t="s">
        <v>43</v>
      </c>
      <c r="E1" s="1" t="s">
        <v>44</v>
      </c>
      <c r="F1" s="1" t="s">
        <v>45</v>
      </c>
      <c r="G1" s="1" t="s">
        <v>46</v>
      </c>
      <c r="H1" s="1" t="s">
        <v>1187</v>
      </c>
      <c r="I1" s="1" t="s">
        <v>48</v>
      </c>
      <c r="J1" s="4"/>
      <c r="K1" s="5"/>
      <c r="L1" s="5"/>
      <c r="M1" s="5"/>
      <c r="N1" s="5"/>
      <c r="O1" s="5"/>
      <c r="P1" s="5"/>
      <c r="Q1" s="5"/>
      <c r="R1" s="5"/>
      <c r="S1" s="5"/>
      <c r="T1" s="5"/>
      <c r="U1" s="5"/>
      <c r="V1" s="5"/>
      <c r="W1" s="5"/>
      <c r="X1" s="5"/>
      <c r="Y1" s="5"/>
      <c r="Z1" s="5"/>
    </row>
    <row r="2">
      <c r="A2" s="31"/>
      <c r="B2" s="31"/>
      <c r="C2" s="31"/>
      <c r="D2" s="32">
        <f t="shared" ref="D2:F2" si="1">SUM(D3:D1250)</f>
        <v>5083.61</v>
      </c>
      <c r="E2" s="32">
        <f t="shared" si="1"/>
        <v>16193.83</v>
      </c>
      <c r="F2" s="32">
        <f t="shared" si="1"/>
        <v>762.51</v>
      </c>
      <c r="G2" s="33"/>
      <c r="H2" s="34"/>
      <c r="I2" s="34"/>
      <c r="J2" s="35"/>
      <c r="K2" s="34"/>
      <c r="L2" s="34"/>
      <c r="M2" s="34"/>
      <c r="N2" s="34"/>
      <c r="O2" s="34"/>
      <c r="P2" s="34"/>
      <c r="Q2" s="34"/>
      <c r="R2" s="34"/>
      <c r="S2" s="34"/>
      <c r="T2" s="34"/>
      <c r="U2" s="34"/>
      <c r="V2" s="34"/>
      <c r="W2" s="34"/>
      <c r="X2" s="34"/>
      <c r="Y2" s="34"/>
      <c r="Z2" s="34"/>
    </row>
    <row r="3">
      <c r="A3" s="31" t="s">
        <v>1188</v>
      </c>
      <c r="B3" s="31" t="s">
        <v>1189</v>
      </c>
      <c r="C3" s="31">
        <v>5.0</v>
      </c>
      <c r="D3" s="31">
        <v>4.0</v>
      </c>
      <c r="E3" s="31">
        <v>25.0</v>
      </c>
      <c r="F3" s="31">
        <v>0.0</v>
      </c>
      <c r="G3" s="34">
        <f t="shared" ref="G3:G4" si="2">E3-F3-D3</f>
        <v>21</v>
      </c>
      <c r="H3" s="31" t="s">
        <v>1190</v>
      </c>
      <c r="I3" s="34"/>
      <c r="J3" s="35"/>
      <c r="K3" s="34"/>
      <c r="L3" s="34"/>
      <c r="M3" s="34"/>
      <c r="N3" s="34"/>
      <c r="O3" s="34"/>
      <c r="P3" s="34"/>
      <c r="Q3" s="34"/>
      <c r="R3" s="34"/>
      <c r="S3" s="34"/>
      <c r="T3" s="34"/>
      <c r="U3" s="34"/>
      <c r="V3" s="34"/>
      <c r="W3" s="34"/>
      <c r="X3" s="34"/>
      <c r="Y3" s="34"/>
      <c r="Z3" s="34"/>
    </row>
    <row r="4">
      <c r="A4" s="31" t="s">
        <v>1191</v>
      </c>
      <c r="B4" s="31" t="s">
        <v>1192</v>
      </c>
      <c r="C4" s="31">
        <v>44.0</v>
      </c>
      <c r="D4" s="31">
        <v>6.0</v>
      </c>
      <c r="E4" s="31">
        <v>30.0</v>
      </c>
      <c r="F4" s="31">
        <v>0.0</v>
      </c>
      <c r="G4" s="34">
        <f t="shared" si="2"/>
        <v>24</v>
      </c>
      <c r="H4" s="36">
        <v>46131.0</v>
      </c>
      <c r="I4" s="34"/>
      <c r="J4" s="35"/>
      <c r="K4" s="34"/>
      <c r="L4" s="34"/>
      <c r="M4" s="34"/>
      <c r="N4" s="34"/>
      <c r="O4" s="34"/>
      <c r="P4" s="34"/>
      <c r="Q4" s="34"/>
      <c r="R4" s="34"/>
      <c r="S4" s="34"/>
      <c r="T4" s="34"/>
      <c r="U4" s="34"/>
      <c r="V4" s="34"/>
      <c r="W4" s="34"/>
      <c r="X4" s="34"/>
      <c r="Y4" s="34"/>
      <c r="Z4" s="34"/>
    </row>
    <row r="5">
      <c r="A5" s="31" t="s">
        <v>58</v>
      </c>
      <c r="B5" s="31" t="s">
        <v>1193</v>
      </c>
      <c r="C5" s="31" t="s">
        <v>51</v>
      </c>
      <c r="D5" s="31">
        <v>0.0</v>
      </c>
      <c r="E5" s="34"/>
      <c r="F5" s="34"/>
      <c r="G5" s="34"/>
      <c r="H5" s="37">
        <v>45767.0</v>
      </c>
      <c r="I5" s="34"/>
      <c r="J5" s="35"/>
      <c r="K5" s="34"/>
      <c r="L5" s="34"/>
      <c r="M5" s="34"/>
      <c r="N5" s="34"/>
      <c r="O5" s="34"/>
      <c r="P5" s="34"/>
      <c r="Q5" s="34"/>
      <c r="R5" s="34"/>
      <c r="S5" s="34"/>
      <c r="T5" s="34"/>
      <c r="U5" s="34"/>
      <c r="V5" s="34"/>
      <c r="W5" s="34"/>
      <c r="X5" s="34"/>
      <c r="Y5" s="34"/>
      <c r="Z5" s="34"/>
    </row>
    <row r="6">
      <c r="A6" s="31" t="s">
        <v>58</v>
      </c>
      <c r="B6" s="31" t="s">
        <v>1194</v>
      </c>
      <c r="C6" s="31" t="s">
        <v>57</v>
      </c>
      <c r="D6" s="31">
        <v>7.0</v>
      </c>
      <c r="E6" s="34"/>
      <c r="F6" s="34"/>
      <c r="G6" s="34"/>
      <c r="H6" s="31" t="s">
        <v>1195</v>
      </c>
      <c r="I6" s="34"/>
      <c r="J6" s="35"/>
      <c r="K6" s="34"/>
      <c r="L6" s="34"/>
      <c r="M6" s="34"/>
      <c r="N6" s="34"/>
      <c r="O6" s="34"/>
      <c r="P6" s="34"/>
      <c r="Q6" s="34"/>
      <c r="R6" s="34"/>
      <c r="S6" s="34"/>
      <c r="T6" s="34"/>
      <c r="U6" s="34"/>
      <c r="V6" s="34"/>
      <c r="W6" s="34"/>
      <c r="X6" s="34"/>
      <c r="Y6" s="34"/>
      <c r="Z6" s="34"/>
    </row>
    <row r="7">
      <c r="A7" s="38" t="s">
        <v>58</v>
      </c>
      <c r="B7" s="38" t="s">
        <v>1196</v>
      </c>
      <c r="C7" s="38" t="s">
        <v>1197</v>
      </c>
      <c r="D7" s="38"/>
      <c r="E7" s="39"/>
      <c r="F7" s="39"/>
      <c r="G7" s="39"/>
      <c r="H7" s="40">
        <v>45893.0</v>
      </c>
      <c r="I7" s="39"/>
      <c r="J7" s="41"/>
      <c r="K7" s="39"/>
      <c r="L7" s="39"/>
      <c r="M7" s="39"/>
      <c r="N7" s="39"/>
      <c r="O7" s="39"/>
      <c r="P7" s="39"/>
      <c r="Q7" s="39"/>
      <c r="R7" s="39"/>
      <c r="S7" s="39"/>
      <c r="T7" s="39"/>
      <c r="U7" s="39"/>
      <c r="V7" s="39"/>
      <c r="W7" s="39"/>
      <c r="X7" s="39"/>
      <c r="Y7" s="39"/>
      <c r="Z7" s="39"/>
    </row>
    <row r="8">
      <c r="A8" s="31" t="s">
        <v>55</v>
      </c>
      <c r="B8" s="31" t="s">
        <v>1198</v>
      </c>
      <c r="C8" s="31" t="s">
        <v>51</v>
      </c>
      <c r="D8" s="31">
        <v>7.49</v>
      </c>
      <c r="E8" s="31">
        <v>31.5</v>
      </c>
      <c r="F8" s="31">
        <v>6.35</v>
      </c>
      <c r="G8" s="34">
        <f>E8-F8-D8</f>
        <v>17.66</v>
      </c>
      <c r="H8" s="34"/>
      <c r="I8" s="34"/>
      <c r="J8" s="35"/>
      <c r="K8" s="34"/>
      <c r="L8" s="34"/>
      <c r="M8" s="34"/>
      <c r="N8" s="34"/>
      <c r="O8" s="34"/>
      <c r="P8" s="34"/>
      <c r="Q8" s="34"/>
      <c r="R8" s="34"/>
      <c r="S8" s="34"/>
      <c r="T8" s="34"/>
      <c r="U8" s="34"/>
      <c r="V8" s="34"/>
      <c r="W8" s="34"/>
      <c r="X8" s="34"/>
      <c r="Y8" s="34"/>
      <c r="Z8" s="34"/>
    </row>
    <row r="9">
      <c r="A9" s="31" t="s">
        <v>1199</v>
      </c>
      <c r="B9" s="31" t="s">
        <v>103</v>
      </c>
      <c r="C9" s="31" t="s">
        <v>51</v>
      </c>
      <c r="D9" s="31"/>
      <c r="E9" s="34"/>
      <c r="F9" s="34"/>
      <c r="G9" s="34"/>
      <c r="H9" s="31" t="s">
        <v>1195</v>
      </c>
      <c r="I9" s="31" t="s">
        <v>1200</v>
      </c>
      <c r="J9" s="35"/>
      <c r="K9" s="34"/>
      <c r="L9" s="34"/>
      <c r="M9" s="34"/>
      <c r="N9" s="34"/>
      <c r="O9" s="34"/>
      <c r="P9" s="34"/>
      <c r="Q9" s="34"/>
      <c r="R9" s="34"/>
      <c r="S9" s="34"/>
      <c r="T9" s="34"/>
      <c r="U9" s="34"/>
      <c r="V9" s="34"/>
      <c r="W9" s="34"/>
      <c r="X9" s="34"/>
      <c r="Y9" s="34"/>
      <c r="Z9" s="34"/>
    </row>
    <row r="10">
      <c r="A10" s="31" t="s">
        <v>69</v>
      </c>
      <c r="B10" s="31" t="s">
        <v>871</v>
      </c>
      <c r="C10" s="31"/>
      <c r="D10" s="31">
        <v>5.0</v>
      </c>
      <c r="E10" s="31">
        <v>20.0</v>
      </c>
      <c r="F10" s="31">
        <v>0.0</v>
      </c>
      <c r="G10" s="34">
        <f t="shared" ref="G10:G12" si="3">E10-F10-D10</f>
        <v>15</v>
      </c>
      <c r="H10" s="36">
        <v>46131.0</v>
      </c>
      <c r="I10" s="34"/>
      <c r="J10" s="35"/>
      <c r="K10" s="34"/>
      <c r="L10" s="34"/>
      <c r="M10" s="34"/>
      <c r="N10" s="34"/>
      <c r="O10" s="34"/>
      <c r="P10" s="34"/>
      <c r="Q10" s="34"/>
      <c r="R10" s="34"/>
      <c r="S10" s="34"/>
      <c r="T10" s="34"/>
      <c r="U10" s="34"/>
      <c r="V10" s="34"/>
      <c r="W10" s="34"/>
      <c r="X10" s="34"/>
      <c r="Y10" s="34"/>
      <c r="Z10" s="34"/>
    </row>
    <row r="11">
      <c r="A11" s="42" t="s">
        <v>69</v>
      </c>
      <c r="B11" s="42" t="s">
        <v>1201</v>
      </c>
      <c r="C11" s="42">
        <v>2.0</v>
      </c>
      <c r="D11" s="42">
        <v>8.1</v>
      </c>
      <c r="E11" s="42">
        <v>77.43</v>
      </c>
      <c r="F11" s="42">
        <v>4.49</v>
      </c>
      <c r="G11" s="43">
        <f t="shared" si="3"/>
        <v>64.84</v>
      </c>
      <c r="H11" s="42" t="s">
        <v>1202</v>
      </c>
      <c r="I11" s="43"/>
      <c r="J11" s="44"/>
      <c r="K11" s="43"/>
      <c r="L11" s="43"/>
      <c r="M11" s="43"/>
      <c r="N11" s="43"/>
      <c r="O11" s="43"/>
      <c r="P11" s="43"/>
      <c r="Q11" s="43"/>
      <c r="R11" s="43"/>
      <c r="S11" s="43"/>
      <c r="T11" s="43"/>
      <c r="U11" s="43"/>
      <c r="V11" s="43"/>
      <c r="W11" s="43"/>
      <c r="X11" s="43"/>
      <c r="Y11" s="43"/>
      <c r="Z11" s="43"/>
    </row>
    <row r="12">
      <c r="A12" s="42" t="s">
        <v>1203</v>
      </c>
      <c r="B12" s="42" t="s">
        <v>1204</v>
      </c>
      <c r="C12" s="42" t="s">
        <v>57</v>
      </c>
      <c r="D12" s="42">
        <v>3.5</v>
      </c>
      <c r="E12" s="42">
        <v>67.84</v>
      </c>
      <c r="F12" s="42">
        <v>5.37</v>
      </c>
      <c r="G12" s="43">
        <f t="shared" si="3"/>
        <v>58.97</v>
      </c>
      <c r="H12" s="42" t="s">
        <v>1202</v>
      </c>
      <c r="I12" s="43"/>
      <c r="J12" s="44"/>
      <c r="K12" s="43"/>
      <c r="L12" s="43"/>
      <c r="M12" s="43"/>
      <c r="N12" s="43"/>
      <c r="O12" s="43"/>
      <c r="P12" s="43"/>
      <c r="Q12" s="43"/>
      <c r="R12" s="43"/>
      <c r="S12" s="43"/>
      <c r="T12" s="43"/>
      <c r="U12" s="43"/>
      <c r="V12" s="43"/>
      <c r="W12" s="43"/>
      <c r="X12" s="43"/>
      <c r="Y12" s="43"/>
      <c r="Z12" s="43"/>
    </row>
    <row r="13">
      <c r="A13" s="45" t="s">
        <v>78</v>
      </c>
      <c r="B13" s="45" t="s">
        <v>1205</v>
      </c>
      <c r="C13" s="45" t="s">
        <v>57</v>
      </c>
      <c r="D13" s="45">
        <v>9.0</v>
      </c>
      <c r="E13" s="45">
        <v>35.0</v>
      </c>
      <c r="F13" s="45">
        <v>0.0</v>
      </c>
      <c r="G13" s="46">
        <f t="shared" ref="G13:G14" si="4">E13-D13</f>
        <v>26</v>
      </c>
      <c r="H13" s="47">
        <v>46096.0</v>
      </c>
      <c r="I13" s="46"/>
      <c r="J13" s="48"/>
      <c r="K13" s="46"/>
      <c r="L13" s="46"/>
      <c r="M13" s="46"/>
      <c r="N13" s="46"/>
      <c r="O13" s="46"/>
      <c r="P13" s="46"/>
      <c r="Q13" s="46"/>
      <c r="R13" s="46"/>
      <c r="S13" s="46"/>
      <c r="T13" s="46"/>
      <c r="U13" s="46"/>
      <c r="V13" s="46"/>
      <c r="W13" s="46"/>
      <c r="X13" s="46"/>
      <c r="Y13" s="46"/>
      <c r="Z13" s="46"/>
    </row>
    <row r="14">
      <c r="A14" s="45" t="s">
        <v>1206</v>
      </c>
      <c r="B14" s="45" t="s">
        <v>1207</v>
      </c>
      <c r="C14" s="45" t="s">
        <v>51</v>
      </c>
      <c r="D14" s="45">
        <v>7.0</v>
      </c>
      <c r="E14" s="45">
        <v>25.0</v>
      </c>
      <c r="F14" s="45">
        <v>0.0</v>
      </c>
      <c r="G14" s="46">
        <f t="shared" si="4"/>
        <v>18</v>
      </c>
      <c r="H14" s="47">
        <v>46047.0</v>
      </c>
      <c r="I14" s="46"/>
      <c r="J14" s="48"/>
      <c r="K14" s="46"/>
      <c r="L14" s="46"/>
      <c r="M14" s="46"/>
      <c r="N14" s="46"/>
      <c r="O14" s="46"/>
      <c r="P14" s="46"/>
      <c r="Q14" s="46"/>
      <c r="R14" s="46"/>
      <c r="S14" s="46"/>
      <c r="T14" s="46"/>
      <c r="U14" s="46"/>
      <c r="V14" s="46"/>
      <c r="W14" s="46"/>
      <c r="X14" s="46"/>
      <c r="Y14" s="46"/>
      <c r="Z14" s="46"/>
    </row>
    <row r="15">
      <c r="A15" s="31" t="s">
        <v>1208</v>
      </c>
      <c r="B15" s="31" t="s">
        <v>1209</v>
      </c>
      <c r="C15" s="31" t="s">
        <v>51</v>
      </c>
      <c r="D15" s="31">
        <v>10.0</v>
      </c>
      <c r="E15" s="31">
        <v>36.39</v>
      </c>
      <c r="F15" s="31">
        <v>6.39</v>
      </c>
      <c r="G15" s="34">
        <f>E15-F15-D15</f>
        <v>20</v>
      </c>
      <c r="H15" s="34"/>
      <c r="I15" s="34"/>
      <c r="J15" s="35"/>
      <c r="K15" s="34"/>
      <c r="L15" s="34"/>
      <c r="M15" s="34"/>
      <c r="N15" s="34"/>
      <c r="O15" s="34"/>
      <c r="P15" s="34"/>
      <c r="Q15" s="34"/>
      <c r="R15" s="34"/>
      <c r="S15" s="34"/>
      <c r="T15" s="34"/>
      <c r="U15" s="34"/>
      <c r="V15" s="34"/>
      <c r="W15" s="34"/>
      <c r="X15" s="34"/>
      <c r="Y15" s="34"/>
      <c r="Z15" s="34"/>
    </row>
    <row r="16">
      <c r="A16" s="31" t="s">
        <v>1210</v>
      </c>
      <c r="B16" s="31" t="s">
        <v>1211</v>
      </c>
      <c r="C16" s="31"/>
      <c r="D16" s="31">
        <v>1.5</v>
      </c>
      <c r="E16" s="34"/>
      <c r="F16" s="34"/>
      <c r="G16" s="34"/>
      <c r="H16" s="37">
        <v>45696.0</v>
      </c>
      <c r="I16" s="31" t="s">
        <v>1212</v>
      </c>
      <c r="J16" s="35"/>
      <c r="K16" s="34"/>
      <c r="L16" s="34"/>
      <c r="M16" s="34"/>
      <c r="N16" s="34"/>
      <c r="O16" s="34"/>
      <c r="P16" s="34"/>
      <c r="Q16" s="34"/>
      <c r="R16" s="34"/>
      <c r="S16" s="34"/>
      <c r="T16" s="34"/>
      <c r="U16" s="34"/>
      <c r="V16" s="34"/>
      <c r="W16" s="34"/>
      <c r="X16" s="34"/>
      <c r="Y16" s="34"/>
      <c r="Z16" s="34"/>
    </row>
    <row r="17">
      <c r="A17" s="38" t="s">
        <v>82</v>
      </c>
      <c r="B17" s="38" t="s">
        <v>1213</v>
      </c>
      <c r="C17" s="38" t="s">
        <v>51</v>
      </c>
      <c r="D17" s="38"/>
      <c r="E17" s="39"/>
      <c r="F17" s="39"/>
      <c r="G17" s="39"/>
      <c r="H17" s="40">
        <v>45893.0</v>
      </c>
      <c r="I17" s="39"/>
      <c r="J17" s="41"/>
      <c r="K17" s="39"/>
      <c r="L17" s="39"/>
      <c r="M17" s="39"/>
      <c r="N17" s="39"/>
      <c r="O17" s="39"/>
      <c r="P17" s="39"/>
      <c r="Q17" s="39"/>
      <c r="R17" s="39"/>
      <c r="S17" s="39"/>
      <c r="T17" s="39"/>
      <c r="U17" s="39"/>
      <c r="V17" s="39"/>
      <c r="W17" s="39"/>
      <c r="X17" s="39"/>
      <c r="Y17" s="39"/>
      <c r="Z17" s="39"/>
    </row>
    <row r="18">
      <c r="A18" s="7" t="s">
        <v>105</v>
      </c>
      <c r="B18" s="7" t="s">
        <v>1214</v>
      </c>
      <c r="C18" s="7" t="s">
        <v>57</v>
      </c>
      <c r="D18" s="7">
        <v>13.0</v>
      </c>
      <c r="E18" s="7">
        <v>36.0</v>
      </c>
      <c r="F18" s="7">
        <v>0.0</v>
      </c>
      <c r="G18" s="8">
        <f>E18-F18-D18</f>
        <v>23</v>
      </c>
      <c r="H18" s="7" t="s">
        <v>614</v>
      </c>
      <c r="I18" s="7"/>
      <c r="J18" s="9"/>
      <c r="K18" s="8"/>
      <c r="L18" s="8"/>
      <c r="M18" s="8"/>
      <c r="N18" s="8"/>
      <c r="O18" s="8"/>
      <c r="P18" s="8"/>
      <c r="Q18" s="8"/>
      <c r="R18" s="8"/>
      <c r="S18" s="8"/>
      <c r="T18" s="8"/>
      <c r="U18" s="8"/>
      <c r="V18" s="8"/>
      <c r="W18" s="8"/>
      <c r="X18" s="8"/>
      <c r="Y18" s="8"/>
      <c r="Z18" s="8"/>
    </row>
    <row r="19">
      <c r="A19" s="38" t="s">
        <v>88</v>
      </c>
      <c r="B19" s="38" t="s">
        <v>1215</v>
      </c>
      <c r="C19" s="38" t="s">
        <v>57</v>
      </c>
      <c r="D19" s="38">
        <v>10.0</v>
      </c>
      <c r="E19" s="39"/>
      <c r="F19" s="39"/>
      <c r="G19" s="39"/>
      <c r="H19" s="40">
        <v>45893.0</v>
      </c>
      <c r="I19" s="38"/>
      <c r="J19" s="41"/>
      <c r="K19" s="39"/>
      <c r="L19" s="39"/>
      <c r="M19" s="39"/>
      <c r="N19" s="39"/>
      <c r="O19" s="39"/>
      <c r="P19" s="39"/>
      <c r="Q19" s="39"/>
      <c r="R19" s="39"/>
      <c r="S19" s="39"/>
      <c r="T19" s="39"/>
      <c r="U19" s="39"/>
      <c r="V19" s="39"/>
      <c r="W19" s="39"/>
      <c r="X19" s="39"/>
      <c r="Y19" s="39"/>
      <c r="Z19" s="39"/>
    </row>
    <row r="20">
      <c r="A20" s="10" t="s">
        <v>88</v>
      </c>
      <c r="B20" s="10" t="s">
        <v>1175</v>
      </c>
      <c r="C20" s="10" t="s">
        <v>51</v>
      </c>
      <c r="D20" s="10">
        <v>4.0</v>
      </c>
      <c r="E20" s="10">
        <v>30.0</v>
      </c>
      <c r="F20" s="10">
        <v>0.0</v>
      </c>
      <c r="G20" s="11">
        <f>E20-F20-D20</f>
        <v>26</v>
      </c>
      <c r="H20" s="49">
        <v>45976.0</v>
      </c>
      <c r="I20" s="10"/>
      <c r="J20" s="12"/>
      <c r="K20" s="11"/>
      <c r="L20" s="11"/>
      <c r="M20" s="11"/>
      <c r="N20" s="11"/>
      <c r="O20" s="11"/>
      <c r="P20" s="11"/>
      <c r="Q20" s="11"/>
      <c r="R20" s="11"/>
      <c r="S20" s="11"/>
      <c r="T20" s="11"/>
      <c r="U20" s="11"/>
      <c r="V20" s="11"/>
      <c r="W20" s="11"/>
      <c r="X20" s="11"/>
      <c r="Y20" s="11"/>
      <c r="Z20" s="11"/>
    </row>
    <row r="21">
      <c r="A21" s="45" t="s">
        <v>88</v>
      </c>
      <c r="B21" s="45" t="s">
        <v>1216</v>
      </c>
      <c r="C21" s="45" t="s">
        <v>66</v>
      </c>
      <c r="D21" s="45">
        <v>5.0</v>
      </c>
      <c r="E21" s="45">
        <v>30.0</v>
      </c>
      <c r="F21" s="45">
        <v>0.0</v>
      </c>
      <c r="G21" s="46">
        <f>E21-D21</f>
        <v>25</v>
      </c>
      <c r="H21" s="47">
        <v>46096.0</v>
      </c>
      <c r="I21" s="45"/>
      <c r="J21" s="48"/>
      <c r="K21" s="46"/>
      <c r="L21" s="46"/>
      <c r="M21" s="46"/>
      <c r="N21" s="46"/>
      <c r="O21" s="46"/>
      <c r="P21" s="46"/>
      <c r="Q21" s="46"/>
      <c r="R21" s="46"/>
      <c r="S21" s="46"/>
      <c r="T21" s="46"/>
      <c r="U21" s="46"/>
      <c r="V21" s="46"/>
      <c r="W21" s="46"/>
      <c r="X21" s="46"/>
      <c r="Y21" s="46"/>
      <c r="Z21" s="46"/>
    </row>
    <row r="22">
      <c r="A22" s="31" t="s">
        <v>105</v>
      </c>
      <c r="B22" s="31" t="s">
        <v>1061</v>
      </c>
      <c r="C22" s="31" t="s">
        <v>57</v>
      </c>
      <c r="D22" s="31">
        <v>7.0</v>
      </c>
      <c r="E22" s="31">
        <v>30.0</v>
      </c>
      <c r="F22" s="31">
        <v>0.0</v>
      </c>
      <c r="G22" s="34">
        <f>E22-F22-D22</f>
        <v>23</v>
      </c>
      <c r="H22" s="31" t="s">
        <v>1190</v>
      </c>
      <c r="I22" s="31"/>
      <c r="J22" s="35"/>
      <c r="K22" s="34"/>
      <c r="L22" s="34"/>
      <c r="M22" s="34"/>
      <c r="N22" s="34"/>
      <c r="O22" s="34"/>
      <c r="P22" s="34"/>
      <c r="Q22" s="34"/>
      <c r="R22" s="34"/>
      <c r="S22" s="34"/>
      <c r="T22" s="34"/>
      <c r="U22" s="34"/>
      <c r="V22" s="34"/>
      <c r="W22" s="34"/>
      <c r="X22" s="34"/>
      <c r="Y22" s="34"/>
      <c r="Z22" s="34"/>
    </row>
    <row r="23">
      <c r="A23" s="31" t="s">
        <v>88</v>
      </c>
      <c r="B23" s="31" t="s">
        <v>1217</v>
      </c>
      <c r="C23" s="31" t="s">
        <v>66</v>
      </c>
      <c r="D23" s="31">
        <v>17.0</v>
      </c>
      <c r="E23" s="34"/>
      <c r="F23" s="34"/>
      <c r="G23" s="34"/>
      <c r="H23" s="31" t="s">
        <v>1195</v>
      </c>
      <c r="I23" s="31"/>
      <c r="J23" s="35"/>
      <c r="K23" s="34"/>
      <c r="L23" s="34"/>
      <c r="M23" s="34"/>
      <c r="N23" s="34"/>
      <c r="O23" s="34"/>
      <c r="P23" s="34"/>
      <c r="Q23" s="34"/>
      <c r="R23" s="34"/>
      <c r="S23" s="34"/>
      <c r="T23" s="34"/>
      <c r="U23" s="34"/>
      <c r="V23" s="34"/>
      <c r="W23" s="34"/>
      <c r="X23" s="34"/>
      <c r="Y23" s="34"/>
      <c r="Z23" s="34"/>
    </row>
    <row r="24">
      <c r="A24" s="31" t="s">
        <v>88</v>
      </c>
      <c r="B24" s="31" t="s">
        <v>1218</v>
      </c>
      <c r="C24" s="31" t="s">
        <v>57</v>
      </c>
      <c r="D24" s="31">
        <v>5.0</v>
      </c>
      <c r="E24" s="31">
        <v>50.0</v>
      </c>
      <c r="F24" s="31">
        <v>3.47</v>
      </c>
      <c r="G24" s="34">
        <f t="shared" ref="G24:G26" si="5">E24-F24-D24</f>
        <v>41.53</v>
      </c>
      <c r="H24" s="31"/>
      <c r="I24" s="31"/>
      <c r="J24" s="35"/>
      <c r="K24" s="34"/>
      <c r="L24" s="34"/>
      <c r="M24" s="34"/>
      <c r="N24" s="34"/>
      <c r="O24" s="34"/>
      <c r="P24" s="34"/>
      <c r="Q24" s="34"/>
      <c r="R24" s="34"/>
      <c r="S24" s="34"/>
      <c r="T24" s="34"/>
      <c r="U24" s="34"/>
      <c r="V24" s="34"/>
      <c r="W24" s="34"/>
      <c r="X24" s="34"/>
      <c r="Y24" s="34"/>
      <c r="Z24" s="34"/>
    </row>
    <row r="25">
      <c r="A25" s="31" t="s">
        <v>88</v>
      </c>
      <c r="B25" s="31" t="s">
        <v>1219</v>
      </c>
      <c r="C25" s="31" t="s">
        <v>1220</v>
      </c>
      <c r="D25" s="31">
        <v>7.0</v>
      </c>
      <c r="E25" s="31">
        <v>25.0</v>
      </c>
      <c r="F25" s="31">
        <v>0.0</v>
      </c>
      <c r="G25" s="34">
        <f t="shared" si="5"/>
        <v>18</v>
      </c>
      <c r="H25" s="37">
        <v>45822.0</v>
      </c>
      <c r="I25" s="34"/>
      <c r="J25" s="35"/>
      <c r="K25" s="34"/>
      <c r="L25" s="34"/>
      <c r="M25" s="34"/>
      <c r="N25" s="34"/>
      <c r="O25" s="34"/>
      <c r="P25" s="34"/>
      <c r="Q25" s="34"/>
      <c r="R25" s="34"/>
      <c r="S25" s="34"/>
      <c r="T25" s="34"/>
      <c r="U25" s="34"/>
      <c r="V25" s="34"/>
      <c r="W25" s="34"/>
      <c r="X25" s="34"/>
      <c r="Y25" s="34"/>
      <c r="Z25" s="34"/>
    </row>
    <row r="26">
      <c r="A26" s="31" t="s">
        <v>105</v>
      </c>
      <c r="B26" s="31" t="s">
        <v>1221</v>
      </c>
      <c r="C26" s="31" t="s">
        <v>57</v>
      </c>
      <c r="D26" s="31">
        <v>10.0</v>
      </c>
      <c r="E26" s="31">
        <v>25.0</v>
      </c>
      <c r="F26" s="31">
        <v>3.5</v>
      </c>
      <c r="G26" s="34">
        <f t="shared" si="5"/>
        <v>11.5</v>
      </c>
      <c r="H26" s="50"/>
      <c r="I26" s="31" t="s">
        <v>1222</v>
      </c>
      <c r="J26" s="35"/>
      <c r="K26" s="34"/>
      <c r="L26" s="34"/>
      <c r="M26" s="34"/>
      <c r="N26" s="34"/>
      <c r="O26" s="34"/>
      <c r="P26" s="34"/>
      <c r="Q26" s="34"/>
      <c r="R26" s="34"/>
      <c r="S26" s="34"/>
      <c r="T26" s="34"/>
      <c r="U26" s="34"/>
      <c r="V26" s="34"/>
      <c r="W26" s="34"/>
      <c r="X26" s="34"/>
      <c r="Y26" s="34"/>
      <c r="Z26" s="34"/>
    </row>
    <row r="27">
      <c r="A27" s="31" t="s">
        <v>88</v>
      </c>
      <c r="B27" s="31" t="s">
        <v>1223</v>
      </c>
      <c r="C27" s="31" t="s">
        <v>51</v>
      </c>
      <c r="D27" s="31"/>
      <c r="E27" s="34"/>
      <c r="F27" s="34"/>
      <c r="G27" s="34"/>
      <c r="H27" s="37">
        <v>45696.0</v>
      </c>
      <c r="I27" s="31" t="s">
        <v>1224</v>
      </c>
      <c r="J27" s="35"/>
      <c r="K27" s="34"/>
      <c r="L27" s="34"/>
      <c r="M27" s="34"/>
      <c r="N27" s="34"/>
      <c r="O27" s="34"/>
      <c r="P27" s="34"/>
      <c r="Q27" s="34"/>
      <c r="R27" s="34"/>
      <c r="S27" s="34"/>
      <c r="T27" s="34"/>
      <c r="U27" s="34"/>
      <c r="V27" s="34"/>
      <c r="W27" s="34"/>
      <c r="X27" s="34"/>
      <c r="Y27" s="34"/>
      <c r="Z27" s="34"/>
    </row>
    <row r="28">
      <c r="A28" s="31" t="s">
        <v>1225</v>
      </c>
      <c r="B28" s="31" t="s">
        <v>1226</v>
      </c>
      <c r="C28" s="31"/>
      <c r="D28" s="31">
        <v>9.0</v>
      </c>
      <c r="E28" s="34"/>
      <c r="F28" s="34"/>
      <c r="G28" s="34"/>
      <c r="H28" s="37">
        <v>45696.0</v>
      </c>
      <c r="I28" s="31" t="s">
        <v>1227</v>
      </c>
      <c r="J28" s="35"/>
      <c r="K28" s="34"/>
      <c r="L28" s="34"/>
      <c r="M28" s="34"/>
      <c r="N28" s="34"/>
      <c r="O28" s="34"/>
      <c r="P28" s="34"/>
      <c r="Q28" s="34"/>
      <c r="R28" s="34"/>
      <c r="S28" s="34"/>
      <c r="T28" s="34"/>
      <c r="U28" s="34"/>
      <c r="V28" s="34"/>
      <c r="W28" s="34"/>
      <c r="X28" s="34"/>
      <c r="Y28" s="34"/>
      <c r="Z28" s="34"/>
    </row>
    <row r="29">
      <c r="A29" s="31" t="s">
        <v>109</v>
      </c>
      <c r="B29" s="31" t="s">
        <v>966</v>
      </c>
      <c r="C29" s="31" t="s">
        <v>51</v>
      </c>
      <c r="D29" s="31">
        <v>8.5</v>
      </c>
      <c r="E29" s="31">
        <v>40.0</v>
      </c>
      <c r="F29" s="31">
        <v>0.0</v>
      </c>
      <c r="G29" s="34">
        <f t="shared" ref="G29:G31" si="6">E29-F29-D29</f>
        <v>31.5</v>
      </c>
      <c r="H29" s="31"/>
      <c r="I29" s="34"/>
      <c r="J29" s="35"/>
      <c r="K29" s="34"/>
      <c r="L29" s="34"/>
      <c r="M29" s="34"/>
      <c r="N29" s="34"/>
      <c r="O29" s="34"/>
      <c r="P29" s="34"/>
      <c r="Q29" s="34"/>
      <c r="R29" s="34"/>
      <c r="S29" s="34"/>
      <c r="T29" s="34"/>
      <c r="U29" s="34"/>
      <c r="V29" s="34"/>
      <c r="W29" s="34"/>
      <c r="X29" s="34"/>
      <c r="Y29" s="34"/>
      <c r="Z29" s="34"/>
    </row>
    <row r="30">
      <c r="A30" s="51" t="s">
        <v>1228</v>
      </c>
      <c r="B30" s="51" t="s">
        <v>1229</v>
      </c>
      <c r="C30" s="51" t="s">
        <v>51</v>
      </c>
      <c r="D30" s="51">
        <v>8.0</v>
      </c>
      <c r="E30" s="51">
        <v>20.0</v>
      </c>
      <c r="F30" s="51">
        <v>0.0</v>
      </c>
      <c r="G30" s="52">
        <f t="shared" si="6"/>
        <v>12</v>
      </c>
      <c r="H30" s="52"/>
      <c r="I30" s="52"/>
      <c r="J30" s="53"/>
      <c r="K30" s="52"/>
      <c r="L30" s="52"/>
      <c r="M30" s="52"/>
      <c r="N30" s="52"/>
      <c r="O30" s="52"/>
      <c r="P30" s="52"/>
      <c r="Q30" s="52"/>
      <c r="R30" s="52"/>
      <c r="S30" s="52"/>
      <c r="T30" s="52"/>
      <c r="U30" s="52"/>
      <c r="V30" s="52"/>
      <c r="W30" s="52"/>
      <c r="X30" s="52"/>
      <c r="Y30" s="52"/>
      <c r="Z30" s="52"/>
    </row>
    <row r="31">
      <c r="A31" s="51" t="s">
        <v>109</v>
      </c>
      <c r="B31" s="51" t="s">
        <v>564</v>
      </c>
      <c r="C31" s="51" t="s">
        <v>57</v>
      </c>
      <c r="D31" s="51">
        <v>15.0</v>
      </c>
      <c r="E31" s="51">
        <v>30.0</v>
      </c>
      <c r="F31" s="51">
        <v>0.0</v>
      </c>
      <c r="G31" s="52">
        <f t="shared" si="6"/>
        <v>15</v>
      </c>
      <c r="H31" s="52"/>
      <c r="I31" s="52"/>
      <c r="J31" s="53"/>
      <c r="K31" s="52"/>
      <c r="L31" s="52"/>
      <c r="M31" s="52"/>
      <c r="N31" s="52"/>
      <c r="O31" s="52"/>
      <c r="P31" s="52"/>
      <c r="Q31" s="52"/>
      <c r="R31" s="52"/>
      <c r="S31" s="52"/>
      <c r="T31" s="52"/>
      <c r="U31" s="52"/>
      <c r="V31" s="52"/>
      <c r="W31" s="52"/>
      <c r="X31" s="52"/>
      <c r="Y31" s="52"/>
      <c r="Z31" s="52"/>
    </row>
    <row r="32">
      <c r="A32" s="45" t="s">
        <v>1230</v>
      </c>
      <c r="B32" s="45" t="s">
        <v>1231</v>
      </c>
      <c r="C32" s="45"/>
      <c r="D32" s="45">
        <v>6.5</v>
      </c>
      <c r="E32" s="45">
        <v>25.0</v>
      </c>
      <c r="F32" s="45">
        <v>0.0</v>
      </c>
      <c r="G32" s="46">
        <f>E32-D32</f>
        <v>18.5</v>
      </c>
      <c r="H32" s="47">
        <v>46096.0</v>
      </c>
      <c r="I32" s="45"/>
      <c r="J32" s="48"/>
      <c r="K32" s="46"/>
      <c r="L32" s="46"/>
      <c r="M32" s="46"/>
      <c r="N32" s="46"/>
      <c r="O32" s="46"/>
      <c r="P32" s="46"/>
      <c r="Q32" s="46"/>
      <c r="R32" s="46"/>
      <c r="S32" s="46"/>
      <c r="T32" s="46"/>
      <c r="U32" s="46"/>
      <c r="V32" s="46"/>
      <c r="W32" s="46"/>
      <c r="X32" s="46"/>
      <c r="Y32" s="46"/>
      <c r="Z32" s="46"/>
    </row>
    <row r="33">
      <c r="A33" s="51" t="s">
        <v>114</v>
      </c>
      <c r="B33" s="51" t="s">
        <v>1232</v>
      </c>
      <c r="C33" s="51">
        <v>2.0</v>
      </c>
      <c r="D33" s="51">
        <v>6.3</v>
      </c>
      <c r="E33" s="51">
        <v>15.0</v>
      </c>
      <c r="F33" s="51">
        <v>0.0</v>
      </c>
      <c r="G33" s="52">
        <f>E33-F33-D33</f>
        <v>8.7</v>
      </c>
      <c r="H33" s="52"/>
      <c r="I33" s="52"/>
      <c r="J33" s="53"/>
      <c r="K33" s="52"/>
      <c r="L33" s="52"/>
      <c r="M33" s="52"/>
      <c r="N33" s="52"/>
      <c r="O33" s="52"/>
      <c r="P33" s="52"/>
      <c r="Q33" s="52"/>
      <c r="R33" s="52"/>
      <c r="S33" s="52"/>
      <c r="T33" s="52"/>
      <c r="U33" s="52"/>
      <c r="V33" s="52"/>
      <c r="W33" s="52"/>
      <c r="X33" s="52"/>
      <c r="Y33" s="52"/>
      <c r="Z33" s="52"/>
    </row>
    <row r="34">
      <c r="A34" s="31" t="s">
        <v>114</v>
      </c>
      <c r="B34" s="31" t="s">
        <v>1233</v>
      </c>
      <c r="C34" s="31" t="s">
        <v>51</v>
      </c>
      <c r="D34" s="31">
        <v>3.7</v>
      </c>
      <c r="E34" s="31">
        <v>25.0</v>
      </c>
      <c r="F34" s="31">
        <v>0.0</v>
      </c>
      <c r="G34" s="34">
        <f t="shared" ref="G34:G35" si="7">E34-D34</f>
        <v>21.3</v>
      </c>
      <c r="H34" s="36">
        <v>46131.0</v>
      </c>
      <c r="I34" s="34"/>
      <c r="J34" s="35"/>
      <c r="K34" s="34"/>
      <c r="L34" s="34"/>
      <c r="M34" s="34"/>
      <c r="N34" s="34"/>
      <c r="O34" s="34"/>
      <c r="P34" s="34"/>
      <c r="Q34" s="34"/>
      <c r="R34" s="34"/>
      <c r="S34" s="34"/>
      <c r="T34" s="34"/>
      <c r="U34" s="34"/>
      <c r="V34" s="34"/>
      <c r="W34" s="34"/>
      <c r="X34" s="34"/>
      <c r="Y34" s="34"/>
      <c r="Z34" s="34"/>
    </row>
    <row r="35">
      <c r="A35" s="31" t="s">
        <v>114</v>
      </c>
      <c r="B35" s="31" t="s">
        <v>1234</v>
      </c>
      <c r="C35" s="31" t="s">
        <v>51</v>
      </c>
      <c r="D35" s="31">
        <v>6.0</v>
      </c>
      <c r="E35" s="31">
        <v>25.0</v>
      </c>
      <c r="F35" s="31">
        <v>0.0</v>
      </c>
      <c r="G35" s="34">
        <f t="shared" si="7"/>
        <v>19</v>
      </c>
      <c r="H35" s="36">
        <v>46131.0</v>
      </c>
      <c r="I35" s="34"/>
      <c r="J35" s="35"/>
      <c r="K35" s="34"/>
      <c r="L35" s="34"/>
      <c r="M35" s="34"/>
      <c r="N35" s="34"/>
      <c r="O35" s="34"/>
      <c r="P35" s="34"/>
      <c r="Q35" s="34"/>
      <c r="R35" s="34"/>
      <c r="S35" s="34"/>
      <c r="T35" s="34"/>
      <c r="U35" s="34"/>
      <c r="V35" s="34"/>
      <c r="W35" s="34"/>
      <c r="X35" s="34"/>
      <c r="Y35" s="34"/>
      <c r="Z35" s="34"/>
    </row>
    <row r="36">
      <c r="A36" s="31" t="s">
        <v>114</v>
      </c>
      <c r="B36" s="31" t="s">
        <v>1235</v>
      </c>
      <c r="C36" s="31" t="s">
        <v>481</v>
      </c>
      <c r="D36" s="31">
        <v>6.3</v>
      </c>
      <c r="E36" s="31"/>
      <c r="F36" s="34"/>
      <c r="G36" s="34"/>
      <c r="H36" s="36">
        <v>45767.0</v>
      </c>
      <c r="I36" s="34"/>
      <c r="J36" s="35"/>
      <c r="K36" s="34"/>
      <c r="L36" s="34"/>
      <c r="M36" s="34"/>
      <c r="N36" s="34"/>
      <c r="O36" s="34"/>
      <c r="P36" s="34"/>
      <c r="Q36" s="34"/>
      <c r="R36" s="34"/>
      <c r="S36" s="34"/>
      <c r="T36" s="34"/>
      <c r="U36" s="34"/>
      <c r="V36" s="34"/>
      <c r="W36" s="34"/>
      <c r="X36" s="34"/>
      <c r="Y36" s="34"/>
      <c r="Z36" s="34"/>
    </row>
    <row r="37">
      <c r="A37" s="31" t="s">
        <v>114</v>
      </c>
      <c r="B37" s="31" t="s">
        <v>1236</v>
      </c>
      <c r="C37" s="31" t="s">
        <v>95</v>
      </c>
      <c r="D37" s="31">
        <v>10.0</v>
      </c>
      <c r="E37" s="34"/>
      <c r="F37" s="34"/>
      <c r="G37" s="34"/>
      <c r="H37" s="36">
        <v>45767.0</v>
      </c>
      <c r="I37" s="34"/>
      <c r="J37" s="35"/>
      <c r="K37" s="34"/>
      <c r="L37" s="34"/>
      <c r="M37" s="34"/>
      <c r="N37" s="34"/>
      <c r="O37" s="34"/>
      <c r="P37" s="34"/>
      <c r="Q37" s="34"/>
      <c r="R37" s="34"/>
      <c r="S37" s="34"/>
      <c r="T37" s="34"/>
      <c r="U37" s="34"/>
      <c r="V37" s="34"/>
      <c r="W37" s="34"/>
      <c r="X37" s="34"/>
      <c r="Y37" s="34"/>
      <c r="Z37" s="34"/>
    </row>
    <row r="38">
      <c r="A38" s="31" t="s">
        <v>114</v>
      </c>
      <c r="B38" s="31" t="s">
        <v>1237</v>
      </c>
      <c r="C38" s="31" t="s">
        <v>66</v>
      </c>
      <c r="D38" s="31">
        <v>11.0</v>
      </c>
      <c r="E38" s="34"/>
      <c r="F38" s="34"/>
      <c r="G38" s="34"/>
      <c r="H38" s="36">
        <v>45767.0</v>
      </c>
      <c r="I38" s="34"/>
      <c r="J38" s="35"/>
      <c r="K38" s="34"/>
      <c r="L38" s="34"/>
      <c r="M38" s="34"/>
      <c r="N38" s="34"/>
      <c r="O38" s="34"/>
      <c r="P38" s="34"/>
      <c r="Q38" s="34"/>
      <c r="R38" s="34"/>
      <c r="S38" s="34"/>
      <c r="T38" s="34"/>
      <c r="U38" s="34"/>
      <c r="V38" s="34"/>
      <c r="W38" s="34"/>
      <c r="X38" s="34"/>
      <c r="Y38" s="34"/>
      <c r="Z38" s="34"/>
    </row>
    <row r="39">
      <c r="A39" s="31" t="s">
        <v>114</v>
      </c>
      <c r="B39" s="31" t="s">
        <v>1238</v>
      </c>
      <c r="C39" s="31" t="s">
        <v>1220</v>
      </c>
      <c r="D39" s="31">
        <v>10.0</v>
      </c>
      <c r="E39" s="34"/>
      <c r="F39" s="34"/>
      <c r="G39" s="34"/>
      <c r="H39" s="54">
        <v>45794.0</v>
      </c>
      <c r="I39" s="34"/>
      <c r="J39" s="35"/>
      <c r="K39" s="34"/>
      <c r="L39" s="34"/>
      <c r="M39" s="34"/>
      <c r="N39" s="34"/>
      <c r="O39" s="34"/>
      <c r="P39" s="34"/>
      <c r="Q39" s="34"/>
      <c r="R39" s="34"/>
      <c r="S39" s="34"/>
      <c r="T39" s="34"/>
      <c r="U39" s="34"/>
      <c r="V39" s="34"/>
      <c r="W39" s="34"/>
      <c r="X39" s="34"/>
      <c r="Y39" s="34"/>
      <c r="Z39" s="34"/>
    </row>
    <row r="40">
      <c r="A40" s="45" t="s">
        <v>122</v>
      </c>
      <c r="B40" s="45" t="s">
        <v>1059</v>
      </c>
      <c r="C40" s="45" t="s">
        <v>51</v>
      </c>
      <c r="D40" s="45">
        <v>9.0</v>
      </c>
      <c r="E40" s="45">
        <v>40.0</v>
      </c>
      <c r="F40" s="45">
        <v>0.0</v>
      </c>
      <c r="G40" s="46">
        <f t="shared" ref="G40:G41" si="8">E40-D40</f>
        <v>31</v>
      </c>
      <c r="H40" s="47">
        <v>46096.0</v>
      </c>
      <c r="I40" s="46"/>
      <c r="J40" s="48"/>
      <c r="K40" s="46"/>
      <c r="L40" s="46"/>
      <c r="M40" s="46"/>
      <c r="N40" s="46"/>
      <c r="O40" s="46"/>
      <c r="P40" s="46"/>
      <c r="Q40" s="46"/>
      <c r="R40" s="46"/>
      <c r="S40" s="46"/>
      <c r="T40" s="46"/>
      <c r="U40" s="46"/>
      <c r="V40" s="46"/>
      <c r="W40" s="46"/>
      <c r="X40" s="46"/>
      <c r="Y40" s="46"/>
      <c r="Z40" s="46"/>
    </row>
    <row r="41">
      <c r="A41" s="31" t="s">
        <v>122</v>
      </c>
      <c r="B41" s="31" t="s">
        <v>1059</v>
      </c>
      <c r="C41" s="31" t="s">
        <v>95</v>
      </c>
      <c r="D41" s="31">
        <v>11.0</v>
      </c>
      <c r="E41" s="31">
        <v>40.0</v>
      </c>
      <c r="F41" s="31">
        <v>0.0</v>
      </c>
      <c r="G41" s="34">
        <f t="shared" si="8"/>
        <v>29</v>
      </c>
      <c r="H41" s="34"/>
      <c r="I41" s="34"/>
      <c r="J41" s="35"/>
      <c r="K41" s="34"/>
      <c r="L41" s="34"/>
      <c r="M41" s="34"/>
      <c r="N41" s="34"/>
      <c r="O41" s="34"/>
      <c r="P41" s="34"/>
      <c r="Q41" s="34"/>
      <c r="R41" s="34"/>
      <c r="S41" s="34"/>
      <c r="T41" s="34"/>
      <c r="U41" s="34"/>
      <c r="V41" s="34"/>
      <c r="W41" s="34"/>
      <c r="X41" s="34"/>
      <c r="Y41" s="34"/>
      <c r="Z41" s="34"/>
    </row>
    <row r="42">
      <c r="A42" s="38" t="s">
        <v>131</v>
      </c>
      <c r="B42" s="38" t="s">
        <v>1239</v>
      </c>
      <c r="C42" s="38" t="s">
        <v>57</v>
      </c>
      <c r="D42" s="38">
        <v>7.1</v>
      </c>
      <c r="E42" s="39"/>
      <c r="F42" s="39"/>
      <c r="G42" s="39"/>
      <c r="H42" s="40">
        <v>45893.0</v>
      </c>
      <c r="I42" s="39"/>
      <c r="J42" s="41"/>
      <c r="K42" s="39"/>
      <c r="L42" s="39"/>
      <c r="M42" s="39"/>
      <c r="N42" s="39"/>
      <c r="O42" s="39"/>
      <c r="P42" s="39"/>
      <c r="Q42" s="39"/>
      <c r="R42" s="39"/>
      <c r="S42" s="39"/>
      <c r="T42" s="39"/>
      <c r="U42" s="39"/>
      <c r="V42" s="39"/>
      <c r="W42" s="39"/>
      <c r="X42" s="39"/>
      <c r="Y42" s="39"/>
      <c r="Z42" s="39"/>
    </row>
    <row r="43">
      <c r="A43" s="31" t="s">
        <v>133</v>
      </c>
      <c r="B43" s="31" t="s">
        <v>1240</v>
      </c>
      <c r="C43" s="55">
        <v>45942.0</v>
      </c>
      <c r="D43" s="31"/>
      <c r="E43" s="34"/>
      <c r="F43" s="34"/>
      <c r="G43" s="34"/>
      <c r="H43" s="31" t="s">
        <v>1195</v>
      </c>
      <c r="I43" s="34"/>
      <c r="J43" s="35"/>
      <c r="K43" s="34"/>
      <c r="L43" s="34"/>
      <c r="M43" s="34"/>
      <c r="N43" s="34"/>
      <c r="O43" s="34"/>
      <c r="P43" s="34"/>
      <c r="Q43" s="34"/>
      <c r="R43" s="34"/>
      <c r="S43" s="34"/>
      <c r="T43" s="34"/>
      <c r="U43" s="34"/>
      <c r="V43" s="34"/>
      <c r="W43" s="34"/>
      <c r="X43" s="34"/>
      <c r="Y43" s="34"/>
      <c r="Z43" s="34"/>
    </row>
    <row r="44">
      <c r="A44" s="31" t="s">
        <v>1241</v>
      </c>
      <c r="B44" s="31" t="s">
        <v>1242</v>
      </c>
      <c r="C44" s="31" t="s">
        <v>57</v>
      </c>
      <c r="D44" s="31">
        <v>6.0</v>
      </c>
      <c r="E44" s="31">
        <v>15.0</v>
      </c>
      <c r="F44" s="31">
        <v>0.0</v>
      </c>
      <c r="G44" s="34">
        <f>E44-F44-D44</f>
        <v>9</v>
      </c>
      <c r="H44" s="34"/>
      <c r="I44" s="34"/>
      <c r="J44" s="35"/>
      <c r="K44" s="34"/>
      <c r="L44" s="34"/>
      <c r="M44" s="34"/>
      <c r="N44" s="34"/>
      <c r="O44" s="34"/>
      <c r="P44" s="34"/>
      <c r="Q44" s="34"/>
      <c r="R44" s="34"/>
      <c r="S44" s="34"/>
      <c r="T44" s="34"/>
      <c r="U44" s="34"/>
      <c r="V44" s="34"/>
      <c r="W44" s="34"/>
      <c r="X44" s="34"/>
      <c r="Y44" s="34"/>
      <c r="Z44" s="34"/>
    </row>
    <row r="45">
      <c r="A45" s="38" t="s">
        <v>137</v>
      </c>
      <c r="B45" s="38" t="s">
        <v>1243</v>
      </c>
      <c r="C45" s="38" t="s">
        <v>57</v>
      </c>
      <c r="D45" s="38">
        <v>8.0</v>
      </c>
      <c r="E45" s="39"/>
      <c r="F45" s="39"/>
      <c r="G45" s="39"/>
      <c r="H45" s="40">
        <v>45893.0</v>
      </c>
      <c r="I45" s="39"/>
      <c r="J45" s="41"/>
      <c r="K45" s="39"/>
      <c r="L45" s="39"/>
      <c r="M45" s="39"/>
      <c r="N45" s="39"/>
      <c r="O45" s="39"/>
      <c r="P45" s="39"/>
      <c r="Q45" s="39"/>
      <c r="R45" s="39"/>
      <c r="S45" s="39"/>
      <c r="T45" s="39"/>
      <c r="U45" s="39"/>
      <c r="V45" s="39"/>
      <c r="W45" s="39"/>
      <c r="X45" s="39"/>
      <c r="Y45" s="39"/>
      <c r="Z45" s="39"/>
    </row>
    <row r="46">
      <c r="A46" s="10" t="s">
        <v>137</v>
      </c>
      <c r="B46" s="10" t="s">
        <v>1244</v>
      </c>
      <c r="C46" s="10" t="s">
        <v>57</v>
      </c>
      <c r="D46" s="10">
        <v>8.0</v>
      </c>
      <c r="E46" s="10">
        <v>30.0</v>
      </c>
      <c r="F46" s="10">
        <v>0.0</v>
      </c>
      <c r="G46" s="11">
        <f>E46-F46-D46</f>
        <v>22</v>
      </c>
      <c r="H46" s="49">
        <v>45976.0</v>
      </c>
      <c r="I46" s="11"/>
      <c r="J46" s="12"/>
      <c r="K46" s="11"/>
      <c r="L46" s="11"/>
      <c r="M46" s="11"/>
      <c r="N46" s="11"/>
      <c r="O46" s="11"/>
      <c r="P46" s="11"/>
      <c r="Q46" s="11"/>
      <c r="R46" s="11"/>
      <c r="S46" s="11"/>
      <c r="T46" s="11"/>
      <c r="U46" s="11"/>
      <c r="V46" s="11"/>
      <c r="W46" s="11"/>
      <c r="X46" s="11"/>
      <c r="Y46" s="11"/>
      <c r="Z46" s="11"/>
    </row>
    <row r="47">
      <c r="A47" s="10" t="s">
        <v>137</v>
      </c>
      <c r="B47" s="10" t="s">
        <v>1245</v>
      </c>
      <c r="C47" s="10" t="s">
        <v>51</v>
      </c>
      <c r="D47" s="10">
        <v>4.0</v>
      </c>
      <c r="E47" s="10">
        <v>35.0</v>
      </c>
      <c r="F47" s="10">
        <v>0.0</v>
      </c>
      <c r="G47" s="11">
        <f t="shared" ref="G47:G50" si="9">E47-D47</f>
        <v>31</v>
      </c>
      <c r="H47" s="49">
        <v>45976.0</v>
      </c>
      <c r="I47" s="11"/>
      <c r="J47" s="12"/>
      <c r="K47" s="11"/>
      <c r="L47" s="11"/>
      <c r="M47" s="11"/>
      <c r="N47" s="11"/>
      <c r="O47" s="11"/>
      <c r="P47" s="11"/>
      <c r="Q47" s="11"/>
      <c r="R47" s="11"/>
      <c r="S47" s="11"/>
      <c r="T47" s="11"/>
      <c r="U47" s="11"/>
      <c r="V47" s="11"/>
      <c r="W47" s="11"/>
      <c r="X47" s="11"/>
      <c r="Y47" s="11"/>
      <c r="Z47" s="11"/>
    </row>
    <row r="48">
      <c r="A48" s="45" t="s">
        <v>137</v>
      </c>
      <c r="B48" s="45" t="s">
        <v>1246</v>
      </c>
      <c r="C48" s="45" t="s">
        <v>51</v>
      </c>
      <c r="D48" s="45">
        <v>10.0</v>
      </c>
      <c r="E48" s="45">
        <v>35.0</v>
      </c>
      <c r="F48" s="45">
        <v>0.0</v>
      </c>
      <c r="G48" s="46">
        <f t="shared" si="9"/>
        <v>25</v>
      </c>
      <c r="H48" s="47">
        <v>46047.0</v>
      </c>
      <c r="I48" s="46"/>
      <c r="J48" s="48"/>
      <c r="K48" s="46"/>
      <c r="L48" s="46"/>
      <c r="M48" s="46"/>
      <c r="N48" s="46"/>
      <c r="O48" s="46"/>
      <c r="P48" s="46"/>
      <c r="Q48" s="46"/>
      <c r="R48" s="46"/>
      <c r="S48" s="46"/>
      <c r="T48" s="46"/>
      <c r="U48" s="46"/>
      <c r="V48" s="46"/>
      <c r="W48" s="46"/>
      <c r="X48" s="46"/>
      <c r="Y48" s="46"/>
      <c r="Z48" s="46"/>
    </row>
    <row r="49">
      <c r="A49" s="31" t="s">
        <v>137</v>
      </c>
      <c r="B49" s="31" t="s">
        <v>1247</v>
      </c>
      <c r="C49" s="31">
        <v>0.0</v>
      </c>
      <c r="D49" s="31">
        <v>4.0</v>
      </c>
      <c r="E49" s="31">
        <v>25.0</v>
      </c>
      <c r="F49" s="31">
        <v>0.0</v>
      </c>
      <c r="G49" s="34">
        <f t="shared" si="9"/>
        <v>21</v>
      </c>
      <c r="H49" s="36">
        <v>46131.0</v>
      </c>
      <c r="I49" s="34"/>
      <c r="J49" s="35"/>
      <c r="K49" s="34"/>
      <c r="L49" s="34"/>
      <c r="M49" s="34"/>
      <c r="N49" s="34"/>
      <c r="O49" s="34"/>
      <c r="P49" s="34"/>
      <c r="Q49" s="34"/>
      <c r="R49" s="34"/>
      <c r="S49" s="34"/>
      <c r="T49" s="34"/>
      <c r="U49" s="34"/>
      <c r="V49" s="34"/>
      <c r="W49" s="34"/>
      <c r="X49" s="34"/>
      <c r="Y49" s="34"/>
      <c r="Z49" s="34"/>
    </row>
    <row r="50">
      <c r="A50" s="31" t="s">
        <v>137</v>
      </c>
      <c r="B50" s="31" t="s">
        <v>1248</v>
      </c>
      <c r="C50" s="31" t="s">
        <v>51</v>
      </c>
      <c r="D50" s="31">
        <v>11.0</v>
      </c>
      <c r="E50" s="31">
        <v>30.0</v>
      </c>
      <c r="F50" s="31">
        <v>0.0</v>
      </c>
      <c r="G50" s="34">
        <f t="shared" si="9"/>
        <v>19</v>
      </c>
      <c r="H50" s="36">
        <v>46131.0</v>
      </c>
      <c r="I50" s="34"/>
      <c r="J50" s="35"/>
      <c r="K50" s="34"/>
      <c r="L50" s="34"/>
      <c r="M50" s="34"/>
      <c r="N50" s="34"/>
      <c r="O50" s="34"/>
      <c r="P50" s="34"/>
      <c r="Q50" s="34"/>
      <c r="R50" s="34"/>
      <c r="S50" s="34"/>
      <c r="T50" s="34"/>
      <c r="U50" s="34"/>
      <c r="V50" s="34"/>
      <c r="W50" s="34"/>
      <c r="X50" s="34"/>
      <c r="Y50" s="34"/>
      <c r="Z50" s="34"/>
    </row>
    <row r="51">
      <c r="A51" s="31" t="s">
        <v>137</v>
      </c>
      <c r="B51" s="31" t="s">
        <v>1249</v>
      </c>
      <c r="C51" s="31" t="s">
        <v>51</v>
      </c>
      <c r="D51" s="31">
        <v>13.0</v>
      </c>
      <c r="E51" s="31">
        <v>30.0</v>
      </c>
      <c r="F51" s="31">
        <v>0.0</v>
      </c>
      <c r="G51" s="34">
        <f>E51-F51-D51</f>
        <v>17</v>
      </c>
      <c r="H51" s="31" t="s">
        <v>1190</v>
      </c>
      <c r="I51" s="34"/>
      <c r="J51" s="35"/>
      <c r="K51" s="34"/>
      <c r="L51" s="34"/>
      <c r="M51" s="34"/>
      <c r="N51" s="34"/>
      <c r="O51" s="34"/>
      <c r="P51" s="34"/>
      <c r="Q51" s="34"/>
      <c r="R51" s="34"/>
      <c r="S51" s="34"/>
      <c r="T51" s="34"/>
      <c r="U51" s="34"/>
      <c r="V51" s="34"/>
      <c r="W51" s="34"/>
      <c r="X51" s="34"/>
      <c r="Y51" s="34"/>
      <c r="Z51" s="34"/>
    </row>
    <row r="52">
      <c r="A52" s="31" t="s">
        <v>137</v>
      </c>
      <c r="B52" s="31" t="s">
        <v>1250</v>
      </c>
      <c r="C52" s="31" t="s">
        <v>57</v>
      </c>
      <c r="D52" s="31">
        <v>8.1</v>
      </c>
      <c r="E52" s="34"/>
      <c r="F52" s="34"/>
      <c r="G52" s="34"/>
      <c r="H52" s="31" t="s">
        <v>1195</v>
      </c>
      <c r="I52" s="34"/>
      <c r="J52" s="35"/>
      <c r="K52" s="34"/>
      <c r="L52" s="34"/>
      <c r="M52" s="34"/>
      <c r="N52" s="34"/>
      <c r="O52" s="34"/>
      <c r="P52" s="34"/>
      <c r="Q52" s="34"/>
      <c r="R52" s="34"/>
      <c r="S52" s="34"/>
      <c r="T52" s="34"/>
      <c r="U52" s="34"/>
      <c r="V52" s="34"/>
      <c r="W52" s="34"/>
      <c r="X52" s="34"/>
      <c r="Y52" s="34"/>
      <c r="Z52" s="34"/>
    </row>
    <row r="53">
      <c r="A53" s="31" t="s">
        <v>137</v>
      </c>
      <c r="B53" s="31" t="s">
        <v>1251</v>
      </c>
      <c r="C53" s="31" t="s">
        <v>57</v>
      </c>
      <c r="D53" s="31">
        <v>7.0</v>
      </c>
      <c r="E53" s="34"/>
      <c r="F53" s="34"/>
      <c r="G53" s="34"/>
      <c r="H53" s="31" t="s">
        <v>1195</v>
      </c>
      <c r="I53" s="34"/>
      <c r="J53" s="35"/>
      <c r="K53" s="34"/>
      <c r="L53" s="34"/>
      <c r="M53" s="34"/>
      <c r="N53" s="34"/>
      <c r="O53" s="34"/>
      <c r="P53" s="34"/>
      <c r="Q53" s="34"/>
      <c r="R53" s="34"/>
      <c r="S53" s="34"/>
      <c r="T53" s="34"/>
      <c r="U53" s="34"/>
      <c r="V53" s="34"/>
      <c r="W53" s="34"/>
      <c r="X53" s="34"/>
      <c r="Y53" s="34"/>
      <c r="Z53" s="34"/>
    </row>
    <row r="54">
      <c r="A54" s="31" t="s">
        <v>1252</v>
      </c>
      <c r="B54" s="31" t="s">
        <v>1253</v>
      </c>
      <c r="C54" s="31" t="s">
        <v>51</v>
      </c>
      <c r="D54" s="31">
        <v>6.29</v>
      </c>
      <c r="E54" s="31">
        <v>30.0</v>
      </c>
      <c r="F54" s="31">
        <v>11.58</v>
      </c>
      <c r="G54" s="34">
        <f t="shared" ref="G54:G55" si="10">E54-F54-D54</f>
        <v>12.13</v>
      </c>
      <c r="H54" s="34"/>
      <c r="I54" s="34"/>
      <c r="J54" s="35"/>
      <c r="K54" s="34"/>
      <c r="L54" s="34"/>
      <c r="M54" s="34"/>
      <c r="N54" s="34"/>
      <c r="O54" s="34"/>
      <c r="P54" s="34"/>
      <c r="Q54" s="34"/>
      <c r="R54" s="34"/>
      <c r="S54" s="34"/>
      <c r="T54" s="34"/>
      <c r="U54" s="34"/>
      <c r="V54" s="34"/>
      <c r="W54" s="34"/>
      <c r="X54" s="34"/>
      <c r="Y54" s="34"/>
      <c r="Z54" s="34"/>
    </row>
    <row r="55">
      <c r="A55" s="7" t="s">
        <v>1252</v>
      </c>
      <c r="B55" s="7" t="s">
        <v>1254</v>
      </c>
      <c r="C55" s="7" t="s">
        <v>57</v>
      </c>
      <c r="D55" s="7">
        <v>9.0</v>
      </c>
      <c r="E55" s="7">
        <v>20.0</v>
      </c>
      <c r="F55" s="7">
        <v>0.0</v>
      </c>
      <c r="G55" s="8">
        <f t="shared" si="10"/>
        <v>11</v>
      </c>
      <c r="H55" s="7" t="s">
        <v>614</v>
      </c>
      <c r="I55" s="7"/>
      <c r="J55" s="9"/>
      <c r="K55" s="8"/>
      <c r="L55" s="8"/>
      <c r="M55" s="8"/>
      <c r="N55" s="8"/>
      <c r="O55" s="8"/>
      <c r="P55" s="8"/>
      <c r="Q55" s="8"/>
      <c r="R55" s="8"/>
      <c r="S55" s="8"/>
      <c r="T55" s="8"/>
      <c r="U55" s="8"/>
      <c r="V55" s="8"/>
      <c r="W55" s="8"/>
      <c r="X55" s="8"/>
      <c r="Y55" s="8"/>
      <c r="Z55" s="8"/>
    </row>
    <row r="56">
      <c r="A56" s="45" t="s">
        <v>1255</v>
      </c>
      <c r="B56" s="45" t="s">
        <v>1256</v>
      </c>
      <c r="C56" s="45" t="s">
        <v>57</v>
      </c>
      <c r="D56" s="45">
        <v>7.5</v>
      </c>
      <c r="E56" s="45">
        <v>35.0</v>
      </c>
      <c r="F56" s="45">
        <v>0.0</v>
      </c>
      <c r="G56" s="46">
        <f t="shared" ref="G56:G58" si="11">E56-D56</f>
        <v>27.5</v>
      </c>
      <c r="H56" s="47">
        <v>46096.0</v>
      </c>
      <c r="I56" s="46"/>
      <c r="J56" s="48"/>
      <c r="K56" s="46"/>
      <c r="L56" s="46"/>
      <c r="M56" s="46"/>
      <c r="N56" s="46"/>
      <c r="O56" s="46"/>
      <c r="P56" s="46"/>
      <c r="Q56" s="46"/>
      <c r="R56" s="46"/>
      <c r="S56" s="46"/>
      <c r="T56" s="46"/>
      <c r="U56" s="46"/>
      <c r="V56" s="46"/>
      <c r="W56" s="46"/>
      <c r="X56" s="46"/>
      <c r="Y56" s="46"/>
      <c r="Z56" s="46"/>
    </row>
    <row r="57">
      <c r="A57" s="42" t="s">
        <v>195</v>
      </c>
      <c r="B57" s="42" t="s">
        <v>449</v>
      </c>
      <c r="C57" s="42">
        <v>0.0</v>
      </c>
      <c r="D57" s="42">
        <v>7.19</v>
      </c>
      <c r="E57" s="42">
        <v>32.0</v>
      </c>
      <c r="F57" s="42">
        <v>0.0</v>
      </c>
      <c r="G57" s="43">
        <f t="shared" si="11"/>
        <v>24.81</v>
      </c>
      <c r="H57" s="42" t="s">
        <v>614</v>
      </c>
      <c r="I57" s="43"/>
      <c r="J57" s="44"/>
      <c r="K57" s="43"/>
      <c r="L57" s="43"/>
      <c r="M57" s="43"/>
      <c r="N57" s="43"/>
      <c r="O57" s="43"/>
      <c r="P57" s="43"/>
      <c r="Q57" s="43"/>
      <c r="R57" s="43"/>
      <c r="S57" s="43"/>
      <c r="T57" s="43"/>
      <c r="U57" s="43"/>
      <c r="V57" s="43"/>
      <c r="W57" s="43"/>
      <c r="X57" s="43"/>
      <c r="Y57" s="43"/>
      <c r="Z57" s="43"/>
    </row>
    <row r="58">
      <c r="A58" s="10" t="s">
        <v>1257</v>
      </c>
      <c r="B58" s="10" t="s">
        <v>1258</v>
      </c>
      <c r="C58" s="10"/>
      <c r="D58" s="10">
        <v>3.5</v>
      </c>
      <c r="E58" s="10">
        <v>20.0</v>
      </c>
      <c r="F58" s="10">
        <v>0.0</v>
      </c>
      <c r="G58" s="11">
        <f t="shared" si="11"/>
        <v>16.5</v>
      </c>
      <c r="H58" s="49">
        <v>45976.0</v>
      </c>
      <c r="I58" s="11"/>
      <c r="J58" s="12"/>
      <c r="K58" s="11"/>
      <c r="L58" s="11"/>
      <c r="M58" s="11"/>
      <c r="N58" s="11"/>
      <c r="O58" s="11"/>
      <c r="P58" s="11"/>
      <c r="Q58" s="11"/>
      <c r="R58" s="11"/>
      <c r="S58" s="11"/>
      <c r="T58" s="11"/>
      <c r="U58" s="11"/>
      <c r="V58" s="11"/>
      <c r="W58" s="11"/>
      <c r="X58" s="11"/>
      <c r="Y58" s="11"/>
      <c r="Z58" s="11"/>
    </row>
    <row r="59">
      <c r="A59" s="31" t="s">
        <v>1259</v>
      </c>
      <c r="B59" s="31" t="s">
        <v>1260</v>
      </c>
      <c r="C59" s="31"/>
      <c r="D59" s="31">
        <v>3.25</v>
      </c>
      <c r="E59" s="34"/>
      <c r="F59" s="34"/>
      <c r="G59" s="34"/>
      <c r="H59" s="54">
        <v>45794.0</v>
      </c>
      <c r="I59" s="34"/>
      <c r="J59" s="35"/>
      <c r="K59" s="34"/>
      <c r="L59" s="34"/>
      <c r="M59" s="34"/>
      <c r="N59" s="34"/>
      <c r="O59" s="34"/>
      <c r="P59" s="34"/>
      <c r="Q59" s="34"/>
      <c r="R59" s="34"/>
      <c r="S59" s="34"/>
      <c r="T59" s="34"/>
      <c r="U59" s="34"/>
      <c r="V59" s="34"/>
      <c r="W59" s="34"/>
      <c r="X59" s="34"/>
      <c r="Y59" s="34"/>
      <c r="Z59" s="34"/>
    </row>
    <row r="60">
      <c r="A60" s="45" t="s">
        <v>153</v>
      </c>
      <c r="B60" s="45" t="s">
        <v>1261</v>
      </c>
      <c r="C60" s="45" t="s">
        <v>51</v>
      </c>
      <c r="D60" s="45">
        <v>5.0</v>
      </c>
      <c r="E60" s="45">
        <v>25.0</v>
      </c>
      <c r="F60" s="45">
        <v>0.0</v>
      </c>
      <c r="G60" s="46">
        <f t="shared" ref="G60:G70" si="12">E60-F60-D60</f>
        <v>20</v>
      </c>
      <c r="H60" s="47">
        <v>46096.0</v>
      </c>
      <c r="I60" s="46"/>
      <c r="J60" s="48"/>
      <c r="K60" s="46"/>
      <c r="L60" s="46"/>
      <c r="M60" s="46"/>
      <c r="N60" s="46"/>
      <c r="O60" s="46"/>
      <c r="P60" s="46"/>
      <c r="Q60" s="46"/>
      <c r="R60" s="46"/>
      <c r="S60" s="46"/>
      <c r="T60" s="46"/>
      <c r="U60" s="46"/>
      <c r="V60" s="46"/>
      <c r="W60" s="46"/>
      <c r="X60" s="46"/>
      <c r="Y60" s="46"/>
      <c r="Z60" s="46"/>
    </row>
    <row r="61">
      <c r="A61" s="45" t="s">
        <v>153</v>
      </c>
      <c r="B61" s="45" t="s">
        <v>588</v>
      </c>
      <c r="C61" s="45" t="s">
        <v>66</v>
      </c>
      <c r="D61" s="45">
        <v>5.5</v>
      </c>
      <c r="E61" s="45">
        <v>25.0</v>
      </c>
      <c r="F61" s="45">
        <v>0.0</v>
      </c>
      <c r="G61" s="46">
        <f t="shared" si="12"/>
        <v>19.5</v>
      </c>
      <c r="H61" s="47">
        <v>46096.0</v>
      </c>
      <c r="I61" s="46"/>
      <c r="J61" s="48"/>
      <c r="K61" s="46"/>
      <c r="L61" s="46"/>
      <c r="M61" s="46"/>
      <c r="N61" s="46"/>
      <c r="O61" s="46"/>
      <c r="P61" s="46"/>
      <c r="Q61" s="46"/>
      <c r="R61" s="46"/>
      <c r="S61" s="46"/>
      <c r="T61" s="46"/>
      <c r="U61" s="46"/>
      <c r="V61" s="46"/>
      <c r="W61" s="46"/>
      <c r="X61" s="46"/>
      <c r="Y61" s="46"/>
      <c r="Z61" s="46"/>
    </row>
    <row r="62">
      <c r="A62" s="45" t="s">
        <v>153</v>
      </c>
      <c r="B62" s="45" t="s">
        <v>1262</v>
      </c>
      <c r="C62" s="45" t="s">
        <v>51</v>
      </c>
      <c r="D62" s="45">
        <v>5.0</v>
      </c>
      <c r="E62" s="45">
        <v>25.0</v>
      </c>
      <c r="F62" s="45">
        <v>0.0</v>
      </c>
      <c r="G62" s="46">
        <f t="shared" si="12"/>
        <v>20</v>
      </c>
      <c r="H62" s="47">
        <v>46096.0</v>
      </c>
      <c r="I62" s="46"/>
      <c r="J62" s="48"/>
      <c r="K62" s="46"/>
      <c r="L62" s="46"/>
      <c r="M62" s="46"/>
      <c r="N62" s="46"/>
      <c r="O62" s="46"/>
      <c r="P62" s="46"/>
      <c r="Q62" s="46"/>
      <c r="R62" s="46"/>
      <c r="S62" s="46"/>
      <c r="T62" s="46"/>
      <c r="U62" s="46"/>
      <c r="V62" s="46"/>
      <c r="W62" s="46"/>
      <c r="X62" s="46"/>
      <c r="Y62" s="46"/>
      <c r="Z62" s="46"/>
    </row>
    <row r="63">
      <c r="A63" s="45" t="s">
        <v>153</v>
      </c>
      <c r="B63" s="45" t="s">
        <v>1263</v>
      </c>
      <c r="C63" s="45" t="s">
        <v>51</v>
      </c>
      <c r="D63" s="45">
        <v>6.0</v>
      </c>
      <c r="E63" s="45">
        <v>30.0</v>
      </c>
      <c r="F63" s="45">
        <v>0.0</v>
      </c>
      <c r="G63" s="46">
        <f t="shared" si="12"/>
        <v>24</v>
      </c>
      <c r="H63" s="47">
        <v>46096.0</v>
      </c>
      <c r="I63" s="46"/>
      <c r="J63" s="48"/>
      <c r="K63" s="46"/>
      <c r="L63" s="46"/>
      <c r="M63" s="46"/>
      <c r="N63" s="46"/>
      <c r="O63" s="46"/>
      <c r="P63" s="46"/>
      <c r="Q63" s="46"/>
      <c r="R63" s="46"/>
      <c r="S63" s="46"/>
      <c r="T63" s="46"/>
      <c r="U63" s="46"/>
      <c r="V63" s="46"/>
      <c r="W63" s="46"/>
      <c r="X63" s="46"/>
      <c r="Y63" s="46"/>
      <c r="Z63" s="46"/>
    </row>
    <row r="64">
      <c r="A64" s="45" t="s">
        <v>153</v>
      </c>
      <c r="B64" s="45" t="s">
        <v>1264</v>
      </c>
      <c r="C64" s="45" t="s">
        <v>66</v>
      </c>
      <c r="D64" s="45">
        <v>6.5</v>
      </c>
      <c r="E64" s="45">
        <v>25.0</v>
      </c>
      <c r="F64" s="45">
        <v>0.0</v>
      </c>
      <c r="G64" s="46">
        <f t="shared" si="12"/>
        <v>18.5</v>
      </c>
      <c r="H64" s="47">
        <v>46047.0</v>
      </c>
      <c r="I64" s="46"/>
      <c r="J64" s="48"/>
      <c r="K64" s="46"/>
      <c r="L64" s="46"/>
      <c r="M64" s="46"/>
      <c r="N64" s="46"/>
      <c r="O64" s="46"/>
      <c r="P64" s="46"/>
      <c r="Q64" s="46"/>
      <c r="R64" s="46"/>
      <c r="S64" s="46"/>
      <c r="T64" s="46"/>
      <c r="U64" s="46"/>
      <c r="V64" s="46"/>
      <c r="W64" s="46"/>
      <c r="X64" s="46"/>
      <c r="Y64" s="46"/>
      <c r="Z64" s="46"/>
    </row>
    <row r="65">
      <c r="A65" s="45" t="s">
        <v>153</v>
      </c>
      <c r="B65" s="45" t="s">
        <v>1265</v>
      </c>
      <c r="C65" s="45" t="s">
        <v>57</v>
      </c>
      <c r="D65" s="45">
        <v>10.0</v>
      </c>
      <c r="E65" s="45">
        <v>25.0</v>
      </c>
      <c r="F65" s="45">
        <v>0.0</v>
      </c>
      <c r="G65" s="46">
        <f t="shared" si="12"/>
        <v>15</v>
      </c>
      <c r="H65" s="47">
        <v>46047.0</v>
      </c>
      <c r="I65" s="46"/>
      <c r="J65" s="48"/>
      <c r="K65" s="46"/>
      <c r="L65" s="46"/>
      <c r="M65" s="46"/>
      <c r="N65" s="46"/>
      <c r="O65" s="46"/>
      <c r="P65" s="46"/>
      <c r="Q65" s="46"/>
      <c r="R65" s="46"/>
      <c r="S65" s="46"/>
      <c r="T65" s="46"/>
      <c r="U65" s="46"/>
      <c r="V65" s="46"/>
      <c r="W65" s="46"/>
      <c r="X65" s="46"/>
      <c r="Y65" s="46"/>
      <c r="Z65" s="46"/>
    </row>
    <row r="66">
      <c r="A66" s="45" t="s">
        <v>187</v>
      </c>
      <c r="B66" s="45" t="s">
        <v>1266</v>
      </c>
      <c r="C66" s="45" t="s">
        <v>51</v>
      </c>
      <c r="D66" s="45">
        <v>7.0</v>
      </c>
      <c r="E66" s="45">
        <v>25.0</v>
      </c>
      <c r="F66" s="45">
        <v>0.0</v>
      </c>
      <c r="G66" s="46">
        <f t="shared" si="12"/>
        <v>18</v>
      </c>
      <c r="H66" s="47">
        <v>46047.0</v>
      </c>
      <c r="I66" s="46"/>
      <c r="J66" s="48"/>
      <c r="K66" s="46"/>
      <c r="L66" s="46"/>
      <c r="M66" s="46"/>
      <c r="N66" s="46"/>
      <c r="O66" s="46"/>
      <c r="P66" s="46"/>
      <c r="Q66" s="46"/>
      <c r="R66" s="46"/>
      <c r="S66" s="46"/>
      <c r="T66" s="46"/>
      <c r="U66" s="46"/>
      <c r="V66" s="46"/>
      <c r="W66" s="46"/>
      <c r="X66" s="46"/>
      <c r="Y66" s="46"/>
      <c r="Z66" s="46"/>
    </row>
    <row r="67">
      <c r="A67" s="45" t="s">
        <v>187</v>
      </c>
      <c r="B67" s="45" t="s">
        <v>1267</v>
      </c>
      <c r="C67" s="45" t="s">
        <v>51</v>
      </c>
      <c r="D67" s="45">
        <v>8.1</v>
      </c>
      <c r="E67" s="45">
        <v>25.0</v>
      </c>
      <c r="F67" s="45">
        <v>0.0</v>
      </c>
      <c r="G67" s="46">
        <f t="shared" si="12"/>
        <v>16.9</v>
      </c>
      <c r="H67" s="47">
        <v>46047.0</v>
      </c>
      <c r="I67" s="46"/>
      <c r="J67" s="48"/>
      <c r="K67" s="46"/>
      <c r="L67" s="46"/>
      <c r="M67" s="46"/>
      <c r="N67" s="46"/>
      <c r="O67" s="46"/>
      <c r="P67" s="46"/>
      <c r="Q67" s="46"/>
      <c r="R67" s="46"/>
      <c r="S67" s="46"/>
      <c r="T67" s="46"/>
      <c r="U67" s="46"/>
      <c r="V67" s="46"/>
      <c r="W67" s="46"/>
      <c r="X67" s="46"/>
      <c r="Y67" s="46"/>
      <c r="Z67" s="46"/>
    </row>
    <row r="68">
      <c r="A68" s="10" t="s">
        <v>153</v>
      </c>
      <c r="B68" s="10" t="s">
        <v>1268</v>
      </c>
      <c r="C68" s="10" t="s">
        <v>95</v>
      </c>
      <c r="D68" s="10">
        <v>10.0</v>
      </c>
      <c r="E68" s="10">
        <v>30.0</v>
      </c>
      <c r="F68" s="10">
        <v>0.0</v>
      </c>
      <c r="G68" s="11">
        <f t="shared" si="12"/>
        <v>20</v>
      </c>
      <c r="H68" s="49">
        <v>45976.0</v>
      </c>
      <c r="I68" s="11"/>
      <c r="J68" s="12"/>
      <c r="K68" s="11"/>
      <c r="L68" s="11"/>
      <c r="M68" s="11"/>
      <c r="N68" s="11"/>
      <c r="O68" s="11"/>
      <c r="P68" s="11"/>
      <c r="Q68" s="11"/>
      <c r="R68" s="11"/>
      <c r="S68" s="11"/>
      <c r="T68" s="11"/>
      <c r="U68" s="11"/>
      <c r="V68" s="11"/>
      <c r="W68" s="11"/>
      <c r="X68" s="11"/>
      <c r="Y68" s="11"/>
      <c r="Z68" s="11"/>
    </row>
    <row r="69">
      <c r="A69" s="10" t="s">
        <v>153</v>
      </c>
      <c r="B69" s="10" t="s">
        <v>1269</v>
      </c>
      <c r="C69" s="10"/>
      <c r="D69" s="10">
        <v>2.0</v>
      </c>
      <c r="E69" s="10">
        <v>20.0</v>
      </c>
      <c r="F69" s="10">
        <v>0.0</v>
      </c>
      <c r="G69" s="11">
        <f t="shared" si="12"/>
        <v>18</v>
      </c>
      <c r="H69" s="49">
        <v>45976.0</v>
      </c>
      <c r="I69" s="11"/>
      <c r="J69" s="12"/>
      <c r="K69" s="11"/>
      <c r="L69" s="11"/>
      <c r="M69" s="11"/>
      <c r="N69" s="11"/>
      <c r="O69" s="11"/>
      <c r="P69" s="11"/>
      <c r="Q69" s="11"/>
      <c r="R69" s="11"/>
      <c r="S69" s="11"/>
      <c r="T69" s="11"/>
      <c r="U69" s="11"/>
      <c r="V69" s="11"/>
      <c r="W69" s="11"/>
      <c r="X69" s="11"/>
      <c r="Y69" s="11"/>
      <c r="Z69" s="11"/>
    </row>
    <row r="70">
      <c r="A70" s="10" t="s">
        <v>187</v>
      </c>
      <c r="B70" s="10" t="s">
        <v>1270</v>
      </c>
      <c r="C70" s="10"/>
      <c r="D70" s="10">
        <v>2.5</v>
      </c>
      <c r="E70" s="10">
        <v>30.0</v>
      </c>
      <c r="F70" s="10">
        <v>0.0</v>
      </c>
      <c r="G70" s="11">
        <f t="shared" si="12"/>
        <v>27.5</v>
      </c>
      <c r="H70" s="49">
        <v>45976.0</v>
      </c>
      <c r="I70" s="11"/>
      <c r="J70" s="12"/>
      <c r="K70" s="11"/>
      <c r="L70" s="11"/>
      <c r="M70" s="11"/>
      <c r="N70" s="11"/>
      <c r="O70" s="11"/>
      <c r="P70" s="11"/>
      <c r="Q70" s="11"/>
      <c r="R70" s="11"/>
      <c r="S70" s="11"/>
      <c r="T70" s="11"/>
      <c r="U70" s="11"/>
      <c r="V70" s="11"/>
      <c r="W70" s="11"/>
      <c r="X70" s="11"/>
      <c r="Y70" s="11"/>
      <c r="Z70" s="11"/>
    </row>
    <row r="71">
      <c r="A71" s="10" t="s">
        <v>153</v>
      </c>
      <c r="B71" s="10" t="s">
        <v>613</v>
      </c>
      <c r="C71" s="10" t="s">
        <v>51</v>
      </c>
      <c r="D71" s="10">
        <v>8.0</v>
      </c>
      <c r="E71" s="11"/>
      <c r="F71" s="11"/>
      <c r="G71" s="11"/>
      <c r="H71" s="56">
        <v>45935.0</v>
      </c>
      <c r="I71" s="11"/>
      <c r="J71" s="12"/>
      <c r="K71" s="11"/>
      <c r="L71" s="11"/>
      <c r="M71" s="11"/>
      <c r="N71" s="11"/>
      <c r="O71" s="11"/>
      <c r="P71" s="11"/>
      <c r="Q71" s="11"/>
      <c r="R71" s="11"/>
      <c r="S71" s="11"/>
      <c r="T71" s="11"/>
      <c r="U71" s="11"/>
      <c r="V71" s="11"/>
      <c r="W71" s="11"/>
      <c r="X71" s="11"/>
      <c r="Y71" s="11"/>
      <c r="Z71" s="11"/>
    </row>
    <row r="72">
      <c r="A72" s="7" t="s">
        <v>187</v>
      </c>
      <c r="B72" s="7" t="s">
        <v>1271</v>
      </c>
      <c r="C72" s="7" t="s">
        <v>57</v>
      </c>
      <c r="D72" s="7">
        <v>7.0</v>
      </c>
      <c r="E72" s="7">
        <v>23.2</v>
      </c>
      <c r="F72" s="7">
        <v>0.0</v>
      </c>
      <c r="G72" s="8">
        <f>E72-F72-D72</f>
        <v>16.2</v>
      </c>
      <c r="H72" s="7" t="s">
        <v>614</v>
      </c>
      <c r="I72" s="7"/>
      <c r="J72" s="9"/>
      <c r="K72" s="8"/>
      <c r="L72" s="8"/>
      <c r="M72" s="8"/>
      <c r="N72" s="8"/>
      <c r="O72" s="8"/>
      <c r="P72" s="8"/>
      <c r="Q72" s="8"/>
      <c r="R72" s="8"/>
      <c r="S72" s="8"/>
      <c r="T72" s="8"/>
      <c r="U72" s="8"/>
      <c r="V72" s="8"/>
      <c r="W72" s="8"/>
      <c r="X72" s="8"/>
      <c r="Y72" s="8"/>
      <c r="Z72" s="8"/>
    </row>
    <row r="73">
      <c r="A73" s="38" t="s">
        <v>187</v>
      </c>
      <c r="B73" s="38" t="s">
        <v>1272</v>
      </c>
      <c r="C73" s="38" t="s">
        <v>51</v>
      </c>
      <c r="D73" s="38"/>
      <c r="E73" s="39"/>
      <c r="F73" s="39"/>
      <c r="G73" s="39"/>
      <c r="H73" s="40">
        <v>45893.0</v>
      </c>
      <c r="I73" s="39"/>
      <c r="J73" s="41"/>
      <c r="K73" s="39"/>
      <c r="L73" s="39"/>
      <c r="M73" s="39"/>
      <c r="N73" s="39"/>
      <c r="O73" s="39"/>
      <c r="P73" s="39"/>
      <c r="Q73" s="39"/>
      <c r="R73" s="39"/>
      <c r="S73" s="39"/>
      <c r="T73" s="39"/>
      <c r="U73" s="39"/>
      <c r="V73" s="39"/>
      <c r="W73" s="39"/>
      <c r="X73" s="39"/>
      <c r="Y73" s="39"/>
      <c r="Z73" s="39"/>
    </row>
    <row r="74">
      <c r="A74" s="38" t="s">
        <v>187</v>
      </c>
      <c r="B74" s="38" t="s">
        <v>1273</v>
      </c>
      <c r="C74" s="38" t="s">
        <v>57</v>
      </c>
      <c r="D74" s="38">
        <v>7.0</v>
      </c>
      <c r="E74" s="39"/>
      <c r="F74" s="39"/>
      <c r="G74" s="39"/>
      <c r="H74" s="40">
        <v>45893.0</v>
      </c>
      <c r="I74" s="39"/>
      <c r="J74" s="41"/>
      <c r="K74" s="39"/>
      <c r="L74" s="39"/>
      <c r="M74" s="39"/>
      <c r="N74" s="39"/>
      <c r="O74" s="39"/>
      <c r="P74" s="39"/>
      <c r="Q74" s="39"/>
      <c r="R74" s="39"/>
      <c r="S74" s="39"/>
      <c r="T74" s="39"/>
      <c r="U74" s="39"/>
      <c r="V74" s="39"/>
      <c r="W74" s="39"/>
      <c r="X74" s="39"/>
      <c r="Y74" s="39"/>
      <c r="Z74" s="39"/>
    </row>
    <row r="75">
      <c r="A75" s="31" t="s">
        <v>153</v>
      </c>
      <c r="B75" s="31" t="s">
        <v>1274</v>
      </c>
      <c r="C75" s="31" t="s">
        <v>51</v>
      </c>
      <c r="D75" s="31">
        <v>5.0</v>
      </c>
      <c r="E75" s="31">
        <v>20.0</v>
      </c>
      <c r="F75" s="31">
        <v>0.0</v>
      </c>
      <c r="G75" s="34">
        <f>E75-F75-D75</f>
        <v>15</v>
      </c>
      <c r="H75" s="36">
        <v>46131.0</v>
      </c>
      <c r="I75" s="34"/>
      <c r="J75" s="35"/>
      <c r="K75" s="34"/>
      <c r="L75" s="34"/>
      <c r="M75" s="34"/>
      <c r="N75" s="34"/>
      <c r="O75" s="34"/>
      <c r="P75" s="34"/>
      <c r="Q75" s="34"/>
      <c r="R75" s="34"/>
      <c r="S75" s="34"/>
      <c r="T75" s="34"/>
      <c r="U75" s="34"/>
      <c r="V75" s="34"/>
      <c r="W75" s="34"/>
      <c r="X75" s="34"/>
      <c r="Y75" s="34"/>
      <c r="Z75" s="34"/>
    </row>
    <row r="76">
      <c r="A76" s="31" t="s">
        <v>153</v>
      </c>
      <c r="B76" s="31" t="s">
        <v>1275</v>
      </c>
      <c r="C76" s="31" t="s">
        <v>51</v>
      </c>
      <c r="D76" s="31">
        <v>5.0</v>
      </c>
      <c r="E76" s="31">
        <v>25.0</v>
      </c>
      <c r="F76" s="31">
        <v>0.0</v>
      </c>
      <c r="G76" s="34">
        <f>E76-D76</f>
        <v>20</v>
      </c>
      <c r="H76" s="36">
        <v>46131.0</v>
      </c>
      <c r="I76" s="34"/>
      <c r="J76" s="35"/>
      <c r="K76" s="34"/>
      <c r="L76" s="34"/>
      <c r="M76" s="34"/>
      <c r="N76" s="34"/>
      <c r="O76" s="34"/>
      <c r="P76" s="34"/>
      <c r="Q76" s="34"/>
      <c r="R76" s="34"/>
      <c r="S76" s="34"/>
      <c r="T76" s="34"/>
      <c r="U76" s="34"/>
      <c r="V76" s="34"/>
      <c r="W76" s="34"/>
      <c r="X76" s="34"/>
      <c r="Y76" s="34"/>
      <c r="Z76" s="34"/>
    </row>
    <row r="77">
      <c r="A77" s="31" t="s">
        <v>187</v>
      </c>
      <c r="B77" s="31" t="s">
        <v>1276</v>
      </c>
      <c r="C77" s="31" t="s">
        <v>66</v>
      </c>
      <c r="D77" s="31">
        <v>5.0</v>
      </c>
      <c r="E77" s="31">
        <v>20.0</v>
      </c>
      <c r="F77" s="31">
        <v>0.0</v>
      </c>
      <c r="G77" s="34">
        <f t="shared" ref="G77:G79" si="13">E77-D77-F77</f>
        <v>15</v>
      </c>
      <c r="H77" s="36">
        <v>46131.0</v>
      </c>
      <c r="I77" s="34"/>
      <c r="J77" s="35"/>
      <c r="K77" s="34"/>
      <c r="L77" s="34"/>
      <c r="M77" s="34"/>
      <c r="N77" s="34"/>
      <c r="O77" s="34"/>
      <c r="P77" s="34"/>
      <c r="Q77" s="34"/>
      <c r="R77" s="34"/>
      <c r="S77" s="34"/>
      <c r="T77" s="34"/>
      <c r="U77" s="34"/>
      <c r="V77" s="34"/>
      <c r="W77" s="34"/>
      <c r="X77" s="34"/>
      <c r="Y77" s="34"/>
      <c r="Z77" s="34"/>
    </row>
    <row r="78">
      <c r="A78" s="31" t="s">
        <v>187</v>
      </c>
      <c r="B78" s="31" t="s">
        <v>1277</v>
      </c>
      <c r="C78" s="31" t="s">
        <v>66</v>
      </c>
      <c r="D78" s="31">
        <v>7.0</v>
      </c>
      <c r="E78" s="31">
        <v>20.0</v>
      </c>
      <c r="F78" s="31">
        <v>1.09</v>
      </c>
      <c r="G78" s="34">
        <f t="shared" si="13"/>
        <v>11.91</v>
      </c>
      <c r="H78" s="34"/>
      <c r="I78" s="34"/>
      <c r="J78" s="35"/>
      <c r="K78" s="34"/>
      <c r="L78" s="34"/>
      <c r="M78" s="34"/>
      <c r="N78" s="34"/>
      <c r="O78" s="34"/>
      <c r="P78" s="34"/>
      <c r="Q78" s="34"/>
      <c r="R78" s="34"/>
      <c r="S78" s="34"/>
      <c r="T78" s="34"/>
      <c r="U78" s="34"/>
      <c r="V78" s="34"/>
      <c r="W78" s="34"/>
      <c r="X78" s="34"/>
      <c r="Y78" s="34"/>
      <c r="Z78" s="34"/>
    </row>
    <row r="79">
      <c r="A79" s="31" t="s">
        <v>153</v>
      </c>
      <c r="B79" s="31" t="s">
        <v>1278</v>
      </c>
      <c r="C79" s="31" t="s">
        <v>51</v>
      </c>
      <c r="D79" s="31">
        <v>10.0</v>
      </c>
      <c r="E79" s="31">
        <v>25.0</v>
      </c>
      <c r="F79" s="31">
        <v>1.09</v>
      </c>
      <c r="G79" s="34">
        <f t="shared" si="13"/>
        <v>13.91</v>
      </c>
      <c r="H79" s="34"/>
      <c r="I79" s="34"/>
      <c r="J79" s="35"/>
      <c r="K79" s="34"/>
      <c r="L79" s="34"/>
      <c r="M79" s="34"/>
      <c r="N79" s="34"/>
      <c r="O79" s="34"/>
      <c r="P79" s="34"/>
      <c r="Q79" s="34"/>
      <c r="R79" s="34"/>
      <c r="S79" s="34"/>
      <c r="T79" s="34"/>
      <c r="U79" s="34"/>
      <c r="V79" s="34"/>
      <c r="W79" s="34"/>
      <c r="X79" s="34"/>
      <c r="Y79" s="34"/>
      <c r="Z79" s="34"/>
    </row>
    <row r="80">
      <c r="A80" s="31" t="s">
        <v>187</v>
      </c>
      <c r="B80" s="31" t="s">
        <v>1279</v>
      </c>
      <c r="C80" s="31" t="s">
        <v>57</v>
      </c>
      <c r="D80" s="31">
        <v>4.5</v>
      </c>
      <c r="E80" s="31">
        <v>35.78</v>
      </c>
      <c r="F80" s="31">
        <v>0.0</v>
      </c>
      <c r="G80" s="34">
        <f t="shared" ref="G80:G81" si="14">E80-F80-D80</f>
        <v>31.28</v>
      </c>
      <c r="H80" s="34"/>
      <c r="I80" s="34"/>
      <c r="J80" s="35"/>
      <c r="K80" s="34"/>
      <c r="L80" s="34"/>
      <c r="M80" s="34"/>
      <c r="N80" s="34"/>
      <c r="O80" s="34"/>
      <c r="P80" s="34"/>
      <c r="Q80" s="34"/>
      <c r="R80" s="34"/>
      <c r="S80" s="34"/>
      <c r="T80" s="34"/>
      <c r="U80" s="34"/>
      <c r="V80" s="34"/>
      <c r="W80" s="34"/>
      <c r="X80" s="34"/>
      <c r="Y80" s="34"/>
      <c r="Z80" s="34"/>
    </row>
    <row r="81">
      <c r="A81" s="31" t="s">
        <v>187</v>
      </c>
      <c r="B81" s="31" t="s">
        <v>1280</v>
      </c>
      <c r="C81" s="31" t="s">
        <v>66</v>
      </c>
      <c r="D81" s="31">
        <v>0.0</v>
      </c>
      <c r="E81" s="31">
        <v>15.0</v>
      </c>
      <c r="F81" s="31">
        <v>0.0</v>
      </c>
      <c r="G81" s="34">
        <f t="shared" si="14"/>
        <v>15</v>
      </c>
      <c r="H81" s="34"/>
      <c r="I81" s="34"/>
      <c r="J81" s="35"/>
      <c r="K81" s="34"/>
      <c r="L81" s="34"/>
      <c r="M81" s="34"/>
      <c r="N81" s="34"/>
      <c r="O81" s="34"/>
      <c r="P81" s="34"/>
      <c r="Q81" s="34"/>
      <c r="R81" s="34"/>
      <c r="S81" s="34"/>
      <c r="T81" s="34"/>
      <c r="U81" s="34"/>
      <c r="V81" s="34"/>
      <c r="W81" s="34"/>
      <c r="X81" s="34"/>
      <c r="Y81" s="34"/>
      <c r="Z81" s="34"/>
    </row>
    <row r="82">
      <c r="A82" s="31" t="s">
        <v>187</v>
      </c>
      <c r="B82" s="31" t="s">
        <v>1281</v>
      </c>
      <c r="C82" s="31" t="s">
        <v>51</v>
      </c>
      <c r="D82" s="31">
        <v>4.0</v>
      </c>
      <c r="E82" s="31">
        <v>15.0</v>
      </c>
      <c r="F82" s="31">
        <v>0.0</v>
      </c>
      <c r="G82" s="34">
        <f>E82-D82</f>
        <v>11</v>
      </c>
      <c r="H82" s="34"/>
      <c r="I82" s="34"/>
      <c r="J82" s="35"/>
      <c r="K82" s="34"/>
      <c r="L82" s="34"/>
      <c r="M82" s="34"/>
      <c r="N82" s="34"/>
      <c r="O82" s="34"/>
      <c r="P82" s="34"/>
      <c r="Q82" s="34"/>
      <c r="R82" s="34"/>
      <c r="S82" s="34"/>
      <c r="T82" s="34"/>
      <c r="U82" s="34"/>
      <c r="V82" s="34"/>
      <c r="W82" s="34"/>
      <c r="X82" s="34"/>
      <c r="Y82" s="34"/>
      <c r="Z82" s="34"/>
    </row>
    <row r="83">
      <c r="A83" s="31" t="s">
        <v>153</v>
      </c>
      <c r="B83" s="31" t="s">
        <v>1282</v>
      </c>
      <c r="C83" s="31" t="s">
        <v>51</v>
      </c>
      <c r="D83" s="31">
        <v>4.8</v>
      </c>
      <c r="E83" s="31">
        <v>27.07</v>
      </c>
      <c r="F83" s="31">
        <v>7.07</v>
      </c>
      <c r="G83" s="34">
        <f t="shared" ref="G83:G86" si="15">E83-F83-D83</f>
        <v>15.2</v>
      </c>
      <c r="H83" s="34"/>
      <c r="I83" s="34"/>
      <c r="J83" s="35"/>
      <c r="K83" s="34"/>
      <c r="L83" s="34"/>
      <c r="M83" s="34"/>
      <c r="N83" s="34"/>
      <c r="O83" s="34"/>
      <c r="P83" s="34"/>
      <c r="Q83" s="34"/>
      <c r="R83" s="34"/>
      <c r="S83" s="34"/>
      <c r="T83" s="34"/>
      <c r="U83" s="34"/>
      <c r="V83" s="34"/>
      <c r="W83" s="34"/>
      <c r="X83" s="34"/>
      <c r="Y83" s="34"/>
      <c r="Z83" s="34"/>
    </row>
    <row r="84">
      <c r="A84" s="31" t="s">
        <v>153</v>
      </c>
      <c r="B84" s="31" t="s">
        <v>1283</v>
      </c>
      <c r="C84" s="31" t="s">
        <v>57</v>
      </c>
      <c r="D84" s="31">
        <v>10.0</v>
      </c>
      <c r="E84" s="31">
        <v>33.5</v>
      </c>
      <c r="F84" s="31">
        <v>4.9</v>
      </c>
      <c r="G84" s="34">
        <f t="shared" si="15"/>
        <v>18.6</v>
      </c>
      <c r="H84" s="34"/>
      <c r="I84" s="34"/>
      <c r="J84" s="35"/>
      <c r="K84" s="34"/>
      <c r="L84" s="34"/>
      <c r="M84" s="34"/>
      <c r="N84" s="34"/>
      <c r="O84" s="34"/>
      <c r="P84" s="34"/>
      <c r="Q84" s="34"/>
      <c r="R84" s="34"/>
      <c r="S84" s="34"/>
      <c r="T84" s="34"/>
      <c r="U84" s="34"/>
      <c r="V84" s="34"/>
      <c r="W84" s="34"/>
      <c r="X84" s="34"/>
      <c r="Y84" s="34"/>
      <c r="Z84" s="34"/>
    </row>
    <row r="85">
      <c r="A85" s="31" t="s">
        <v>187</v>
      </c>
      <c r="B85" s="31" t="s">
        <v>1284</v>
      </c>
      <c r="C85" s="31" t="s">
        <v>51</v>
      </c>
      <c r="D85" s="31">
        <v>10.0</v>
      </c>
      <c r="E85" s="31">
        <v>20.0</v>
      </c>
      <c r="F85" s="31">
        <v>0.0</v>
      </c>
      <c r="G85" s="34">
        <f t="shared" si="15"/>
        <v>10</v>
      </c>
      <c r="H85" s="31" t="s">
        <v>1190</v>
      </c>
      <c r="I85" s="34"/>
      <c r="J85" s="35"/>
      <c r="K85" s="34"/>
      <c r="L85" s="34"/>
      <c r="M85" s="34"/>
      <c r="N85" s="34"/>
      <c r="O85" s="34"/>
      <c r="P85" s="34"/>
      <c r="Q85" s="34"/>
      <c r="R85" s="34"/>
      <c r="S85" s="34"/>
      <c r="T85" s="34"/>
      <c r="U85" s="34"/>
      <c r="V85" s="34"/>
      <c r="W85" s="34"/>
      <c r="X85" s="34"/>
      <c r="Y85" s="34"/>
      <c r="Z85" s="34"/>
    </row>
    <row r="86">
      <c r="A86" s="31" t="s">
        <v>153</v>
      </c>
      <c r="B86" s="31" t="s">
        <v>1285</v>
      </c>
      <c r="C86" s="31" t="s">
        <v>51</v>
      </c>
      <c r="D86" s="31">
        <v>6.0</v>
      </c>
      <c r="E86" s="31">
        <v>25.0</v>
      </c>
      <c r="F86" s="31">
        <v>0.0</v>
      </c>
      <c r="G86" s="34">
        <f t="shared" si="15"/>
        <v>19</v>
      </c>
      <c r="H86" s="31" t="s">
        <v>1190</v>
      </c>
      <c r="I86" s="34"/>
      <c r="J86" s="35"/>
      <c r="K86" s="34"/>
      <c r="L86" s="34"/>
      <c r="M86" s="34"/>
      <c r="N86" s="34"/>
      <c r="O86" s="34"/>
      <c r="P86" s="34"/>
      <c r="Q86" s="34"/>
      <c r="R86" s="34"/>
      <c r="S86" s="34"/>
      <c r="T86" s="34"/>
      <c r="U86" s="34"/>
      <c r="V86" s="34"/>
      <c r="W86" s="34"/>
      <c r="X86" s="34"/>
      <c r="Y86" s="34"/>
      <c r="Z86" s="34"/>
    </row>
    <row r="87">
      <c r="A87" s="31" t="s">
        <v>187</v>
      </c>
      <c r="B87" s="31" t="s">
        <v>1286</v>
      </c>
      <c r="C87" s="31" t="s">
        <v>66</v>
      </c>
      <c r="D87" s="31"/>
      <c r="E87" s="34"/>
      <c r="F87" s="34"/>
      <c r="G87" s="34"/>
      <c r="H87" s="31" t="s">
        <v>1195</v>
      </c>
      <c r="I87" s="34"/>
      <c r="J87" s="35"/>
      <c r="K87" s="34"/>
      <c r="L87" s="34"/>
      <c r="M87" s="34"/>
      <c r="N87" s="34"/>
      <c r="O87" s="34"/>
      <c r="P87" s="34"/>
      <c r="Q87" s="34"/>
      <c r="R87" s="34"/>
      <c r="S87" s="34"/>
      <c r="T87" s="34"/>
      <c r="U87" s="34"/>
      <c r="V87" s="34"/>
      <c r="W87" s="34"/>
      <c r="X87" s="34"/>
      <c r="Y87" s="34"/>
      <c r="Z87" s="34"/>
    </row>
    <row r="88">
      <c r="A88" s="31" t="s">
        <v>187</v>
      </c>
      <c r="B88" s="31" t="s">
        <v>1287</v>
      </c>
      <c r="C88" s="31" t="s">
        <v>57</v>
      </c>
      <c r="D88" s="31">
        <v>8.0</v>
      </c>
      <c r="E88" s="34"/>
      <c r="F88" s="34"/>
      <c r="G88" s="34"/>
      <c r="H88" s="31" t="s">
        <v>1195</v>
      </c>
      <c r="I88" s="34"/>
      <c r="J88" s="35"/>
      <c r="K88" s="34"/>
      <c r="L88" s="34"/>
      <c r="M88" s="34"/>
      <c r="N88" s="34"/>
      <c r="O88" s="34"/>
      <c r="P88" s="34"/>
      <c r="Q88" s="34"/>
      <c r="R88" s="34"/>
      <c r="S88" s="34"/>
      <c r="T88" s="34"/>
      <c r="U88" s="34"/>
      <c r="V88" s="34"/>
      <c r="W88" s="34"/>
      <c r="X88" s="34"/>
      <c r="Y88" s="34"/>
      <c r="Z88" s="34"/>
    </row>
    <row r="89">
      <c r="A89" s="31" t="s">
        <v>187</v>
      </c>
      <c r="B89" s="31" t="s">
        <v>1288</v>
      </c>
      <c r="C89" s="31" t="s">
        <v>95</v>
      </c>
      <c r="D89" s="31">
        <v>10.0</v>
      </c>
      <c r="E89" s="34"/>
      <c r="F89" s="34"/>
      <c r="G89" s="34"/>
      <c r="H89" s="36">
        <v>45794.0</v>
      </c>
      <c r="I89" s="31"/>
      <c r="J89" s="35"/>
      <c r="K89" s="34"/>
      <c r="L89" s="34"/>
      <c r="M89" s="34"/>
      <c r="N89" s="34"/>
      <c r="O89" s="34"/>
      <c r="P89" s="34"/>
      <c r="Q89" s="34"/>
      <c r="R89" s="34"/>
      <c r="S89" s="34"/>
      <c r="T89" s="34"/>
      <c r="U89" s="34"/>
      <c r="V89" s="34"/>
      <c r="W89" s="34"/>
      <c r="X89" s="34"/>
      <c r="Y89" s="34"/>
      <c r="Z89" s="34"/>
    </row>
    <row r="90">
      <c r="A90" s="31" t="s">
        <v>153</v>
      </c>
      <c r="B90" s="31" t="s">
        <v>1289</v>
      </c>
      <c r="C90" s="31" t="s">
        <v>51</v>
      </c>
      <c r="D90" s="31">
        <v>7.1</v>
      </c>
      <c r="E90" s="34"/>
      <c r="F90" s="34"/>
      <c r="G90" s="34"/>
      <c r="H90" s="36">
        <v>45767.0</v>
      </c>
      <c r="I90" s="34"/>
      <c r="J90" s="35"/>
      <c r="K90" s="34"/>
      <c r="L90" s="34"/>
      <c r="M90" s="34"/>
      <c r="N90" s="34"/>
      <c r="O90" s="34"/>
      <c r="P90" s="34"/>
      <c r="Q90" s="34"/>
      <c r="R90" s="34"/>
      <c r="S90" s="34"/>
      <c r="T90" s="34"/>
      <c r="U90" s="34"/>
      <c r="V90" s="34"/>
      <c r="W90" s="34"/>
      <c r="X90" s="34"/>
      <c r="Y90" s="34"/>
      <c r="Z90" s="34"/>
    </row>
    <row r="91">
      <c r="A91" s="31" t="s">
        <v>187</v>
      </c>
      <c r="B91" s="31" t="s">
        <v>1290</v>
      </c>
      <c r="C91" s="31" t="s">
        <v>57</v>
      </c>
      <c r="D91" s="31">
        <v>4.0</v>
      </c>
      <c r="E91" s="31">
        <v>22.5</v>
      </c>
      <c r="F91" s="31">
        <v>5.5</v>
      </c>
      <c r="G91" s="34">
        <f t="shared" ref="G91:G96" si="16">E91-F91-D91</f>
        <v>13</v>
      </c>
      <c r="H91" s="34"/>
      <c r="I91" s="34"/>
      <c r="J91" s="35"/>
      <c r="K91" s="34"/>
      <c r="L91" s="34"/>
      <c r="M91" s="34"/>
      <c r="N91" s="34"/>
      <c r="O91" s="34"/>
      <c r="P91" s="34"/>
      <c r="Q91" s="34"/>
      <c r="R91" s="34"/>
      <c r="S91" s="34"/>
      <c r="T91" s="34"/>
      <c r="U91" s="34"/>
      <c r="V91" s="34"/>
      <c r="W91" s="34"/>
      <c r="X91" s="34"/>
      <c r="Y91" s="34"/>
      <c r="Z91" s="34"/>
    </row>
    <row r="92">
      <c r="A92" s="31" t="s">
        <v>187</v>
      </c>
      <c r="B92" s="31" t="s">
        <v>1291</v>
      </c>
      <c r="C92" s="31" t="s">
        <v>66</v>
      </c>
      <c r="D92" s="31">
        <v>10.0</v>
      </c>
      <c r="E92" s="31">
        <v>40.0</v>
      </c>
      <c r="F92" s="31">
        <v>5.39</v>
      </c>
      <c r="G92" s="34">
        <f t="shared" si="16"/>
        <v>24.61</v>
      </c>
      <c r="H92" s="50"/>
      <c r="I92" s="34"/>
      <c r="J92" s="35"/>
      <c r="K92" s="34"/>
      <c r="L92" s="34"/>
      <c r="M92" s="34"/>
      <c r="N92" s="34"/>
      <c r="O92" s="34"/>
      <c r="P92" s="34"/>
      <c r="Q92" s="34"/>
      <c r="R92" s="34"/>
      <c r="S92" s="34"/>
      <c r="T92" s="34"/>
      <c r="U92" s="34"/>
      <c r="V92" s="34"/>
      <c r="W92" s="34"/>
      <c r="X92" s="34"/>
      <c r="Y92" s="34"/>
      <c r="Z92" s="34"/>
    </row>
    <row r="93">
      <c r="A93" s="31" t="s">
        <v>187</v>
      </c>
      <c r="B93" s="31" t="s">
        <v>1292</v>
      </c>
      <c r="C93" s="31" t="s">
        <v>66</v>
      </c>
      <c r="D93" s="31">
        <v>10.0</v>
      </c>
      <c r="E93" s="31">
        <v>30.0</v>
      </c>
      <c r="F93" s="31">
        <v>4.43</v>
      </c>
      <c r="G93" s="34">
        <f t="shared" si="16"/>
        <v>15.57</v>
      </c>
      <c r="H93" s="50"/>
      <c r="I93" s="34"/>
      <c r="J93" s="35"/>
      <c r="K93" s="34"/>
      <c r="L93" s="34"/>
      <c r="M93" s="34"/>
      <c r="N93" s="34"/>
      <c r="O93" s="34"/>
      <c r="P93" s="34"/>
      <c r="Q93" s="34"/>
      <c r="R93" s="34"/>
      <c r="S93" s="34"/>
      <c r="T93" s="34"/>
      <c r="U93" s="34"/>
      <c r="V93" s="34"/>
      <c r="W93" s="34"/>
      <c r="X93" s="34"/>
      <c r="Y93" s="34"/>
      <c r="Z93" s="34"/>
    </row>
    <row r="94">
      <c r="A94" s="31" t="s">
        <v>187</v>
      </c>
      <c r="B94" s="31" t="s">
        <v>1293</v>
      </c>
      <c r="C94" s="31" t="s">
        <v>51</v>
      </c>
      <c r="D94" s="31">
        <v>7.0</v>
      </c>
      <c r="E94" s="31">
        <v>25.0</v>
      </c>
      <c r="F94" s="31">
        <v>3.09</v>
      </c>
      <c r="G94" s="34">
        <f t="shared" si="16"/>
        <v>14.91</v>
      </c>
      <c r="H94" s="34"/>
      <c r="I94" s="34"/>
      <c r="J94" s="35"/>
      <c r="K94" s="34"/>
      <c r="L94" s="34"/>
      <c r="M94" s="34"/>
      <c r="N94" s="34"/>
      <c r="O94" s="34"/>
      <c r="P94" s="34"/>
      <c r="Q94" s="34"/>
      <c r="R94" s="34"/>
      <c r="S94" s="34"/>
      <c r="T94" s="34"/>
      <c r="U94" s="34"/>
      <c r="V94" s="34"/>
      <c r="W94" s="34"/>
      <c r="X94" s="34"/>
      <c r="Y94" s="34"/>
      <c r="Z94" s="34"/>
    </row>
    <row r="95">
      <c r="A95" s="51" t="s">
        <v>187</v>
      </c>
      <c r="B95" s="51" t="s">
        <v>1294</v>
      </c>
      <c r="C95" s="51" t="s">
        <v>51</v>
      </c>
      <c r="D95" s="51">
        <v>7.0</v>
      </c>
      <c r="E95" s="51">
        <v>20.0</v>
      </c>
      <c r="F95" s="51">
        <v>0.0</v>
      </c>
      <c r="G95" s="52">
        <f t="shared" si="16"/>
        <v>13</v>
      </c>
      <c r="H95" s="52"/>
      <c r="I95" s="52"/>
      <c r="J95" s="53"/>
      <c r="K95" s="52"/>
      <c r="L95" s="52"/>
      <c r="M95" s="52"/>
      <c r="N95" s="52"/>
      <c r="O95" s="52"/>
      <c r="P95" s="52"/>
      <c r="Q95" s="52"/>
      <c r="R95" s="52"/>
      <c r="S95" s="52"/>
      <c r="T95" s="52"/>
      <c r="U95" s="52"/>
      <c r="V95" s="52"/>
      <c r="W95" s="52"/>
      <c r="X95" s="52"/>
      <c r="Y95" s="52"/>
      <c r="Z95" s="52"/>
    </row>
    <row r="96">
      <c r="A96" s="57" t="s">
        <v>187</v>
      </c>
      <c r="B96" s="57" t="s">
        <v>1295</v>
      </c>
      <c r="C96" s="57" t="s">
        <v>95</v>
      </c>
      <c r="D96" s="57">
        <v>10.0</v>
      </c>
      <c r="E96" s="57">
        <v>35.0</v>
      </c>
      <c r="F96" s="57">
        <v>4.51</v>
      </c>
      <c r="G96" s="58">
        <f t="shared" si="16"/>
        <v>20.49</v>
      </c>
      <c r="H96" s="58"/>
      <c r="I96" s="58"/>
      <c r="J96" s="59"/>
      <c r="K96" s="58"/>
      <c r="L96" s="58"/>
      <c r="M96" s="58"/>
      <c r="N96" s="58"/>
      <c r="O96" s="58"/>
      <c r="P96" s="58"/>
      <c r="Q96" s="58"/>
      <c r="R96" s="58"/>
      <c r="S96" s="58"/>
      <c r="T96" s="58"/>
      <c r="U96" s="58"/>
      <c r="V96" s="58"/>
      <c r="W96" s="58"/>
      <c r="X96" s="58"/>
      <c r="Y96" s="58"/>
      <c r="Z96" s="58"/>
    </row>
    <row r="97">
      <c r="A97" s="31" t="s">
        <v>1296</v>
      </c>
      <c r="B97" s="31" t="s">
        <v>1297</v>
      </c>
      <c r="C97" s="31" t="s">
        <v>57</v>
      </c>
      <c r="D97" s="31">
        <v>3.5</v>
      </c>
      <c r="E97" s="31">
        <v>20.0</v>
      </c>
      <c r="F97" s="31">
        <v>0.0</v>
      </c>
      <c r="G97" s="34">
        <f>E97-D97</f>
        <v>16.5</v>
      </c>
      <c r="H97" s="36">
        <v>46131.0</v>
      </c>
      <c r="I97" s="34"/>
      <c r="J97" s="35"/>
      <c r="K97" s="34"/>
      <c r="L97" s="34"/>
      <c r="M97" s="34"/>
      <c r="N97" s="34"/>
      <c r="O97" s="34"/>
      <c r="P97" s="34"/>
      <c r="Q97" s="34"/>
      <c r="R97" s="34"/>
      <c r="S97" s="34"/>
      <c r="T97" s="34"/>
      <c r="U97" s="34"/>
      <c r="V97" s="34"/>
      <c r="W97" s="34"/>
      <c r="X97" s="34"/>
      <c r="Y97" s="34"/>
      <c r="Z97" s="34"/>
    </row>
    <row r="98">
      <c r="A98" s="31" t="s">
        <v>1298</v>
      </c>
      <c r="B98" s="31" t="s">
        <v>1299</v>
      </c>
      <c r="C98" s="31" t="s">
        <v>51</v>
      </c>
      <c r="D98" s="31">
        <v>10.0</v>
      </c>
      <c r="E98" s="31">
        <v>35.0</v>
      </c>
      <c r="F98" s="31">
        <v>4.22</v>
      </c>
      <c r="G98" s="34">
        <f t="shared" ref="G98:G99" si="17">E98-F98-D98</f>
        <v>20.78</v>
      </c>
      <c r="H98" s="50"/>
      <c r="I98" s="34"/>
      <c r="J98" s="35"/>
      <c r="K98" s="34"/>
      <c r="L98" s="34"/>
      <c r="M98" s="34"/>
      <c r="N98" s="34"/>
      <c r="O98" s="34"/>
      <c r="P98" s="34"/>
      <c r="Q98" s="34"/>
      <c r="R98" s="34"/>
      <c r="S98" s="34"/>
      <c r="T98" s="34"/>
      <c r="U98" s="34"/>
      <c r="V98" s="34"/>
      <c r="W98" s="34"/>
      <c r="X98" s="34"/>
      <c r="Y98" s="34"/>
      <c r="Z98" s="34"/>
    </row>
    <row r="99">
      <c r="A99" s="31" t="s">
        <v>1300</v>
      </c>
      <c r="B99" s="31" t="s">
        <v>1301</v>
      </c>
      <c r="C99" s="31" t="s">
        <v>57</v>
      </c>
      <c r="D99" s="31">
        <v>4.0</v>
      </c>
      <c r="E99" s="31">
        <v>25.77</v>
      </c>
      <c r="F99" s="31">
        <v>5.77</v>
      </c>
      <c r="G99" s="34">
        <f t="shared" si="17"/>
        <v>16</v>
      </c>
      <c r="H99" s="34"/>
      <c r="I99" s="34"/>
      <c r="J99" s="35"/>
      <c r="K99" s="34"/>
      <c r="L99" s="34"/>
      <c r="M99" s="34"/>
      <c r="N99" s="34"/>
      <c r="O99" s="34"/>
      <c r="P99" s="34"/>
      <c r="Q99" s="34"/>
      <c r="R99" s="34"/>
      <c r="S99" s="34"/>
      <c r="T99" s="34"/>
      <c r="U99" s="34"/>
      <c r="V99" s="34"/>
      <c r="W99" s="34"/>
      <c r="X99" s="34"/>
      <c r="Y99" s="34"/>
      <c r="Z99" s="34"/>
    </row>
    <row r="100">
      <c r="A100" s="45" t="s">
        <v>1302</v>
      </c>
      <c r="B100" s="45" t="s">
        <v>1303</v>
      </c>
      <c r="C100" s="45" t="s">
        <v>51</v>
      </c>
      <c r="D100" s="45">
        <v>6.0</v>
      </c>
      <c r="E100" s="45">
        <v>25.0</v>
      </c>
      <c r="F100" s="45">
        <v>0.0</v>
      </c>
      <c r="G100" s="46">
        <f>E100-D100</f>
        <v>19</v>
      </c>
      <c r="H100" s="47">
        <v>46047.0</v>
      </c>
      <c r="I100" s="46"/>
      <c r="J100" s="48"/>
      <c r="K100" s="46"/>
      <c r="L100" s="46"/>
      <c r="M100" s="46"/>
      <c r="N100" s="46"/>
      <c r="O100" s="46"/>
      <c r="P100" s="46"/>
      <c r="Q100" s="46"/>
      <c r="R100" s="46"/>
      <c r="S100" s="46"/>
      <c r="T100" s="46"/>
      <c r="U100" s="46"/>
      <c r="V100" s="46"/>
      <c r="W100" s="46"/>
      <c r="X100" s="46"/>
      <c r="Y100" s="46"/>
      <c r="Z100" s="46"/>
    </row>
    <row r="101">
      <c r="A101" s="31" t="s">
        <v>1304</v>
      </c>
      <c r="B101" s="31" t="s">
        <v>1305</v>
      </c>
      <c r="C101" s="31" t="s">
        <v>51</v>
      </c>
      <c r="D101" s="31">
        <v>3.0</v>
      </c>
      <c r="E101" s="34"/>
      <c r="F101" s="34"/>
      <c r="G101" s="34"/>
      <c r="H101" s="31" t="s">
        <v>1195</v>
      </c>
      <c r="I101" s="34"/>
      <c r="J101" s="35"/>
      <c r="K101" s="34"/>
      <c r="L101" s="34"/>
      <c r="M101" s="34"/>
      <c r="N101" s="34"/>
      <c r="O101" s="34"/>
      <c r="P101" s="34"/>
      <c r="Q101" s="34"/>
      <c r="R101" s="34"/>
      <c r="S101" s="34"/>
      <c r="T101" s="34"/>
      <c r="U101" s="34"/>
      <c r="V101" s="34"/>
      <c r="W101" s="34"/>
      <c r="X101" s="34"/>
      <c r="Y101" s="34"/>
      <c r="Z101" s="34"/>
    </row>
    <row r="102">
      <c r="A102" s="31" t="s">
        <v>1304</v>
      </c>
      <c r="B102" s="31" t="s">
        <v>1306</v>
      </c>
      <c r="C102" s="31" t="s">
        <v>57</v>
      </c>
      <c r="D102" s="31">
        <v>7.0</v>
      </c>
      <c r="E102" s="34"/>
      <c r="F102" s="34"/>
      <c r="G102" s="34"/>
      <c r="H102" s="54">
        <v>45794.0</v>
      </c>
      <c r="I102" s="34"/>
      <c r="J102" s="35"/>
      <c r="K102" s="34"/>
      <c r="L102" s="34"/>
      <c r="M102" s="34"/>
      <c r="N102" s="34"/>
      <c r="O102" s="34"/>
      <c r="P102" s="34"/>
      <c r="Q102" s="34"/>
      <c r="R102" s="34"/>
      <c r="S102" s="34"/>
      <c r="T102" s="34"/>
      <c r="U102" s="34"/>
      <c r="V102" s="34"/>
      <c r="W102" s="34"/>
      <c r="X102" s="34"/>
      <c r="Y102" s="34"/>
      <c r="Z102" s="34"/>
    </row>
    <row r="103">
      <c r="A103" s="31" t="s">
        <v>208</v>
      </c>
      <c r="B103" s="31" t="s">
        <v>1307</v>
      </c>
      <c r="C103" s="31" t="s">
        <v>51</v>
      </c>
      <c r="D103" s="31">
        <v>10.0</v>
      </c>
      <c r="E103" s="31">
        <v>32.5</v>
      </c>
      <c r="F103" s="31">
        <v>0.0</v>
      </c>
      <c r="G103" s="34">
        <f t="shared" ref="G103:G104" si="18">E103-F103-D103</f>
        <v>22.5</v>
      </c>
      <c r="H103" s="34"/>
      <c r="I103" s="34"/>
      <c r="J103" s="35"/>
      <c r="K103" s="34"/>
      <c r="L103" s="34"/>
      <c r="M103" s="34"/>
      <c r="N103" s="34"/>
      <c r="O103" s="34"/>
      <c r="P103" s="34"/>
      <c r="Q103" s="34"/>
      <c r="R103" s="34"/>
      <c r="S103" s="34"/>
      <c r="T103" s="34"/>
      <c r="U103" s="34"/>
      <c r="V103" s="34"/>
      <c r="W103" s="34"/>
      <c r="X103" s="34"/>
      <c r="Y103" s="34"/>
      <c r="Z103" s="34"/>
    </row>
    <row r="104">
      <c r="A104" s="31" t="s">
        <v>208</v>
      </c>
      <c r="B104" s="31" t="s">
        <v>1308</v>
      </c>
      <c r="C104" s="31" t="s">
        <v>57</v>
      </c>
      <c r="D104" s="31">
        <v>15.0</v>
      </c>
      <c r="E104" s="31">
        <v>35.0</v>
      </c>
      <c r="F104" s="31">
        <v>3.09</v>
      </c>
      <c r="G104" s="34">
        <f t="shared" si="18"/>
        <v>16.91</v>
      </c>
      <c r="H104" s="34"/>
      <c r="I104" s="34"/>
      <c r="J104" s="35"/>
      <c r="K104" s="34"/>
      <c r="L104" s="34"/>
      <c r="M104" s="34"/>
      <c r="N104" s="34"/>
      <c r="O104" s="34"/>
      <c r="P104" s="34"/>
      <c r="Q104" s="34"/>
      <c r="R104" s="34"/>
      <c r="S104" s="34"/>
      <c r="T104" s="34"/>
      <c r="U104" s="34"/>
      <c r="V104" s="34"/>
      <c r="W104" s="34"/>
      <c r="X104" s="34"/>
      <c r="Y104" s="34"/>
      <c r="Z104" s="34"/>
    </row>
    <row r="105">
      <c r="A105" s="31" t="s">
        <v>208</v>
      </c>
      <c r="B105" s="31" t="s">
        <v>1309</v>
      </c>
      <c r="C105" s="31" t="s">
        <v>51</v>
      </c>
      <c r="D105" s="31">
        <v>10.0</v>
      </c>
      <c r="E105" s="34"/>
      <c r="F105" s="34"/>
      <c r="G105" s="34"/>
      <c r="H105" s="36">
        <v>45767.0</v>
      </c>
      <c r="I105" s="34"/>
      <c r="J105" s="35"/>
      <c r="K105" s="34"/>
      <c r="L105" s="34"/>
      <c r="M105" s="34"/>
      <c r="N105" s="34"/>
      <c r="O105" s="34"/>
      <c r="P105" s="34"/>
      <c r="Q105" s="34"/>
      <c r="R105" s="34"/>
      <c r="S105" s="34"/>
      <c r="T105" s="34"/>
      <c r="U105" s="34"/>
      <c r="V105" s="34"/>
      <c r="W105" s="34"/>
      <c r="X105" s="34"/>
      <c r="Y105" s="34"/>
      <c r="Z105" s="34"/>
    </row>
    <row r="106">
      <c r="A106" s="31" t="s">
        <v>1310</v>
      </c>
      <c r="B106" s="31" t="s">
        <v>1311</v>
      </c>
      <c r="C106" s="31" t="s">
        <v>51</v>
      </c>
      <c r="D106" s="31">
        <v>7.0</v>
      </c>
      <c r="E106" s="34"/>
      <c r="F106" s="34"/>
      <c r="G106" s="34"/>
      <c r="H106" s="54">
        <v>45794.0</v>
      </c>
      <c r="I106" s="34"/>
      <c r="J106" s="35"/>
      <c r="K106" s="34"/>
      <c r="L106" s="34"/>
      <c r="M106" s="34"/>
      <c r="N106" s="34"/>
      <c r="O106" s="34"/>
      <c r="P106" s="34"/>
      <c r="Q106" s="34"/>
      <c r="R106" s="34"/>
      <c r="S106" s="34"/>
      <c r="T106" s="34"/>
      <c r="U106" s="34"/>
      <c r="V106" s="34"/>
      <c r="W106" s="34"/>
      <c r="X106" s="34"/>
      <c r="Y106" s="34"/>
      <c r="Z106" s="34"/>
    </row>
    <row r="107">
      <c r="A107" s="31" t="s">
        <v>216</v>
      </c>
      <c r="B107" s="31" t="s">
        <v>1312</v>
      </c>
      <c r="C107" s="31" t="s">
        <v>57</v>
      </c>
      <c r="D107" s="31">
        <v>10.0</v>
      </c>
      <c r="E107" s="31">
        <v>70.0</v>
      </c>
      <c r="F107" s="31">
        <v>6.42</v>
      </c>
      <c r="G107" s="34">
        <f t="shared" ref="G107:G108" si="19">E107-F107-D107</f>
        <v>53.58</v>
      </c>
      <c r="H107" s="31"/>
      <c r="I107" s="34"/>
      <c r="J107" s="35"/>
      <c r="K107" s="34"/>
      <c r="L107" s="34"/>
      <c r="M107" s="34"/>
      <c r="N107" s="34"/>
      <c r="O107" s="34"/>
      <c r="P107" s="34"/>
      <c r="Q107" s="34"/>
      <c r="R107" s="34"/>
      <c r="S107" s="34"/>
      <c r="T107" s="34"/>
      <c r="U107" s="34"/>
      <c r="V107" s="34"/>
      <c r="W107" s="34"/>
      <c r="X107" s="34"/>
      <c r="Y107" s="34"/>
      <c r="Z107" s="34"/>
    </row>
    <row r="108">
      <c r="A108" s="57" t="s">
        <v>216</v>
      </c>
      <c r="B108" s="57" t="s">
        <v>1313</v>
      </c>
      <c r="C108" s="57" t="s">
        <v>481</v>
      </c>
      <c r="D108" s="57">
        <v>15.0</v>
      </c>
      <c r="E108" s="57">
        <v>40.0</v>
      </c>
      <c r="F108" s="57">
        <v>0.0</v>
      </c>
      <c r="G108" s="58">
        <f t="shared" si="19"/>
        <v>25</v>
      </c>
      <c r="H108" s="58"/>
      <c r="I108" s="58"/>
      <c r="J108" s="59"/>
      <c r="K108" s="58"/>
      <c r="L108" s="58"/>
      <c r="M108" s="58"/>
      <c r="N108" s="58"/>
      <c r="O108" s="58"/>
      <c r="P108" s="58"/>
      <c r="Q108" s="58"/>
      <c r="R108" s="58"/>
      <c r="S108" s="58"/>
      <c r="T108" s="58"/>
      <c r="U108" s="58"/>
      <c r="V108" s="58"/>
      <c r="W108" s="58"/>
      <c r="X108" s="58"/>
      <c r="Y108" s="58"/>
      <c r="Z108" s="58"/>
    </row>
    <row r="109">
      <c r="A109" s="31" t="s">
        <v>229</v>
      </c>
      <c r="B109" s="31" t="s">
        <v>1314</v>
      </c>
      <c r="C109" s="31" t="s">
        <v>51</v>
      </c>
      <c r="D109" s="31">
        <v>2.0</v>
      </c>
      <c r="E109" s="34"/>
      <c r="F109" s="34"/>
      <c r="G109" s="34"/>
      <c r="H109" s="36">
        <v>45767.0</v>
      </c>
      <c r="I109" s="34"/>
      <c r="J109" s="35"/>
      <c r="K109" s="34"/>
      <c r="L109" s="34"/>
      <c r="M109" s="34"/>
      <c r="N109" s="34"/>
      <c r="O109" s="34"/>
      <c r="P109" s="34"/>
      <c r="Q109" s="34"/>
      <c r="R109" s="34"/>
      <c r="S109" s="34"/>
      <c r="T109" s="34"/>
      <c r="U109" s="34"/>
      <c r="V109" s="34"/>
      <c r="W109" s="34"/>
      <c r="X109" s="34"/>
      <c r="Y109" s="34"/>
      <c r="Z109" s="34"/>
    </row>
    <row r="110">
      <c r="A110" s="31" t="s">
        <v>229</v>
      </c>
      <c r="B110" s="31" t="s">
        <v>1315</v>
      </c>
      <c r="C110" s="31" t="s">
        <v>51</v>
      </c>
      <c r="D110" s="31">
        <v>5.0</v>
      </c>
      <c r="E110" s="31">
        <v>20.0</v>
      </c>
      <c r="F110" s="31">
        <v>0.0</v>
      </c>
      <c r="G110" s="34">
        <f t="shared" ref="G110:G115" si="20">E110-F110-D110</f>
        <v>15</v>
      </c>
      <c r="H110" s="34"/>
      <c r="I110" s="34"/>
      <c r="J110" s="35"/>
      <c r="K110" s="34"/>
      <c r="L110" s="34"/>
      <c r="M110" s="34"/>
      <c r="N110" s="34"/>
      <c r="O110" s="34"/>
      <c r="P110" s="34"/>
      <c r="Q110" s="34"/>
      <c r="R110" s="34"/>
      <c r="S110" s="34"/>
      <c r="T110" s="34"/>
      <c r="U110" s="34"/>
      <c r="V110" s="34"/>
      <c r="W110" s="34"/>
      <c r="X110" s="34"/>
      <c r="Y110" s="34"/>
      <c r="Z110" s="34"/>
    </row>
    <row r="111">
      <c r="A111" s="31" t="s">
        <v>1316</v>
      </c>
      <c r="B111" s="31" t="s">
        <v>1317</v>
      </c>
      <c r="C111" s="31"/>
      <c r="D111" s="31">
        <v>5.5</v>
      </c>
      <c r="E111" s="31">
        <v>40.0</v>
      </c>
      <c r="F111" s="31">
        <v>0.0</v>
      </c>
      <c r="G111" s="34">
        <f t="shared" si="20"/>
        <v>34.5</v>
      </c>
      <c r="H111" s="36">
        <v>46131.0</v>
      </c>
      <c r="I111" s="34"/>
      <c r="J111" s="35"/>
      <c r="K111" s="34"/>
      <c r="L111" s="34"/>
      <c r="M111" s="34"/>
      <c r="N111" s="34"/>
      <c r="O111" s="34"/>
      <c r="P111" s="34"/>
      <c r="Q111" s="34"/>
      <c r="R111" s="34"/>
      <c r="S111" s="34"/>
      <c r="T111" s="34"/>
      <c r="U111" s="34"/>
      <c r="V111" s="34"/>
      <c r="W111" s="34"/>
      <c r="X111" s="34"/>
      <c r="Y111" s="34"/>
      <c r="Z111" s="34"/>
    </row>
    <row r="112">
      <c r="A112" s="31" t="s">
        <v>1318</v>
      </c>
      <c r="B112" s="31" t="s">
        <v>1319</v>
      </c>
      <c r="C112" s="31" t="s">
        <v>66</v>
      </c>
      <c r="D112" s="31">
        <v>5.0</v>
      </c>
      <c r="E112" s="31">
        <v>10.0</v>
      </c>
      <c r="F112" s="31">
        <v>0.0</v>
      </c>
      <c r="G112" s="34">
        <f t="shared" si="20"/>
        <v>5</v>
      </c>
      <c r="H112" s="36">
        <v>46131.0</v>
      </c>
      <c r="I112" s="34"/>
      <c r="J112" s="35"/>
      <c r="K112" s="34"/>
      <c r="L112" s="34"/>
      <c r="M112" s="34"/>
      <c r="N112" s="34"/>
      <c r="O112" s="34"/>
      <c r="P112" s="34"/>
      <c r="Q112" s="34"/>
      <c r="R112" s="34"/>
      <c r="S112" s="34"/>
      <c r="T112" s="34"/>
      <c r="U112" s="34"/>
      <c r="V112" s="34"/>
      <c r="W112" s="34"/>
      <c r="X112" s="34"/>
      <c r="Y112" s="34"/>
      <c r="Z112" s="34"/>
    </row>
    <row r="113">
      <c r="A113" s="31" t="s">
        <v>1318</v>
      </c>
      <c r="B113" s="31" t="s">
        <v>1320</v>
      </c>
      <c r="C113" s="31" t="s">
        <v>51</v>
      </c>
      <c r="D113" s="31">
        <v>10.0</v>
      </c>
      <c r="E113" s="31">
        <v>20.0</v>
      </c>
      <c r="F113" s="31">
        <v>0.0</v>
      </c>
      <c r="G113" s="34">
        <f t="shared" si="20"/>
        <v>10</v>
      </c>
      <c r="H113" s="36">
        <v>46131.0</v>
      </c>
      <c r="I113" s="34"/>
      <c r="J113" s="35"/>
      <c r="K113" s="34"/>
      <c r="L113" s="34"/>
      <c r="M113" s="34"/>
      <c r="N113" s="34"/>
      <c r="O113" s="34"/>
      <c r="P113" s="34"/>
      <c r="Q113" s="34"/>
      <c r="R113" s="34"/>
      <c r="S113" s="34"/>
      <c r="T113" s="34"/>
      <c r="U113" s="34"/>
      <c r="V113" s="34"/>
      <c r="W113" s="34"/>
      <c r="X113" s="34"/>
      <c r="Y113" s="34"/>
      <c r="Z113" s="34"/>
    </row>
    <row r="114">
      <c r="A114" s="45" t="s">
        <v>1321</v>
      </c>
      <c r="B114" s="45" t="s">
        <v>1322</v>
      </c>
      <c r="C114" s="45"/>
      <c r="D114" s="45">
        <v>5.0</v>
      </c>
      <c r="E114" s="45">
        <v>40.0</v>
      </c>
      <c r="F114" s="45">
        <v>0.0</v>
      </c>
      <c r="G114" s="46">
        <f t="shared" si="20"/>
        <v>35</v>
      </c>
      <c r="H114" s="47">
        <v>46096.0</v>
      </c>
      <c r="I114" s="46"/>
      <c r="J114" s="48"/>
      <c r="K114" s="46"/>
      <c r="L114" s="46"/>
      <c r="M114" s="46"/>
      <c r="N114" s="46"/>
      <c r="O114" s="46"/>
      <c r="P114" s="46"/>
      <c r="Q114" s="46"/>
      <c r="R114" s="46"/>
      <c r="S114" s="46"/>
      <c r="T114" s="46"/>
      <c r="U114" s="46"/>
      <c r="V114" s="46"/>
      <c r="W114" s="46"/>
      <c r="X114" s="46"/>
      <c r="Y114" s="46"/>
      <c r="Z114" s="46"/>
    </row>
    <row r="115">
      <c r="A115" s="51" t="s">
        <v>1323</v>
      </c>
      <c r="B115" s="51" t="s">
        <v>1324</v>
      </c>
      <c r="C115" s="51"/>
      <c r="D115" s="51">
        <v>7.0</v>
      </c>
      <c r="E115" s="51">
        <v>20.0</v>
      </c>
      <c r="F115" s="51">
        <v>0.0</v>
      </c>
      <c r="G115" s="52">
        <f t="shared" si="20"/>
        <v>13</v>
      </c>
      <c r="H115" s="52"/>
      <c r="I115" s="52"/>
      <c r="J115" s="53"/>
      <c r="K115" s="52"/>
      <c r="L115" s="52"/>
      <c r="M115" s="52"/>
      <c r="N115" s="52"/>
      <c r="O115" s="52"/>
      <c r="P115" s="52"/>
      <c r="Q115" s="52"/>
      <c r="R115" s="52"/>
      <c r="S115" s="52"/>
      <c r="T115" s="52"/>
      <c r="U115" s="52"/>
      <c r="V115" s="52"/>
      <c r="W115" s="52"/>
      <c r="X115" s="52"/>
      <c r="Y115" s="52"/>
      <c r="Z115" s="52"/>
    </row>
    <row r="116">
      <c r="A116" s="38" t="s">
        <v>1323</v>
      </c>
      <c r="B116" s="38" t="s">
        <v>1325</v>
      </c>
      <c r="C116" s="38"/>
      <c r="D116" s="38"/>
      <c r="E116" s="39"/>
      <c r="F116" s="39"/>
      <c r="G116" s="39"/>
      <c r="H116" s="40">
        <v>45893.0</v>
      </c>
      <c r="I116" s="39"/>
      <c r="J116" s="41"/>
      <c r="K116" s="39"/>
      <c r="L116" s="39"/>
      <c r="M116" s="39"/>
      <c r="N116" s="39"/>
      <c r="O116" s="39"/>
      <c r="P116" s="39"/>
      <c r="Q116" s="39"/>
      <c r="R116" s="39"/>
      <c r="S116" s="39"/>
      <c r="T116" s="39"/>
      <c r="U116" s="39"/>
      <c r="V116" s="39"/>
      <c r="W116" s="39"/>
      <c r="X116" s="39"/>
      <c r="Y116" s="39"/>
      <c r="Z116" s="39"/>
    </row>
    <row r="117">
      <c r="A117" s="38" t="s">
        <v>1323</v>
      </c>
      <c r="B117" s="38" t="s">
        <v>1326</v>
      </c>
      <c r="C117" s="38"/>
      <c r="D117" s="38"/>
      <c r="E117" s="39"/>
      <c r="F117" s="39"/>
      <c r="G117" s="39"/>
      <c r="H117" s="40">
        <v>45893.0</v>
      </c>
      <c r="I117" s="39"/>
      <c r="J117" s="41"/>
      <c r="K117" s="39"/>
      <c r="L117" s="39"/>
      <c r="M117" s="39"/>
      <c r="N117" s="39"/>
      <c r="O117" s="39"/>
      <c r="P117" s="39"/>
      <c r="Q117" s="39"/>
      <c r="R117" s="39"/>
      <c r="S117" s="39"/>
      <c r="T117" s="39"/>
      <c r="U117" s="39"/>
      <c r="V117" s="39"/>
      <c r="W117" s="39"/>
      <c r="X117" s="39"/>
      <c r="Y117" s="39"/>
      <c r="Z117" s="39"/>
    </row>
    <row r="118">
      <c r="A118" s="38" t="s">
        <v>1323</v>
      </c>
      <c r="B118" s="38" t="s">
        <v>1327</v>
      </c>
      <c r="C118" s="38"/>
      <c r="D118" s="38">
        <v>5.0</v>
      </c>
      <c r="E118" s="38"/>
      <c r="F118" s="38"/>
      <c r="G118" s="39"/>
      <c r="H118" s="40">
        <v>45893.0</v>
      </c>
      <c r="I118" s="39"/>
      <c r="J118" s="41"/>
      <c r="K118" s="39"/>
      <c r="L118" s="39"/>
      <c r="M118" s="39"/>
      <c r="N118" s="39"/>
      <c r="O118" s="39"/>
      <c r="P118" s="39"/>
      <c r="Q118" s="39"/>
      <c r="R118" s="39"/>
      <c r="S118" s="39"/>
      <c r="T118" s="39"/>
      <c r="U118" s="39"/>
      <c r="V118" s="39"/>
      <c r="W118" s="39"/>
      <c r="X118" s="39"/>
      <c r="Y118" s="39"/>
      <c r="Z118" s="39"/>
    </row>
    <row r="119">
      <c r="A119" s="38" t="s">
        <v>1323</v>
      </c>
      <c r="B119" s="38" t="s">
        <v>1328</v>
      </c>
      <c r="C119" s="38"/>
      <c r="D119" s="38">
        <v>6.3</v>
      </c>
      <c r="E119" s="39"/>
      <c r="F119" s="39"/>
      <c r="G119" s="39"/>
      <c r="H119" s="40">
        <v>45893.0</v>
      </c>
      <c r="I119" s="39"/>
      <c r="J119" s="41"/>
      <c r="K119" s="39"/>
      <c r="L119" s="39"/>
      <c r="M119" s="39"/>
      <c r="N119" s="39"/>
      <c r="O119" s="39"/>
      <c r="P119" s="39"/>
      <c r="Q119" s="39"/>
      <c r="R119" s="39"/>
      <c r="S119" s="39"/>
      <c r="T119" s="39"/>
      <c r="U119" s="39"/>
      <c r="V119" s="39"/>
      <c r="W119" s="39"/>
      <c r="X119" s="39"/>
      <c r="Y119" s="39"/>
      <c r="Z119" s="39"/>
    </row>
    <row r="120">
      <c r="A120" s="31" t="s">
        <v>1323</v>
      </c>
      <c r="B120" s="31" t="s">
        <v>1329</v>
      </c>
      <c r="C120" s="31"/>
      <c r="D120" s="31">
        <v>5.0</v>
      </c>
      <c r="E120" s="31">
        <v>15.0</v>
      </c>
      <c r="F120" s="31">
        <v>3.0</v>
      </c>
      <c r="G120" s="34">
        <f t="shared" ref="G120:G125" si="21">E120-F120-D120</f>
        <v>7</v>
      </c>
      <c r="H120" s="31"/>
      <c r="I120" s="34"/>
      <c r="J120" s="35"/>
      <c r="K120" s="34"/>
      <c r="L120" s="34"/>
      <c r="M120" s="34"/>
      <c r="N120" s="34"/>
      <c r="O120" s="34"/>
      <c r="P120" s="34"/>
      <c r="Q120" s="34"/>
      <c r="R120" s="34"/>
      <c r="S120" s="34"/>
      <c r="T120" s="34"/>
      <c r="U120" s="34"/>
      <c r="V120" s="34"/>
      <c r="W120" s="34"/>
      <c r="X120" s="34"/>
      <c r="Y120" s="34"/>
      <c r="Z120" s="34"/>
    </row>
    <row r="121">
      <c r="A121" s="31" t="s">
        <v>1323</v>
      </c>
      <c r="B121" s="31" t="s">
        <v>1330</v>
      </c>
      <c r="C121" s="31"/>
      <c r="D121" s="31"/>
      <c r="E121" s="31">
        <v>8.0</v>
      </c>
      <c r="F121" s="31">
        <v>3.0</v>
      </c>
      <c r="G121" s="34">
        <f t="shared" si="21"/>
        <v>5</v>
      </c>
      <c r="H121" s="31"/>
      <c r="I121" s="34"/>
      <c r="J121" s="35"/>
      <c r="K121" s="34"/>
      <c r="L121" s="34"/>
      <c r="M121" s="34"/>
      <c r="N121" s="34"/>
      <c r="O121" s="34"/>
      <c r="P121" s="34"/>
      <c r="Q121" s="34"/>
      <c r="R121" s="34"/>
      <c r="S121" s="34"/>
      <c r="T121" s="34"/>
      <c r="U121" s="34"/>
      <c r="V121" s="34"/>
      <c r="W121" s="34"/>
      <c r="X121" s="34"/>
      <c r="Y121" s="34"/>
      <c r="Z121" s="34"/>
    </row>
    <row r="122">
      <c r="A122" s="31" t="s">
        <v>1323</v>
      </c>
      <c r="B122" s="31" t="s">
        <v>1331</v>
      </c>
      <c r="C122" s="31"/>
      <c r="D122" s="31"/>
      <c r="E122" s="31">
        <v>8.0</v>
      </c>
      <c r="F122" s="31">
        <v>3.0</v>
      </c>
      <c r="G122" s="34">
        <f t="shared" si="21"/>
        <v>5</v>
      </c>
      <c r="H122" s="31"/>
      <c r="I122" s="34"/>
      <c r="J122" s="35"/>
      <c r="K122" s="34"/>
      <c r="L122" s="34"/>
      <c r="M122" s="34"/>
      <c r="N122" s="34"/>
      <c r="O122" s="34"/>
      <c r="P122" s="34"/>
      <c r="Q122" s="34"/>
      <c r="R122" s="34"/>
      <c r="S122" s="34"/>
      <c r="T122" s="34"/>
      <c r="U122" s="34"/>
      <c r="V122" s="34"/>
      <c r="W122" s="34"/>
      <c r="X122" s="34"/>
      <c r="Y122" s="34"/>
      <c r="Z122" s="34"/>
    </row>
    <row r="123">
      <c r="A123" s="31" t="s">
        <v>1323</v>
      </c>
      <c r="B123" s="31" t="s">
        <v>1332</v>
      </c>
      <c r="C123" s="31"/>
      <c r="D123" s="31"/>
      <c r="E123" s="31">
        <v>10.0</v>
      </c>
      <c r="F123" s="31">
        <v>2.92</v>
      </c>
      <c r="G123" s="34">
        <f t="shared" si="21"/>
        <v>7.08</v>
      </c>
      <c r="H123" s="31"/>
      <c r="I123" s="34"/>
      <c r="J123" s="35"/>
      <c r="K123" s="34"/>
      <c r="L123" s="34"/>
      <c r="M123" s="34"/>
      <c r="N123" s="34"/>
      <c r="O123" s="34"/>
      <c r="P123" s="34"/>
      <c r="Q123" s="34"/>
      <c r="R123" s="34"/>
      <c r="S123" s="34"/>
      <c r="T123" s="34"/>
      <c r="U123" s="34"/>
      <c r="V123" s="34"/>
      <c r="W123" s="34"/>
      <c r="X123" s="34"/>
      <c r="Y123" s="34"/>
      <c r="Z123" s="34"/>
    </row>
    <row r="124">
      <c r="A124" s="31" t="s">
        <v>1323</v>
      </c>
      <c r="B124" s="31" t="s">
        <v>1333</v>
      </c>
      <c r="C124" s="31"/>
      <c r="D124" s="31">
        <v>0.0</v>
      </c>
      <c r="E124" s="31">
        <v>10.0</v>
      </c>
      <c r="F124" s="31">
        <v>0.0</v>
      </c>
      <c r="G124" s="34">
        <f t="shared" si="21"/>
        <v>10</v>
      </c>
      <c r="H124" s="31" t="s">
        <v>1190</v>
      </c>
      <c r="I124" s="34"/>
      <c r="J124" s="35"/>
      <c r="K124" s="34"/>
      <c r="L124" s="34"/>
      <c r="M124" s="34"/>
      <c r="N124" s="34"/>
      <c r="O124" s="34"/>
      <c r="P124" s="34"/>
      <c r="Q124" s="34"/>
      <c r="R124" s="34"/>
      <c r="S124" s="34"/>
      <c r="T124" s="34"/>
      <c r="U124" s="34"/>
      <c r="V124" s="34"/>
      <c r="W124" s="34"/>
      <c r="X124" s="34"/>
      <c r="Y124" s="34"/>
      <c r="Z124" s="34"/>
    </row>
    <row r="125">
      <c r="A125" s="31" t="s">
        <v>1323</v>
      </c>
      <c r="B125" s="31" t="s">
        <v>1334</v>
      </c>
      <c r="C125" s="31"/>
      <c r="D125" s="31">
        <v>0.0</v>
      </c>
      <c r="E125" s="31">
        <v>5.0</v>
      </c>
      <c r="F125" s="31">
        <v>0.0</v>
      </c>
      <c r="G125" s="34">
        <f t="shared" si="21"/>
        <v>5</v>
      </c>
      <c r="H125" s="31" t="s">
        <v>1190</v>
      </c>
      <c r="I125" s="34"/>
      <c r="J125" s="35"/>
      <c r="K125" s="34"/>
      <c r="L125" s="34"/>
      <c r="M125" s="34"/>
      <c r="N125" s="34"/>
      <c r="O125" s="34"/>
      <c r="P125" s="34"/>
      <c r="Q125" s="34"/>
      <c r="R125" s="34"/>
      <c r="S125" s="34"/>
      <c r="T125" s="34"/>
      <c r="U125" s="34"/>
      <c r="V125" s="34"/>
      <c r="W125" s="34"/>
      <c r="X125" s="34"/>
      <c r="Y125" s="34"/>
      <c r="Z125" s="34"/>
    </row>
    <row r="126">
      <c r="A126" s="31" t="s">
        <v>1323</v>
      </c>
      <c r="B126" s="31" t="s">
        <v>1335</v>
      </c>
      <c r="C126" s="31"/>
      <c r="D126" s="31">
        <v>4.0</v>
      </c>
      <c r="E126" s="34"/>
      <c r="F126" s="34"/>
      <c r="G126" s="34"/>
      <c r="H126" s="31" t="s">
        <v>1195</v>
      </c>
      <c r="I126" s="34"/>
      <c r="J126" s="35"/>
      <c r="K126" s="34"/>
      <c r="L126" s="34"/>
      <c r="M126" s="34"/>
      <c r="N126" s="34"/>
      <c r="O126" s="34"/>
      <c r="P126" s="34"/>
      <c r="Q126" s="34"/>
      <c r="R126" s="34"/>
      <c r="S126" s="34"/>
      <c r="T126" s="34"/>
      <c r="U126" s="34"/>
      <c r="V126" s="34"/>
      <c r="W126" s="34"/>
      <c r="X126" s="34"/>
      <c r="Y126" s="34"/>
      <c r="Z126" s="34"/>
    </row>
    <row r="127">
      <c r="A127" s="31" t="s">
        <v>1323</v>
      </c>
      <c r="B127" s="31" t="s">
        <v>1336</v>
      </c>
      <c r="C127" s="34"/>
      <c r="D127" s="31">
        <v>7.0</v>
      </c>
      <c r="E127" s="34"/>
      <c r="F127" s="34"/>
      <c r="G127" s="34"/>
      <c r="H127" s="31" t="s">
        <v>1195</v>
      </c>
      <c r="I127" s="34"/>
      <c r="J127" s="35"/>
      <c r="K127" s="34"/>
      <c r="L127" s="34"/>
      <c r="M127" s="34"/>
      <c r="N127" s="34"/>
      <c r="O127" s="34"/>
      <c r="P127" s="34"/>
      <c r="Q127" s="34"/>
      <c r="R127" s="34"/>
      <c r="S127" s="34"/>
      <c r="T127" s="34"/>
      <c r="U127" s="34"/>
      <c r="V127" s="34"/>
      <c r="W127" s="34"/>
      <c r="X127" s="34"/>
      <c r="Y127" s="34"/>
      <c r="Z127" s="34"/>
    </row>
    <row r="128">
      <c r="A128" s="31" t="s">
        <v>1323</v>
      </c>
      <c r="B128" s="31" t="s">
        <v>1337</v>
      </c>
      <c r="C128" s="31"/>
      <c r="D128" s="31"/>
      <c r="E128" s="31"/>
      <c r="F128" s="31"/>
      <c r="G128" s="34"/>
      <c r="H128" s="31" t="s">
        <v>1195</v>
      </c>
      <c r="I128" s="34"/>
      <c r="J128" s="35"/>
      <c r="K128" s="34"/>
      <c r="L128" s="34"/>
      <c r="M128" s="34"/>
      <c r="N128" s="34"/>
      <c r="O128" s="34"/>
      <c r="P128" s="34"/>
      <c r="Q128" s="34"/>
      <c r="R128" s="34"/>
      <c r="S128" s="34"/>
      <c r="T128" s="34"/>
      <c r="U128" s="34"/>
      <c r="V128" s="34"/>
      <c r="W128" s="34"/>
      <c r="X128" s="34"/>
      <c r="Y128" s="34"/>
      <c r="Z128" s="34"/>
    </row>
    <row r="129">
      <c r="A129" s="31" t="s">
        <v>1323</v>
      </c>
      <c r="B129" s="31" t="s">
        <v>1338</v>
      </c>
      <c r="C129" s="31"/>
      <c r="D129" s="31"/>
      <c r="E129" s="31"/>
      <c r="F129" s="31"/>
      <c r="G129" s="34"/>
      <c r="H129" s="31" t="s">
        <v>1195</v>
      </c>
      <c r="I129" s="34"/>
      <c r="J129" s="35"/>
      <c r="K129" s="34"/>
      <c r="L129" s="34"/>
      <c r="M129" s="34"/>
      <c r="N129" s="34"/>
      <c r="O129" s="34"/>
      <c r="P129" s="34"/>
      <c r="Q129" s="34"/>
      <c r="R129" s="34"/>
      <c r="S129" s="34"/>
      <c r="T129" s="34"/>
      <c r="U129" s="34"/>
      <c r="V129" s="34"/>
      <c r="W129" s="34"/>
      <c r="X129" s="34"/>
      <c r="Y129" s="34"/>
      <c r="Z129" s="34"/>
    </row>
    <row r="130">
      <c r="A130" s="31" t="s">
        <v>1323</v>
      </c>
      <c r="B130" s="31" t="s">
        <v>1339</v>
      </c>
      <c r="C130" s="31"/>
      <c r="D130" s="31">
        <v>3.0</v>
      </c>
      <c r="E130" s="34"/>
      <c r="F130" s="31"/>
      <c r="G130" s="34"/>
      <c r="H130" s="37">
        <v>45696.0</v>
      </c>
      <c r="I130" s="34"/>
      <c r="J130" s="35"/>
      <c r="K130" s="34"/>
      <c r="L130" s="34"/>
      <c r="M130" s="34"/>
      <c r="N130" s="34"/>
      <c r="O130" s="34"/>
      <c r="P130" s="34"/>
      <c r="Q130" s="34"/>
      <c r="R130" s="34"/>
      <c r="S130" s="34"/>
      <c r="T130" s="34"/>
      <c r="U130" s="34"/>
      <c r="V130" s="34"/>
      <c r="W130" s="34"/>
      <c r="X130" s="34"/>
      <c r="Y130" s="34"/>
      <c r="Z130" s="34"/>
    </row>
    <row r="131">
      <c r="A131" s="31" t="s">
        <v>1323</v>
      </c>
      <c r="B131" s="31" t="s">
        <v>1340</v>
      </c>
      <c r="C131" s="31" t="s">
        <v>1341</v>
      </c>
      <c r="D131" s="31">
        <v>8.3</v>
      </c>
      <c r="E131" s="34"/>
      <c r="F131" s="31"/>
      <c r="G131" s="34"/>
      <c r="H131" s="37">
        <v>45696.0</v>
      </c>
      <c r="I131" s="34"/>
      <c r="J131" s="35"/>
      <c r="K131" s="34"/>
      <c r="L131" s="34"/>
      <c r="M131" s="34"/>
      <c r="N131" s="34"/>
      <c r="O131" s="34"/>
      <c r="P131" s="34"/>
      <c r="Q131" s="34"/>
      <c r="R131" s="34"/>
      <c r="S131" s="34"/>
      <c r="T131" s="34"/>
      <c r="U131" s="34"/>
      <c r="V131" s="34"/>
      <c r="W131" s="34"/>
      <c r="X131" s="34"/>
      <c r="Y131" s="34"/>
      <c r="Z131" s="34"/>
    </row>
    <row r="132">
      <c r="A132" s="31" t="s">
        <v>1323</v>
      </c>
      <c r="B132" s="31" t="s">
        <v>1342</v>
      </c>
      <c r="C132" s="31"/>
      <c r="D132" s="31">
        <v>7.0</v>
      </c>
      <c r="E132" s="31">
        <v>20.0</v>
      </c>
      <c r="F132" s="31">
        <v>0.0</v>
      </c>
      <c r="G132" s="34">
        <f>E132-F132-D132</f>
        <v>13</v>
      </c>
      <c r="H132" s="34"/>
      <c r="I132" s="34"/>
      <c r="J132" s="35"/>
      <c r="K132" s="34"/>
      <c r="L132" s="34"/>
      <c r="M132" s="34"/>
      <c r="N132" s="34"/>
      <c r="O132" s="34"/>
      <c r="P132" s="34"/>
      <c r="Q132" s="34"/>
      <c r="R132" s="34"/>
      <c r="S132" s="34"/>
      <c r="T132" s="34"/>
      <c r="U132" s="34"/>
      <c r="V132" s="34"/>
      <c r="W132" s="34"/>
      <c r="X132" s="34"/>
      <c r="Y132" s="34"/>
      <c r="Z132" s="34"/>
    </row>
    <row r="133">
      <c r="A133" s="31" t="s">
        <v>1323</v>
      </c>
      <c r="B133" s="31" t="s">
        <v>1343</v>
      </c>
      <c r="C133" s="31"/>
      <c r="D133" s="31">
        <v>5.3</v>
      </c>
      <c r="E133" s="34"/>
      <c r="F133" s="34"/>
      <c r="G133" s="34"/>
      <c r="H133" s="36">
        <v>45767.0</v>
      </c>
      <c r="I133" s="34"/>
      <c r="J133" s="35"/>
      <c r="K133" s="34"/>
      <c r="L133" s="34"/>
      <c r="M133" s="34"/>
      <c r="N133" s="34"/>
      <c r="O133" s="34"/>
      <c r="P133" s="34"/>
      <c r="Q133" s="34"/>
      <c r="R133" s="34"/>
      <c r="S133" s="34"/>
      <c r="T133" s="34"/>
      <c r="U133" s="34"/>
      <c r="V133" s="34"/>
      <c r="W133" s="34"/>
      <c r="X133" s="34"/>
      <c r="Y133" s="34"/>
      <c r="Z133" s="34"/>
    </row>
    <row r="134">
      <c r="A134" s="31" t="s">
        <v>1344</v>
      </c>
      <c r="B134" s="31" t="s">
        <v>1345</v>
      </c>
      <c r="C134" s="31">
        <v>6.0</v>
      </c>
      <c r="D134" s="31">
        <v>17.0</v>
      </c>
      <c r="E134" s="34"/>
      <c r="F134" s="31"/>
      <c r="G134" s="34"/>
      <c r="H134" s="37">
        <v>45696.0</v>
      </c>
      <c r="I134" s="60" t="s">
        <v>1346</v>
      </c>
      <c r="J134" s="61" t="s">
        <v>1224</v>
      </c>
      <c r="K134" s="34"/>
      <c r="L134" s="34"/>
      <c r="M134" s="34"/>
      <c r="N134" s="34"/>
      <c r="O134" s="34"/>
      <c r="P134" s="34"/>
      <c r="Q134" s="34"/>
      <c r="R134" s="34"/>
      <c r="S134" s="34"/>
      <c r="T134" s="34"/>
      <c r="U134" s="34"/>
      <c r="V134" s="34"/>
      <c r="W134" s="34"/>
      <c r="X134" s="34"/>
      <c r="Y134" s="34"/>
      <c r="Z134" s="34"/>
    </row>
    <row r="135">
      <c r="A135" s="31" t="s">
        <v>1344</v>
      </c>
      <c r="B135" s="31" t="s">
        <v>1347</v>
      </c>
      <c r="C135" s="31"/>
      <c r="D135" s="31">
        <v>2.0</v>
      </c>
      <c r="E135" s="31">
        <v>30.0</v>
      </c>
      <c r="F135" s="31">
        <v>0.0</v>
      </c>
      <c r="G135" s="34">
        <f>E135-F135-D135</f>
        <v>28</v>
      </c>
      <c r="H135" s="31" t="s">
        <v>1190</v>
      </c>
      <c r="I135" s="34"/>
      <c r="J135" s="35"/>
      <c r="K135" s="34"/>
      <c r="L135" s="34"/>
      <c r="M135" s="34"/>
      <c r="N135" s="34"/>
      <c r="O135" s="34"/>
      <c r="P135" s="34"/>
      <c r="Q135" s="34"/>
      <c r="R135" s="34"/>
      <c r="S135" s="34"/>
      <c r="T135" s="34"/>
      <c r="U135" s="34"/>
      <c r="V135" s="34"/>
      <c r="W135" s="34"/>
      <c r="X135" s="34"/>
      <c r="Y135" s="34"/>
      <c r="Z135" s="34"/>
    </row>
    <row r="136">
      <c r="A136" s="45" t="s">
        <v>250</v>
      </c>
      <c r="B136" s="45" t="s">
        <v>1348</v>
      </c>
      <c r="C136" s="45" t="s">
        <v>51</v>
      </c>
      <c r="D136" s="45">
        <v>8.0</v>
      </c>
      <c r="E136" s="45">
        <v>30.0</v>
      </c>
      <c r="F136" s="45">
        <v>0.0</v>
      </c>
      <c r="G136" s="46">
        <f t="shared" ref="G136:G137" si="22">E136-D136</f>
        <v>22</v>
      </c>
      <c r="H136" s="47">
        <v>46096.0</v>
      </c>
      <c r="I136" s="46"/>
      <c r="J136" s="48"/>
      <c r="K136" s="46"/>
      <c r="L136" s="46"/>
      <c r="M136" s="46"/>
      <c r="N136" s="46"/>
      <c r="O136" s="46"/>
      <c r="P136" s="46"/>
      <c r="Q136" s="46"/>
      <c r="R136" s="46"/>
      <c r="S136" s="46"/>
      <c r="T136" s="46"/>
      <c r="U136" s="46"/>
      <c r="V136" s="46"/>
      <c r="W136" s="46"/>
      <c r="X136" s="46"/>
      <c r="Y136" s="46"/>
      <c r="Z136" s="46"/>
    </row>
    <row r="137">
      <c r="A137" s="45" t="s">
        <v>250</v>
      </c>
      <c r="B137" s="45" t="s">
        <v>1349</v>
      </c>
      <c r="C137" s="45" t="s">
        <v>57</v>
      </c>
      <c r="D137" s="45">
        <v>13.0</v>
      </c>
      <c r="E137" s="45">
        <v>30.0</v>
      </c>
      <c r="F137" s="45">
        <v>0.0</v>
      </c>
      <c r="G137" s="46">
        <f t="shared" si="22"/>
        <v>17</v>
      </c>
      <c r="H137" s="47">
        <v>46096.0</v>
      </c>
      <c r="I137" s="46"/>
      <c r="J137" s="48"/>
      <c r="K137" s="46"/>
      <c r="L137" s="46"/>
      <c r="M137" s="46"/>
      <c r="N137" s="46"/>
      <c r="O137" s="46"/>
      <c r="P137" s="46"/>
      <c r="Q137" s="46"/>
      <c r="R137" s="46"/>
      <c r="S137" s="46"/>
      <c r="T137" s="46"/>
      <c r="U137" s="46"/>
      <c r="V137" s="46"/>
      <c r="W137" s="46"/>
      <c r="X137" s="46"/>
      <c r="Y137" s="46"/>
      <c r="Z137" s="46"/>
    </row>
    <row r="138">
      <c r="A138" s="31" t="s">
        <v>1350</v>
      </c>
      <c r="B138" s="62" t="s">
        <v>1351</v>
      </c>
      <c r="C138" s="31"/>
      <c r="D138" s="31">
        <v>15.0</v>
      </c>
      <c r="E138" s="31"/>
      <c r="F138" s="31"/>
      <c r="G138" s="34"/>
      <c r="H138" s="37">
        <v>45696.0</v>
      </c>
      <c r="I138" s="34"/>
      <c r="J138" s="61" t="s">
        <v>1227</v>
      </c>
      <c r="K138" s="34"/>
      <c r="L138" s="34"/>
      <c r="M138" s="34"/>
      <c r="N138" s="34"/>
      <c r="O138" s="34"/>
      <c r="P138" s="34"/>
      <c r="Q138" s="34"/>
      <c r="R138" s="34"/>
      <c r="S138" s="34"/>
      <c r="T138" s="34"/>
      <c r="U138" s="34"/>
      <c r="V138" s="34"/>
      <c r="W138" s="34"/>
      <c r="X138" s="34"/>
      <c r="Y138" s="34"/>
      <c r="Z138" s="34"/>
    </row>
    <row r="139">
      <c r="A139" s="45" t="s">
        <v>1352</v>
      </c>
      <c r="B139" s="45" t="s">
        <v>439</v>
      </c>
      <c r="C139" s="45"/>
      <c r="D139" s="45">
        <v>5.0</v>
      </c>
      <c r="E139" s="45">
        <v>30.0</v>
      </c>
      <c r="F139" s="45">
        <v>0.0</v>
      </c>
      <c r="G139" s="46">
        <f>E139-F139-D139</f>
        <v>25</v>
      </c>
      <c r="H139" s="47">
        <v>46096.0</v>
      </c>
      <c r="I139" s="46"/>
      <c r="J139" s="48"/>
      <c r="K139" s="46"/>
      <c r="L139" s="46"/>
      <c r="M139" s="46"/>
      <c r="N139" s="46"/>
      <c r="O139" s="46"/>
      <c r="P139" s="46"/>
      <c r="Q139" s="46"/>
      <c r="R139" s="46"/>
      <c r="S139" s="46"/>
      <c r="T139" s="46"/>
      <c r="U139" s="46"/>
      <c r="V139" s="46"/>
      <c r="W139" s="46"/>
      <c r="X139" s="46"/>
      <c r="Y139" s="46"/>
      <c r="Z139" s="46"/>
    </row>
    <row r="140">
      <c r="A140" s="31" t="s">
        <v>1353</v>
      </c>
      <c r="B140" s="31" t="s">
        <v>1354</v>
      </c>
      <c r="C140" s="31">
        <v>42.0</v>
      </c>
      <c r="D140" s="31">
        <v>6.0</v>
      </c>
      <c r="E140" s="31">
        <v>30.0</v>
      </c>
      <c r="F140" s="31">
        <v>0.0</v>
      </c>
      <c r="G140" s="34">
        <f t="shared" ref="G140:G142" si="23">E140-D140</f>
        <v>24</v>
      </c>
      <c r="H140" s="36">
        <v>46131.0</v>
      </c>
      <c r="I140" s="34"/>
      <c r="J140" s="35"/>
      <c r="K140" s="34"/>
      <c r="L140" s="34"/>
      <c r="M140" s="34"/>
      <c r="N140" s="34"/>
      <c r="O140" s="34"/>
      <c r="P140" s="34"/>
      <c r="Q140" s="34"/>
      <c r="R140" s="34"/>
      <c r="S140" s="34"/>
      <c r="T140" s="34"/>
      <c r="U140" s="34"/>
      <c r="V140" s="34"/>
      <c r="W140" s="34"/>
      <c r="X140" s="34"/>
      <c r="Y140" s="34"/>
      <c r="Z140" s="34"/>
    </row>
    <row r="141">
      <c r="A141" s="31" t="s">
        <v>269</v>
      </c>
      <c r="B141" s="31" t="s">
        <v>1355</v>
      </c>
      <c r="C141" s="31" t="s">
        <v>51</v>
      </c>
      <c r="D141" s="31">
        <v>4.0</v>
      </c>
      <c r="E141" s="31">
        <v>25.0</v>
      </c>
      <c r="F141" s="31">
        <v>0.0</v>
      </c>
      <c r="G141" s="34">
        <f t="shared" si="23"/>
        <v>21</v>
      </c>
      <c r="H141" s="36">
        <v>46131.0</v>
      </c>
      <c r="I141" s="34"/>
      <c r="J141" s="35"/>
      <c r="K141" s="34"/>
      <c r="L141" s="34"/>
      <c r="M141" s="34"/>
      <c r="N141" s="34"/>
      <c r="O141" s="34"/>
      <c r="P141" s="34"/>
      <c r="Q141" s="34"/>
      <c r="R141" s="34"/>
      <c r="S141" s="34"/>
      <c r="T141" s="34"/>
      <c r="U141" s="34"/>
      <c r="V141" s="34"/>
      <c r="W141" s="34"/>
      <c r="X141" s="34"/>
      <c r="Y141" s="34"/>
      <c r="Z141" s="34"/>
    </row>
    <row r="142">
      <c r="A142" s="45" t="s">
        <v>1356</v>
      </c>
      <c r="B142" s="45" t="s">
        <v>1357</v>
      </c>
      <c r="C142" s="45" t="s">
        <v>95</v>
      </c>
      <c r="D142" s="45">
        <v>9.0</v>
      </c>
      <c r="E142" s="45">
        <v>25.0</v>
      </c>
      <c r="F142" s="45">
        <v>0.0</v>
      </c>
      <c r="G142" s="46">
        <f t="shared" si="23"/>
        <v>16</v>
      </c>
      <c r="H142" s="47">
        <v>46096.0</v>
      </c>
      <c r="I142" s="46"/>
      <c r="J142" s="48"/>
      <c r="K142" s="46"/>
      <c r="L142" s="46"/>
      <c r="M142" s="46"/>
      <c r="N142" s="46"/>
      <c r="O142" s="46"/>
      <c r="P142" s="46"/>
      <c r="Q142" s="46"/>
      <c r="R142" s="46"/>
      <c r="S142" s="46"/>
      <c r="T142" s="46"/>
      <c r="U142" s="46"/>
      <c r="V142" s="46"/>
      <c r="W142" s="46"/>
      <c r="X142" s="46"/>
      <c r="Y142" s="46"/>
      <c r="Z142" s="46"/>
    </row>
    <row r="143">
      <c r="A143" s="31" t="s">
        <v>1356</v>
      </c>
      <c r="B143" s="31" t="s">
        <v>1358</v>
      </c>
      <c r="C143" s="31" t="s">
        <v>57</v>
      </c>
      <c r="D143" s="31">
        <v>4.5</v>
      </c>
      <c r="E143" s="31">
        <v>23.76</v>
      </c>
      <c r="F143" s="31">
        <v>3.76</v>
      </c>
      <c r="G143" s="34">
        <f>E143-F143-D143</f>
        <v>15.5</v>
      </c>
      <c r="H143" s="34"/>
      <c r="I143" s="34"/>
      <c r="J143" s="35"/>
      <c r="K143" s="34"/>
      <c r="L143" s="34"/>
      <c r="M143" s="34"/>
      <c r="N143" s="34"/>
      <c r="O143" s="34"/>
      <c r="P143" s="34"/>
      <c r="Q143" s="34"/>
      <c r="R143" s="34"/>
      <c r="S143" s="34"/>
      <c r="T143" s="34"/>
      <c r="U143" s="34"/>
      <c r="V143" s="34"/>
      <c r="W143" s="34"/>
      <c r="X143" s="34"/>
      <c r="Y143" s="34"/>
      <c r="Z143" s="34"/>
    </row>
    <row r="144">
      <c r="A144" s="31" t="s">
        <v>1356</v>
      </c>
      <c r="B144" s="31" t="s">
        <v>1359</v>
      </c>
      <c r="C144" s="31" t="s">
        <v>66</v>
      </c>
      <c r="D144" s="31">
        <v>4.0</v>
      </c>
      <c r="E144" s="34"/>
      <c r="F144" s="34"/>
      <c r="G144" s="34"/>
      <c r="H144" s="36">
        <v>45767.0</v>
      </c>
      <c r="I144" s="34"/>
      <c r="J144" s="35"/>
      <c r="K144" s="34"/>
      <c r="L144" s="34"/>
      <c r="M144" s="34"/>
      <c r="N144" s="34"/>
      <c r="O144" s="34"/>
      <c r="P144" s="34"/>
      <c r="Q144" s="34"/>
      <c r="R144" s="34"/>
      <c r="S144" s="34"/>
      <c r="T144" s="34"/>
      <c r="U144" s="34"/>
      <c r="V144" s="34"/>
      <c r="W144" s="34"/>
      <c r="X144" s="34"/>
      <c r="Y144" s="34"/>
      <c r="Z144" s="34"/>
    </row>
    <row r="145">
      <c r="A145" s="10" t="s">
        <v>1356</v>
      </c>
      <c r="B145" s="10" t="s">
        <v>1360</v>
      </c>
      <c r="C145" s="10" t="s">
        <v>51</v>
      </c>
      <c r="D145" s="10">
        <v>7.0</v>
      </c>
      <c r="E145" s="11"/>
      <c r="F145" s="11"/>
      <c r="G145" s="11"/>
      <c r="H145" s="63">
        <v>45935.0</v>
      </c>
      <c r="I145" s="11"/>
      <c r="J145" s="12"/>
      <c r="K145" s="11"/>
      <c r="L145" s="11"/>
      <c r="M145" s="11"/>
      <c r="N145" s="11"/>
      <c r="O145" s="11"/>
      <c r="P145" s="11"/>
      <c r="Q145" s="11"/>
      <c r="R145" s="11"/>
      <c r="S145" s="11"/>
      <c r="T145" s="11"/>
      <c r="U145" s="11"/>
      <c r="V145" s="11"/>
      <c r="W145" s="11"/>
      <c r="X145" s="11"/>
      <c r="Y145" s="11"/>
      <c r="Z145" s="11"/>
    </row>
    <row r="146">
      <c r="A146" s="31" t="s">
        <v>263</v>
      </c>
      <c r="B146" s="31" t="s">
        <v>1361</v>
      </c>
      <c r="C146" s="31" t="s">
        <v>51</v>
      </c>
      <c r="D146" s="31">
        <v>10.0</v>
      </c>
      <c r="E146" s="34"/>
      <c r="F146" s="34"/>
      <c r="G146" s="34"/>
      <c r="H146" s="36">
        <v>45767.0</v>
      </c>
      <c r="I146" s="34"/>
      <c r="J146" s="35"/>
      <c r="K146" s="34"/>
      <c r="L146" s="34"/>
      <c r="M146" s="34"/>
      <c r="N146" s="34"/>
      <c r="O146" s="34"/>
      <c r="P146" s="34"/>
      <c r="Q146" s="34"/>
      <c r="R146" s="34"/>
      <c r="S146" s="34"/>
      <c r="T146" s="34"/>
      <c r="U146" s="34"/>
      <c r="V146" s="34"/>
      <c r="W146" s="34"/>
      <c r="X146" s="34"/>
      <c r="Y146" s="34"/>
      <c r="Z146" s="34"/>
    </row>
    <row r="147">
      <c r="A147" s="31" t="s">
        <v>1362</v>
      </c>
      <c r="B147" s="31" t="s">
        <v>1363</v>
      </c>
      <c r="C147" s="31"/>
      <c r="D147" s="31">
        <v>7.3</v>
      </c>
      <c r="E147" s="31">
        <v>35.26</v>
      </c>
      <c r="F147" s="31">
        <v>5.26</v>
      </c>
      <c r="G147" s="34">
        <f>E147-F147-D147</f>
        <v>22.7</v>
      </c>
      <c r="H147" s="34"/>
      <c r="I147" s="34"/>
      <c r="J147" s="35"/>
      <c r="K147" s="34"/>
      <c r="L147" s="34"/>
      <c r="M147" s="34"/>
      <c r="N147" s="34"/>
      <c r="O147" s="34"/>
      <c r="P147" s="34"/>
      <c r="Q147" s="34"/>
      <c r="R147" s="34"/>
      <c r="S147" s="34"/>
      <c r="T147" s="34"/>
      <c r="U147" s="34"/>
      <c r="V147" s="34"/>
      <c r="W147" s="34"/>
      <c r="X147" s="34"/>
      <c r="Y147" s="34"/>
      <c r="Z147" s="34"/>
    </row>
    <row r="148">
      <c r="A148" s="31" t="s">
        <v>1364</v>
      </c>
      <c r="B148" s="31" t="s">
        <v>1365</v>
      </c>
      <c r="C148" s="31" t="s">
        <v>57</v>
      </c>
      <c r="D148" s="31"/>
      <c r="E148" s="34"/>
      <c r="F148" s="34"/>
      <c r="G148" s="34"/>
      <c r="H148" s="36">
        <v>45767.0</v>
      </c>
      <c r="I148" s="34"/>
      <c r="J148" s="35"/>
      <c r="K148" s="34"/>
      <c r="L148" s="34"/>
      <c r="M148" s="34"/>
      <c r="N148" s="34"/>
      <c r="O148" s="34"/>
      <c r="P148" s="34"/>
      <c r="Q148" s="34"/>
      <c r="R148" s="34"/>
      <c r="S148" s="34"/>
      <c r="T148" s="34"/>
      <c r="U148" s="34"/>
      <c r="V148" s="34"/>
      <c r="W148" s="34"/>
      <c r="X148" s="34"/>
      <c r="Y148" s="34"/>
      <c r="Z148" s="34"/>
    </row>
    <row r="149">
      <c r="A149" s="31" t="s">
        <v>272</v>
      </c>
      <c r="B149" s="31" t="s">
        <v>744</v>
      </c>
      <c r="C149" s="31" t="s">
        <v>51</v>
      </c>
      <c r="D149" s="31"/>
      <c r="E149" s="34"/>
      <c r="F149" s="34"/>
      <c r="G149" s="34"/>
      <c r="H149" s="31" t="s">
        <v>1195</v>
      </c>
      <c r="I149" s="34"/>
      <c r="J149" s="35"/>
      <c r="K149" s="34"/>
      <c r="L149" s="34"/>
      <c r="M149" s="34"/>
      <c r="N149" s="34"/>
      <c r="O149" s="34"/>
      <c r="P149" s="34"/>
      <c r="Q149" s="34"/>
      <c r="R149" s="34"/>
      <c r="S149" s="34"/>
      <c r="T149" s="34"/>
      <c r="U149" s="34"/>
      <c r="V149" s="34"/>
      <c r="W149" s="34"/>
      <c r="X149" s="34"/>
      <c r="Y149" s="34"/>
      <c r="Z149" s="34"/>
    </row>
    <row r="150">
      <c r="A150" s="45" t="s">
        <v>274</v>
      </c>
      <c r="B150" s="45" t="s">
        <v>1366</v>
      </c>
      <c r="C150" s="45" t="s">
        <v>57</v>
      </c>
      <c r="D150" s="45">
        <v>4.25</v>
      </c>
      <c r="E150" s="45">
        <v>20.0</v>
      </c>
      <c r="F150" s="45">
        <v>0.0</v>
      </c>
      <c r="G150" s="46">
        <f t="shared" ref="G150:G156" si="24">E150-F150-D150</f>
        <v>15.75</v>
      </c>
      <c r="H150" s="47">
        <v>46096.0</v>
      </c>
      <c r="I150" s="46"/>
      <c r="J150" s="48"/>
      <c r="K150" s="46"/>
      <c r="L150" s="46"/>
      <c r="M150" s="46"/>
      <c r="N150" s="46"/>
      <c r="O150" s="46"/>
      <c r="P150" s="46"/>
      <c r="Q150" s="46"/>
      <c r="R150" s="46"/>
      <c r="S150" s="46"/>
      <c r="T150" s="46"/>
      <c r="U150" s="46"/>
      <c r="V150" s="46"/>
      <c r="W150" s="46"/>
      <c r="X150" s="46"/>
      <c r="Y150" s="46"/>
      <c r="Z150" s="46"/>
    </row>
    <row r="151">
      <c r="A151" s="31" t="s">
        <v>274</v>
      </c>
      <c r="B151" s="31" t="s">
        <v>1367</v>
      </c>
      <c r="C151" s="31" t="s">
        <v>278</v>
      </c>
      <c r="D151" s="31">
        <v>8.0</v>
      </c>
      <c r="E151" s="31">
        <v>38.0</v>
      </c>
      <c r="F151" s="31">
        <v>6.37</v>
      </c>
      <c r="G151" s="34">
        <f t="shared" si="24"/>
        <v>23.63</v>
      </c>
      <c r="H151" s="34"/>
      <c r="I151" s="34"/>
      <c r="J151" s="35"/>
      <c r="K151" s="34"/>
      <c r="L151" s="34"/>
      <c r="M151" s="34"/>
      <c r="N151" s="34"/>
      <c r="O151" s="34"/>
      <c r="P151" s="34"/>
      <c r="Q151" s="34"/>
      <c r="R151" s="34"/>
      <c r="S151" s="34"/>
      <c r="T151" s="34"/>
      <c r="U151" s="34"/>
      <c r="V151" s="34"/>
      <c r="W151" s="34"/>
      <c r="X151" s="34"/>
      <c r="Y151" s="34"/>
      <c r="Z151" s="34"/>
    </row>
    <row r="152">
      <c r="A152" s="31" t="s">
        <v>1368</v>
      </c>
      <c r="B152" s="31" t="s">
        <v>165</v>
      </c>
      <c r="C152" s="31" t="s">
        <v>95</v>
      </c>
      <c r="D152" s="31">
        <v>5.0</v>
      </c>
      <c r="E152" s="31">
        <v>20.0</v>
      </c>
      <c r="F152" s="31">
        <v>0.0</v>
      </c>
      <c r="G152" s="34">
        <f t="shared" si="24"/>
        <v>15</v>
      </c>
      <c r="H152" s="31" t="s">
        <v>1190</v>
      </c>
      <c r="I152" s="34"/>
      <c r="J152" s="35"/>
      <c r="K152" s="34"/>
      <c r="L152" s="34"/>
      <c r="M152" s="34"/>
      <c r="N152" s="34"/>
      <c r="O152" s="34"/>
      <c r="P152" s="34"/>
      <c r="Q152" s="34"/>
      <c r="R152" s="34"/>
      <c r="S152" s="34"/>
      <c r="T152" s="34"/>
      <c r="U152" s="34"/>
      <c r="V152" s="34"/>
      <c r="W152" s="34"/>
      <c r="X152" s="34"/>
      <c r="Y152" s="34"/>
      <c r="Z152" s="34"/>
    </row>
    <row r="153">
      <c r="A153" s="31" t="s">
        <v>1369</v>
      </c>
      <c r="B153" s="31" t="s">
        <v>411</v>
      </c>
      <c r="C153" s="31" t="s">
        <v>1370</v>
      </c>
      <c r="D153" s="31">
        <v>13.0</v>
      </c>
      <c r="E153" s="31">
        <v>35.0</v>
      </c>
      <c r="F153" s="31">
        <v>0.0</v>
      </c>
      <c r="G153" s="34">
        <f t="shared" si="24"/>
        <v>22</v>
      </c>
      <c r="H153" s="31" t="s">
        <v>1190</v>
      </c>
      <c r="I153" s="34"/>
      <c r="J153" s="35"/>
      <c r="K153" s="34"/>
      <c r="L153" s="34"/>
      <c r="M153" s="34"/>
      <c r="N153" s="34"/>
      <c r="O153" s="34"/>
      <c r="P153" s="34"/>
      <c r="Q153" s="34"/>
      <c r="R153" s="34"/>
      <c r="S153" s="34"/>
      <c r="T153" s="34"/>
      <c r="U153" s="34"/>
      <c r="V153" s="34"/>
      <c r="W153" s="34"/>
      <c r="X153" s="34"/>
      <c r="Y153" s="34"/>
      <c r="Z153" s="34"/>
    </row>
    <row r="154">
      <c r="A154" s="31" t="s">
        <v>1369</v>
      </c>
      <c r="B154" s="31" t="s">
        <v>1371</v>
      </c>
      <c r="C154" s="31" t="s">
        <v>1372</v>
      </c>
      <c r="D154" s="31">
        <v>10.0</v>
      </c>
      <c r="E154" s="31">
        <v>35.0</v>
      </c>
      <c r="F154" s="31">
        <v>0.0</v>
      </c>
      <c r="G154" s="34">
        <f t="shared" si="24"/>
        <v>25</v>
      </c>
      <c r="H154" s="31" t="s">
        <v>1190</v>
      </c>
      <c r="I154" s="34"/>
      <c r="J154" s="35"/>
      <c r="K154" s="34"/>
      <c r="L154" s="34"/>
      <c r="M154" s="34"/>
      <c r="N154" s="34"/>
      <c r="O154" s="34"/>
      <c r="P154" s="34"/>
      <c r="Q154" s="34"/>
      <c r="R154" s="34"/>
      <c r="S154" s="34"/>
      <c r="T154" s="34"/>
      <c r="U154" s="34"/>
      <c r="V154" s="34"/>
      <c r="W154" s="34"/>
      <c r="X154" s="34"/>
      <c r="Y154" s="34"/>
      <c r="Z154" s="34"/>
    </row>
    <row r="155">
      <c r="A155" s="10" t="s">
        <v>1368</v>
      </c>
      <c r="B155" s="10" t="s">
        <v>966</v>
      </c>
      <c r="C155" s="10" t="s">
        <v>57</v>
      </c>
      <c r="D155" s="10">
        <v>7.3</v>
      </c>
      <c r="E155" s="10">
        <v>40.0</v>
      </c>
      <c r="F155" s="10">
        <v>0.0</v>
      </c>
      <c r="G155" s="11">
        <f t="shared" si="24"/>
        <v>32.7</v>
      </c>
      <c r="H155" s="49">
        <v>45976.0</v>
      </c>
      <c r="I155" s="11"/>
      <c r="J155" s="12"/>
      <c r="K155" s="11"/>
      <c r="L155" s="11"/>
      <c r="M155" s="11"/>
      <c r="N155" s="11"/>
      <c r="O155" s="11"/>
      <c r="P155" s="11"/>
      <c r="Q155" s="11"/>
      <c r="R155" s="11"/>
      <c r="S155" s="11"/>
      <c r="T155" s="11"/>
      <c r="U155" s="11"/>
      <c r="V155" s="11"/>
      <c r="W155" s="11"/>
      <c r="X155" s="11"/>
      <c r="Y155" s="11"/>
      <c r="Z155" s="11"/>
    </row>
    <row r="156">
      <c r="A156" s="10" t="s">
        <v>1368</v>
      </c>
      <c r="B156" s="10" t="s">
        <v>1373</v>
      </c>
      <c r="C156" s="10" t="s">
        <v>57</v>
      </c>
      <c r="D156" s="10">
        <v>6.5</v>
      </c>
      <c r="E156" s="10">
        <v>35.0</v>
      </c>
      <c r="F156" s="10">
        <v>0.0</v>
      </c>
      <c r="G156" s="11">
        <f t="shared" si="24"/>
        <v>28.5</v>
      </c>
      <c r="H156" s="49">
        <v>45976.0</v>
      </c>
      <c r="I156" s="11"/>
      <c r="J156" s="12"/>
      <c r="K156" s="11"/>
      <c r="L156" s="11"/>
      <c r="M156" s="11"/>
      <c r="N156" s="11"/>
      <c r="O156" s="11"/>
      <c r="P156" s="11"/>
      <c r="Q156" s="11"/>
      <c r="R156" s="11"/>
      <c r="S156" s="11"/>
      <c r="T156" s="11"/>
      <c r="U156" s="11"/>
      <c r="V156" s="11"/>
      <c r="W156" s="11"/>
      <c r="X156" s="11"/>
      <c r="Y156" s="11"/>
      <c r="Z156" s="11"/>
    </row>
    <row r="157">
      <c r="A157" s="10" t="s">
        <v>1368</v>
      </c>
      <c r="B157" s="10" t="s">
        <v>526</v>
      </c>
      <c r="C157" s="10" t="s">
        <v>51</v>
      </c>
      <c r="D157" s="10">
        <v>13.0</v>
      </c>
      <c r="E157" s="10">
        <v>40.0</v>
      </c>
      <c r="F157" s="10">
        <v>0.0</v>
      </c>
      <c r="G157" s="11">
        <f>E157-D157</f>
        <v>27</v>
      </c>
      <c r="H157" s="49">
        <v>45976.0</v>
      </c>
      <c r="I157" s="11"/>
      <c r="J157" s="12"/>
      <c r="K157" s="11"/>
      <c r="L157" s="11"/>
      <c r="M157" s="11"/>
      <c r="N157" s="11"/>
      <c r="O157" s="11"/>
      <c r="P157" s="11"/>
      <c r="Q157" s="11"/>
      <c r="R157" s="11"/>
      <c r="S157" s="11"/>
      <c r="T157" s="11"/>
      <c r="U157" s="11"/>
      <c r="V157" s="11"/>
      <c r="W157" s="11"/>
      <c r="X157" s="11"/>
      <c r="Y157" s="11"/>
      <c r="Z157" s="11"/>
    </row>
    <row r="158">
      <c r="A158" s="42" t="s">
        <v>1374</v>
      </c>
      <c r="B158" s="42" t="s">
        <v>1375</v>
      </c>
      <c r="C158" s="42">
        <v>38.0</v>
      </c>
      <c r="D158" s="42"/>
      <c r="E158" s="42">
        <v>43.21</v>
      </c>
      <c r="F158" s="42">
        <v>4.84</v>
      </c>
      <c r="G158" s="43">
        <f>E158-F158-D158</f>
        <v>38.37</v>
      </c>
      <c r="H158" s="42" t="s">
        <v>1202</v>
      </c>
      <c r="I158" s="43"/>
      <c r="J158" s="44"/>
      <c r="K158" s="43"/>
      <c r="L158" s="43"/>
      <c r="M158" s="43"/>
      <c r="N158" s="43"/>
      <c r="O158" s="43"/>
      <c r="P158" s="43"/>
      <c r="Q158" s="43"/>
      <c r="R158" s="43"/>
      <c r="S158" s="43"/>
      <c r="T158" s="43"/>
      <c r="U158" s="43"/>
      <c r="V158" s="43"/>
      <c r="W158" s="43"/>
      <c r="X158" s="43"/>
      <c r="Y158" s="43"/>
      <c r="Z158" s="43"/>
    </row>
    <row r="159">
      <c r="A159" s="10" t="s">
        <v>1376</v>
      </c>
      <c r="B159" s="10" t="s">
        <v>1377</v>
      </c>
      <c r="C159" s="10"/>
      <c r="D159" s="10">
        <v>6.5</v>
      </c>
      <c r="E159" s="10">
        <v>15.0</v>
      </c>
      <c r="F159" s="10">
        <v>0.0</v>
      </c>
      <c r="G159" s="11">
        <f t="shared" ref="G159:G162" si="25">E159-D159</f>
        <v>8.5</v>
      </c>
      <c r="H159" s="49">
        <v>45976.0</v>
      </c>
      <c r="I159" s="11"/>
      <c r="J159" s="12"/>
      <c r="K159" s="11"/>
      <c r="L159" s="11"/>
      <c r="M159" s="11"/>
      <c r="N159" s="11"/>
      <c r="O159" s="11"/>
      <c r="P159" s="11"/>
      <c r="Q159" s="11"/>
      <c r="R159" s="11"/>
      <c r="S159" s="11"/>
      <c r="T159" s="11"/>
      <c r="U159" s="11"/>
      <c r="V159" s="11"/>
      <c r="W159" s="11"/>
      <c r="X159" s="11"/>
      <c r="Y159" s="11"/>
      <c r="Z159" s="11"/>
    </row>
    <row r="160">
      <c r="A160" s="45" t="s">
        <v>1378</v>
      </c>
      <c r="B160" s="45" t="s">
        <v>1379</v>
      </c>
      <c r="C160" s="45">
        <v>9.5</v>
      </c>
      <c r="D160" s="45">
        <v>9.0</v>
      </c>
      <c r="E160" s="45">
        <v>35.0</v>
      </c>
      <c r="F160" s="45">
        <v>0.0</v>
      </c>
      <c r="G160" s="46">
        <f t="shared" si="25"/>
        <v>26</v>
      </c>
      <c r="H160" s="47">
        <v>46047.0</v>
      </c>
      <c r="I160" s="46"/>
      <c r="J160" s="48"/>
      <c r="K160" s="46"/>
      <c r="L160" s="46"/>
      <c r="M160" s="46"/>
      <c r="N160" s="46"/>
      <c r="O160" s="46"/>
      <c r="P160" s="46"/>
      <c r="Q160" s="46"/>
      <c r="R160" s="46"/>
      <c r="S160" s="46"/>
      <c r="T160" s="46"/>
      <c r="U160" s="46"/>
      <c r="V160" s="46"/>
      <c r="W160" s="46"/>
      <c r="X160" s="46"/>
      <c r="Y160" s="46"/>
      <c r="Z160" s="46"/>
    </row>
    <row r="161">
      <c r="A161" s="45" t="s">
        <v>288</v>
      </c>
      <c r="B161" s="45" t="s">
        <v>1380</v>
      </c>
      <c r="C161" s="45">
        <v>1.0</v>
      </c>
      <c r="D161" s="45">
        <v>8.0</v>
      </c>
      <c r="E161" s="45">
        <v>30.0</v>
      </c>
      <c r="F161" s="45">
        <v>0.0</v>
      </c>
      <c r="G161" s="46">
        <f t="shared" si="25"/>
        <v>22</v>
      </c>
      <c r="H161" s="47">
        <v>46096.0</v>
      </c>
      <c r="I161" s="46"/>
      <c r="J161" s="48"/>
      <c r="K161" s="46"/>
      <c r="L161" s="46"/>
      <c r="M161" s="46"/>
      <c r="N161" s="46"/>
      <c r="O161" s="46"/>
      <c r="P161" s="46"/>
      <c r="Q161" s="46"/>
      <c r="R161" s="46"/>
      <c r="S161" s="46"/>
      <c r="T161" s="46"/>
      <c r="U161" s="46"/>
      <c r="V161" s="46"/>
      <c r="W161" s="46"/>
      <c r="X161" s="46"/>
      <c r="Y161" s="46"/>
      <c r="Z161" s="46"/>
    </row>
    <row r="162">
      <c r="A162" s="45" t="s">
        <v>290</v>
      </c>
      <c r="B162" s="45" t="s">
        <v>1381</v>
      </c>
      <c r="C162" s="45" t="s">
        <v>51</v>
      </c>
      <c r="D162" s="45">
        <v>7.5</v>
      </c>
      <c r="E162" s="45">
        <v>25.0</v>
      </c>
      <c r="F162" s="45">
        <v>0.0</v>
      </c>
      <c r="G162" s="46">
        <f t="shared" si="25"/>
        <v>17.5</v>
      </c>
      <c r="H162" s="47">
        <v>46096.0</v>
      </c>
      <c r="I162" s="46"/>
      <c r="J162" s="48"/>
      <c r="K162" s="46"/>
      <c r="L162" s="46"/>
      <c r="M162" s="46"/>
      <c r="N162" s="46"/>
      <c r="O162" s="46"/>
      <c r="P162" s="46"/>
      <c r="Q162" s="46"/>
      <c r="R162" s="46"/>
      <c r="S162" s="46"/>
      <c r="T162" s="46"/>
      <c r="U162" s="46"/>
      <c r="V162" s="46"/>
      <c r="W162" s="46"/>
      <c r="X162" s="46"/>
      <c r="Y162" s="46"/>
      <c r="Z162" s="46"/>
    </row>
    <row r="163">
      <c r="A163" s="38" t="s">
        <v>290</v>
      </c>
      <c r="B163" s="38" t="s">
        <v>1382</v>
      </c>
      <c r="C163" s="38" t="s">
        <v>57</v>
      </c>
      <c r="D163" s="38">
        <v>5.0</v>
      </c>
      <c r="E163" s="39"/>
      <c r="F163" s="39"/>
      <c r="G163" s="39"/>
      <c r="H163" s="40">
        <v>45893.0</v>
      </c>
      <c r="I163" s="39"/>
      <c r="J163" s="41"/>
      <c r="K163" s="39"/>
      <c r="L163" s="39"/>
      <c r="M163" s="39"/>
      <c r="N163" s="39"/>
      <c r="O163" s="39"/>
      <c r="P163" s="39"/>
      <c r="Q163" s="39"/>
      <c r="R163" s="39"/>
      <c r="S163" s="39"/>
      <c r="T163" s="39"/>
      <c r="U163" s="39"/>
      <c r="V163" s="39"/>
      <c r="W163" s="39"/>
      <c r="X163" s="39"/>
      <c r="Y163" s="39"/>
      <c r="Z163" s="39"/>
    </row>
    <row r="164">
      <c r="A164" s="38" t="s">
        <v>290</v>
      </c>
      <c r="B164" s="38" t="s">
        <v>1383</v>
      </c>
      <c r="C164" s="38" t="s">
        <v>57</v>
      </c>
      <c r="D164" s="38">
        <v>7.5</v>
      </c>
      <c r="E164" s="39"/>
      <c r="F164" s="39"/>
      <c r="G164" s="39"/>
      <c r="H164" s="40">
        <v>45893.0</v>
      </c>
      <c r="I164" s="39"/>
      <c r="J164" s="41"/>
      <c r="K164" s="39"/>
      <c r="L164" s="39"/>
      <c r="M164" s="39"/>
      <c r="N164" s="39"/>
      <c r="O164" s="39"/>
      <c r="P164" s="39"/>
      <c r="Q164" s="39"/>
      <c r="R164" s="39"/>
      <c r="S164" s="39"/>
      <c r="T164" s="39"/>
      <c r="U164" s="39"/>
      <c r="V164" s="39"/>
      <c r="W164" s="39"/>
      <c r="X164" s="39"/>
      <c r="Y164" s="39"/>
      <c r="Z164" s="39"/>
    </row>
    <row r="165">
      <c r="A165" s="31" t="s">
        <v>290</v>
      </c>
      <c r="B165" s="31" t="s">
        <v>1384</v>
      </c>
      <c r="C165" s="31" t="s">
        <v>57</v>
      </c>
      <c r="D165" s="31">
        <v>7.5</v>
      </c>
      <c r="E165" s="31">
        <v>20.0</v>
      </c>
      <c r="F165" s="31">
        <v>0.0</v>
      </c>
      <c r="G165" s="34">
        <f t="shared" ref="G165:G170" si="26">E165-F165-D165</f>
        <v>12.5</v>
      </c>
      <c r="H165" s="36">
        <v>46131.0</v>
      </c>
      <c r="I165" s="34"/>
      <c r="J165" s="35"/>
      <c r="K165" s="34"/>
      <c r="L165" s="34"/>
      <c r="M165" s="34"/>
      <c r="N165" s="34"/>
      <c r="O165" s="34"/>
      <c r="P165" s="34"/>
      <c r="Q165" s="34"/>
      <c r="R165" s="34"/>
      <c r="S165" s="34"/>
      <c r="T165" s="34"/>
      <c r="U165" s="34"/>
      <c r="V165" s="34"/>
      <c r="W165" s="34"/>
      <c r="X165" s="34"/>
      <c r="Y165" s="34"/>
      <c r="Z165" s="34"/>
    </row>
    <row r="166">
      <c r="A166" s="31" t="s">
        <v>290</v>
      </c>
      <c r="B166" s="31" t="s">
        <v>1385</v>
      </c>
      <c r="C166" s="31" t="s">
        <v>57</v>
      </c>
      <c r="D166" s="31">
        <v>4.0</v>
      </c>
      <c r="E166" s="31">
        <v>25.0</v>
      </c>
      <c r="F166" s="31">
        <v>0.0</v>
      </c>
      <c r="G166" s="34">
        <f t="shared" si="26"/>
        <v>21</v>
      </c>
      <c r="H166" s="36">
        <v>46131.0</v>
      </c>
      <c r="I166" s="34"/>
      <c r="J166" s="35"/>
      <c r="K166" s="34"/>
      <c r="L166" s="34"/>
      <c r="M166" s="34"/>
      <c r="N166" s="34"/>
      <c r="O166" s="34"/>
      <c r="P166" s="34"/>
      <c r="Q166" s="34"/>
      <c r="R166" s="34"/>
      <c r="S166" s="34"/>
      <c r="T166" s="34"/>
      <c r="U166" s="34"/>
      <c r="V166" s="34"/>
      <c r="W166" s="34"/>
      <c r="X166" s="34"/>
      <c r="Y166" s="34"/>
      <c r="Z166" s="34"/>
    </row>
    <row r="167">
      <c r="A167" s="31" t="s">
        <v>290</v>
      </c>
      <c r="B167" s="31" t="s">
        <v>1386</v>
      </c>
      <c r="C167" s="31" t="s">
        <v>51</v>
      </c>
      <c r="D167" s="31">
        <v>5.0</v>
      </c>
      <c r="E167" s="31">
        <v>25.0</v>
      </c>
      <c r="F167" s="31">
        <v>0.0</v>
      </c>
      <c r="G167" s="34">
        <f t="shared" si="26"/>
        <v>20</v>
      </c>
      <c r="H167" s="36">
        <v>46131.0</v>
      </c>
      <c r="I167" s="34"/>
      <c r="J167" s="35"/>
      <c r="K167" s="34"/>
      <c r="L167" s="34"/>
      <c r="M167" s="34"/>
      <c r="N167" s="34"/>
      <c r="O167" s="34"/>
      <c r="P167" s="34"/>
      <c r="Q167" s="34"/>
      <c r="R167" s="34"/>
      <c r="S167" s="34"/>
      <c r="T167" s="34"/>
      <c r="U167" s="34"/>
      <c r="V167" s="34"/>
      <c r="W167" s="34"/>
      <c r="X167" s="34"/>
      <c r="Y167" s="34"/>
      <c r="Z167" s="34"/>
    </row>
    <row r="168">
      <c r="A168" s="31" t="s">
        <v>290</v>
      </c>
      <c r="B168" s="31" t="s">
        <v>1387</v>
      </c>
      <c r="C168" s="31" t="s">
        <v>51</v>
      </c>
      <c r="D168" s="31">
        <v>10.0</v>
      </c>
      <c r="E168" s="31">
        <v>25.0</v>
      </c>
      <c r="F168" s="31">
        <v>0.0</v>
      </c>
      <c r="G168" s="34">
        <f t="shared" si="26"/>
        <v>15</v>
      </c>
      <c r="H168" s="34"/>
      <c r="I168" s="34"/>
      <c r="J168" s="35"/>
      <c r="K168" s="34"/>
      <c r="L168" s="34"/>
      <c r="M168" s="34"/>
      <c r="N168" s="34"/>
      <c r="O168" s="34"/>
      <c r="P168" s="34"/>
      <c r="Q168" s="34"/>
      <c r="R168" s="34"/>
      <c r="S168" s="34"/>
      <c r="T168" s="34"/>
      <c r="U168" s="34"/>
      <c r="V168" s="34"/>
      <c r="W168" s="34"/>
      <c r="X168" s="34"/>
      <c r="Y168" s="34"/>
      <c r="Z168" s="34"/>
    </row>
    <row r="169">
      <c r="A169" s="57" t="s">
        <v>1388</v>
      </c>
      <c r="B169" s="57" t="s">
        <v>1389</v>
      </c>
      <c r="C169" s="57" t="s">
        <v>51</v>
      </c>
      <c r="D169" s="57">
        <v>7.0</v>
      </c>
      <c r="E169" s="57">
        <v>20.0</v>
      </c>
      <c r="F169" s="57">
        <v>0.0</v>
      </c>
      <c r="G169" s="58">
        <f t="shared" si="26"/>
        <v>13</v>
      </c>
      <c r="H169" s="58"/>
      <c r="I169" s="58"/>
      <c r="J169" s="59"/>
      <c r="K169" s="58"/>
      <c r="L169" s="58"/>
      <c r="M169" s="58"/>
      <c r="N169" s="58"/>
      <c r="O169" s="58"/>
      <c r="P169" s="58"/>
      <c r="Q169" s="58"/>
      <c r="R169" s="58"/>
      <c r="S169" s="58"/>
      <c r="T169" s="58"/>
      <c r="U169" s="58"/>
      <c r="V169" s="58"/>
      <c r="W169" s="58"/>
      <c r="X169" s="58"/>
      <c r="Y169" s="58"/>
      <c r="Z169" s="58"/>
    </row>
    <row r="170">
      <c r="A170" s="7" t="s">
        <v>290</v>
      </c>
      <c r="B170" s="7" t="s">
        <v>1390</v>
      </c>
      <c r="C170" s="7" t="s">
        <v>66</v>
      </c>
      <c r="D170" s="7">
        <v>6.29</v>
      </c>
      <c r="E170" s="7">
        <v>15.0</v>
      </c>
      <c r="F170" s="7">
        <v>0.0</v>
      </c>
      <c r="G170" s="8">
        <f t="shared" si="26"/>
        <v>8.71</v>
      </c>
      <c r="H170" s="7"/>
      <c r="I170" s="7" t="s">
        <v>614</v>
      </c>
      <c r="J170" s="9"/>
      <c r="K170" s="8"/>
      <c r="L170" s="8"/>
      <c r="M170" s="8"/>
      <c r="N170" s="8"/>
      <c r="O170" s="8"/>
      <c r="P170" s="8"/>
      <c r="Q170" s="8"/>
      <c r="R170" s="8"/>
      <c r="S170" s="8"/>
      <c r="T170" s="8"/>
      <c r="U170" s="8"/>
      <c r="V170" s="8"/>
      <c r="W170" s="8"/>
      <c r="X170" s="8"/>
      <c r="Y170" s="8"/>
      <c r="Z170" s="8"/>
    </row>
    <row r="171">
      <c r="A171" s="31" t="s">
        <v>290</v>
      </c>
      <c r="B171" s="31" t="s">
        <v>1391</v>
      </c>
      <c r="C171" s="31" t="s">
        <v>66</v>
      </c>
      <c r="D171" s="31">
        <v>10.0</v>
      </c>
      <c r="E171" s="34"/>
      <c r="F171" s="34"/>
      <c r="G171" s="34"/>
      <c r="H171" s="36">
        <v>45767.0</v>
      </c>
      <c r="I171" s="34"/>
      <c r="J171" s="35"/>
      <c r="K171" s="34"/>
      <c r="L171" s="34"/>
      <c r="M171" s="34"/>
      <c r="N171" s="34"/>
      <c r="O171" s="34"/>
      <c r="P171" s="34"/>
      <c r="Q171" s="34"/>
      <c r="R171" s="34"/>
      <c r="S171" s="34"/>
      <c r="T171" s="34"/>
      <c r="U171" s="34"/>
      <c r="V171" s="34"/>
      <c r="W171" s="34"/>
      <c r="X171" s="34"/>
      <c r="Y171" s="34"/>
      <c r="Z171" s="34"/>
    </row>
    <row r="172">
      <c r="A172" s="31" t="s">
        <v>1392</v>
      </c>
      <c r="B172" s="31" t="s">
        <v>50</v>
      </c>
      <c r="C172" s="31" t="s">
        <v>66</v>
      </c>
      <c r="D172" s="31">
        <v>5.5</v>
      </c>
      <c r="E172" s="31">
        <v>40.0</v>
      </c>
      <c r="F172" s="31">
        <v>0.0</v>
      </c>
      <c r="G172" s="34">
        <f t="shared" ref="G172:G173" si="27">E172-F172-D172</f>
        <v>34.5</v>
      </c>
      <c r="H172" s="34"/>
      <c r="I172" s="34"/>
      <c r="J172" s="35"/>
      <c r="K172" s="34"/>
      <c r="L172" s="34"/>
      <c r="M172" s="34"/>
      <c r="N172" s="34"/>
      <c r="O172" s="34"/>
      <c r="P172" s="34"/>
      <c r="Q172" s="34"/>
      <c r="R172" s="34"/>
      <c r="S172" s="34"/>
      <c r="T172" s="34"/>
      <c r="U172" s="34"/>
      <c r="V172" s="34"/>
      <c r="W172" s="34"/>
      <c r="X172" s="34"/>
      <c r="Y172" s="34"/>
      <c r="Z172" s="34"/>
    </row>
    <row r="173">
      <c r="A173" s="31" t="s">
        <v>1392</v>
      </c>
      <c r="B173" s="31" t="s">
        <v>132</v>
      </c>
      <c r="C173" s="31" t="s">
        <v>66</v>
      </c>
      <c r="D173" s="31">
        <v>6.0</v>
      </c>
      <c r="E173" s="31">
        <v>28.5</v>
      </c>
      <c r="F173" s="31">
        <v>4.95</v>
      </c>
      <c r="G173" s="34">
        <f t="shared" si="27"/>
        <v>17.55</v>
      </c>
      <c r="H173" s="34"/>
      <c r="I173" s="34"/>
      <c r="J173" s="35"/>
      <c r="K173" s="34"/>
      <c r="L173" s="34"/>
      <c r="M173" s="34"/>
      <c r="N173" s="34"/>
      <c r="O173" s="34"/>
      <c r="P173" s="34"/>
      <c r="Q173" s="34"/>
      <c r="R173" s="34"/>
      <c r="S173" s="34"/>
      <c r="T173" s="34"/>
      <c r="U173" s="34"/>
      <c r="V173" s="34"/>
      <c r="W173" s="34"/>
      <c r="X173" s="34"/>
      <c r="Y173" s="34"/>
      <c r="Z173" s="34"/>
    </row>
    <row r="174">
      <c r="A174" s="10" t="s">
        <v>1392</v>
      </c>
      <c r="B174" s="10" t="s">
        <v>234</v>
      </c>
      <c r="C174" s="10" t="s">
        <v>66</v>
      </c>
      <c r="D174" s="10">
        <v>7.3</v>
      </c>
      <c r="E174" s="10">
        <v>25.0</v>
      </c>
      <c r="F174" s="10">
        <v>0.0</v>
      </c>
      <c r="G174" s="11">
        <f>E174-D174</f>
        <v>17.7</v>
      </c>
      <c r="H174" s="49">
        <v>45976.0</v>
      </c>
      <c r="I174" s="11"/>
      <c r="J174" s="12"/>
      <c r="K174" s="11"/>
      <c r="L174" s="11"/>
      <c r="M174" s="11"/>
      <c r="N174" s="11"/>
      <c r="O174" s="11"/>
      <c r="P174" s="11"/>
      <c r="Q174" s="11"/>
      <c r="R174" s="11"/>
      <c r="S174" s="11"/>
      <c r="T174" s="11"/>
      <c r="U174" s="11"/>
      <c r="V174" s="11"/>
      <c r="W174" s="11"/>
      <c r="X174" s="11"/>
      <c r="Y174" s="11"/>
      <c r="Z174" s="11"/>
    </row>
    <row r="175">
      <c r="A175" s="57" t="s">
        <v>1393</v>
      </c>
      <c r="B175" s="57" t="s">
        <v>1394</v>
      </c>
      <c r="C175" s="57" t="s">
        <v>95</v>
      </c>
      <c r="D175" s="57">
        <v>13.0</v>
      </c>
      <c r="E175" s="57">
        <v>35.0</v>
      </c>
      <c r="F175" s="57">
        <v>4.51</v>
      </c>
      <c r="G175" s="58">
        <f t="shared" ref="G175:G176" si="28">E175-F175-D175</f>
        <v>17.49</v>
      </c>
      <c r="H175" s="58"/>
      <c r="I175" s="58"/>
      <c r="J175" s="59"/>
      <c r="K175" s="58"/>
      <c r="L175" s="58"/>
      <c r="M175" s="58"/>
      <c r="N175" s="58"/>
      <c r="O175" s="58"/>
      <c r="P175" s="58"/>
      <c r="Q175" s="58"/>
      <c r="R175" s="58"/>
      <c r="S175" s="58"/>
      <c r="T175" s="58"/>
      <c r="U175" s="58"/>
      <c r="V175" s="58"/>
      <c r="W175" s="58"/>
      <c r="X175" s="58"/>
      <c r="Y175" s="58"/>
      <c r="Z175" s="58"/>
    </row>
    <row r="176">
      <c r="A176" s="45" t="s">
        <v>1395</v>
      </c>
      <c r="B176" s="45" t="s">
        <v>1396</v>
      </c>
      <c r="C176" s="45">
        <v>7.0</v>
      </c>
      <c r="D176" s="45">
        <v>8.0</v>
      </c>
      <c r="E176" s="45">
        <v>35.0</v>
      </c>
      <c r="F176" s="45">
        <v>0.0</v>
      </c>
      <c r="G176" s="46">
        <f t="shared" si="28"/>
        <v>27</v>
      </c>
      <c r="H176" s="47">
        <v>46096.0</v>
      </c>
      <c r="I176" s="46"/>
      <c r="J176" s="48"/>
      <c r="K176" s="46"/>
      <c r="L176" s="46"/>
      <c r="M176" s="46"/>
      <c r="N176" s="46"/>
      <c r="O176" s="46"/>
      <c r="P176" s="46"/>
      <c r="Q176" s="46"/>
      <c r="R176" s="46"/>
      <c r="S176" s="46"/>
      <c r="T176" s="46"/>
      <c r="U176" s="46"/>
      <c r="V176" s="46"/>
      <c r="W176" s="46"/>
      <c r="X176" s="46"/>
      <c r="Y176" s="46"/>
      <c r="Z176" s="46"/>
    </row>
    <row r="177">
      <c r="A177" s="31" t="s">
        <v>1397</v>
      </c>
      <c r="B177" s="31" t="s">
        <v>1398</v>
      </c>
      <c r="C177" s="31" t="s">
        <v>51</v>
      </c>
      <c r="D177" s="31">
        <v>10.0</v>
      </c>
      <c r="E177" s="34"/>
      <c r="F177" s="34"/>
      <c r="G177" s="34"/>
      <c r="H177" s="36">
        <v>45767.0</v>
      </c>
      <c r="I177" s="34"/>
      <c r="J177" s="35"/>
      <c r="K177" s="34"/>
      <c r="L177" s="34"/>
      <c r="M177" s="34"/>
      <c r="N177" s="34"/>
      <c r="O177" s="34"/>
      <c r="P177" s="34"/>
      <c r="Q177" s="34"/>
      <c r="R177" s="34"/>
      <c r="S177" s="34"/>
      <c r="T177" s="34"/>
      <c r="U177" s="34"/>
      <c r="V177" s="34"/>
      <c r="W177" s="34"/>
      <c r="X177" s="34"/>
      <c r="Y177" s="34"/>
      <c r="Z177" s="34"/>
    </row>
    <row r="178">
      <c r="A178" s="31" t="s">
        <v>309</v>
      </c>
      <c r="B178" s="31" t="s">
        <v>1399</v>
      </c>
      <c r="C178" s="31">
        <v>38.0</v>
      </c>
      <c r="D178" s="31">
        <v>8.0</v>
      </c>
      <c r="E178" s="31">
        <v>35.0</v>
      </c>
      <c r="F178" s="31">
        <v>0.0</v>
      </c>
      <c r="G178" s="34">
        <f>E178-F178-D178</f>
        <v>27</v>
      </c>
      <c r="H178" s="36">
        <v>46131.0</v>
      </c>
      <c r="I178" s="34"/>
      <c r="J178" s="35"/>
      <c r="K178" s="34"/>
      <c r="L178" s="34"/>
      <c r="M178" s="34"/>
      <c r="N178" s="34"/>
      <c r="O178" s="34"/>
      <c r="P178" s="34"/>
      <c r="Q178" s="34"/>
      <c r="R178" s="34"/>
      <c r="S178" s="34"/>
      <c r="T178" s="34"/>
      <c r="U178" s="34"/>
      <c r="V178" s="34"/>
      <c r="W178" s="34"/>
      <c r="X178" s="34"/>
      <c r="Y178" s="34"/>
      <c r="Z178" s="34"/>
    </row>
    <row r="179">
      <c r="A179" s="38" t="s">
        <v>311</v>
      </c>
      <c r="B179" s="38" t="s">
        <v>243</v>
      </c>
      <c r="C179" s="38" t="s">
        <v>51</v>
      </c>
      <c r="D179" s="38">
        <v>7.0</v>
      </c>
      <c r="E179" s="39"/>
      <c r="F179" s="39"/>
      <c r="G179" s="39"/>
      <c r="H179" s="40">
        <v>45893.0</v>
      </c>
      <c r="I179" s="39"/>
      <c r="J179" s="41"/>
      <c r="K179" s="39"/>
      <c r="L179" s="39"/>
      <c r="M179" s="39"/>
      <c r="N179" s="39"/>
      <c r="O179" s="39"/>
      <c r="P179" s="39"/>
      <c r="Q179" s="39"/>
      <c r="R179" s="39"/>
      <c r="S179" s="39"/>
      <c r="T179" s="39"/>
      <c r="U179" s="39"/>
      <c r="V179" s="39"/>
      <c r="W179" s="39"/>
      <c r="X179" s="39"/>
      <c r="Y179" s="39"/>
      <c r="Z179" s="39"/>
    </row>
    <row r="180">
      <c r="A180" s="42" t="s">
        <v>313</v>
      </c>
      <c r="B180" s="42" t="s">
        <v>1400</v>
      </c>
      <c r="C180" s="42" t="s">
        <v>51</v>
      </c>
      <c r="D180" s="42">
        <v>7.0</v>
      </c>
      <c r="E180" s="42">
        <v>40.75</v>
      </c>
      <c r="F180" s="42">
        <v>6.83</v>
      </c>
      <c r="G180" s="43">
        <f t="shared" ref="G180:G183" si="29">E180-F180-D180</f>
        <v>26.92</v>
      </c>
      <c r="H180" s="42" t="s">
        <v>1202</v>
      </c>
      <c r="I180" s="43"/>
      <c r="J180" s="44"/>
      <c r="K180" s="43"/>
      <c r="L180" s="43"/>
      <c r="M180" s="43"/>
      <c r="N180" s="43"/>
      <c r="O180" s="43"/>
      <c r="P180" s="43"/>
      <c r="Q180" s="43"/>
      <c r="R180" s="43"/>
      <c r="S180" s="43"/>
      <c r="T180" s="43"/>
      <c r="U180" s="43"/>
      <c r="V180" s="43"/>
      <c r="W180" s="43"/>
      <c r="X180" s="43"/>
      <c r="Y180" s="43"/>
      <c r="Z180" s="43"/>
    </row>
    <row r="181">
      <c r="A181" s="42" t="s">
        <v>313</v>
      </c>
      <c r="B181" s="42" t="s">
        <v>1401</v>
      </c>
      <c r="C181" s="42" t="s">
        <v>66</v>
      </c>
      <c r="D181" s="42">
        <v>6.3</v>
      </c>
      <c r="E181" s="42">
        <v>35.0</v>
      </c>
      <c r="F181" s="42">
        <v>5.61</v>
      </c>
      <c r="G181" s="43">
        <f t="shared" si="29"/>
        <v>23.09</v>
      </c>
      <c r="H181" s="42" t="s">
        <v>1202</v>
      </c>
      <c r="I181" s="43"/>
      <c r="J181" s="44"/>
      <c r="K181" s="43"/>
      <c r="L181" s="43"/>
      <c r="M181" s="43"/>
      <c r="N181" s="43"/>
      <c r="O181" s="43"/>
      <c r="P181" s="43"/>
      <c r="Q181" s="43"/>
      <c r="R181" s="43"/>
      <c r="S181" s="43"/>
      <c r="T181" s="43"/>
      <c r="U181" s="43"/>
      <c r="V181" s="43"/>
      <c r="W181" s="43"/>
      <c r="X181" s="43"/>
      <c r="Y181" s="43"/>
      <c r="Z181" s="43"/>
    </row>
    <row r="182">
      <c r="A182" s="42" t="s">
        <v>313</v>
      </c>
      <c r="B182" s="42" t="s">
        <v>1402</v>
      </c>
      <c r="C182" s="42" t="s">
        <v>51</v>
      </c>
      <c r="D182" s="42">
        <v>8.0</v>
      </c>
      <c r="E182" s="42">
        <v>23.51</v>
      </c>
      <c r="F182" s="42">
        <v>5.62</v>
      </c>
      <c r="G182" s="43">
        <f t="shared" si="29"/>
        <v>9.89</v>
      </c>
      <c r="H182" s="42" t="s">
        <v>1202</v>
      </c>
      <c r="I182" s="43"/>
      <c r="J182" s="44"/>
      <c r="K182" s="43"/>
      <c r="L182" s="43"/>
      <c r="M182" s="43"/>
      <c r="N182" s="43"/>
      <c r="O182" s="43"/>
      <c r="P182" s="43"/>
      <c r="Q182" s="43"/>
      <c r="R182" s="43"/>
      <c r="S182" s="43"/>
      <c r="T182" s="43"/>
      <c r="U182" s="43"/>
      <c r="V182" s="43"/>
      <c r="W182" s="43"/>
      <c r="X182" s="43"/>
      <c r="Y182" s="43"/>
      <c r="Z182" s="43"/>
    </row>
    <row r="183">
      <c r="A183" s="7" t="s">
        <v>313</v>
      </c>
      <c r="B183" s="7" t="s">
        <v>1403</v>
      </c>
      <c r="C183" s="7" t="s">
        <v>95</v>
      </c>
      <c r="D183" s="7">
        <v>4.0</v>
      </c>
      <c r="E183" s="7">
        <v>20.0</v>
      </c>
      <c r="F183" s="7">
        <v>0.0</v>
      </c>
      <c r="G183" s="8">
        <f t="shared" si="29"/>
        <v>16</v>
      </c>
      <c r="H183" s="7"/>
      <c r="I183" s="7" t="s">
        <v>614</v>
      </c>
      <c r="J183" s="9"/>
      <c r="K183" s="8"/>
      <c r="L183" s="8"/>
      <c r="M183" s="8"/>
      <c r="N183" s="8"/>
      <c r="O183" s="8"/>
      <c r="P183" s="8"/>
      <c r="Q183" s="8"/>
      <c r="R183" s="8"/>
      <c r="S183" s="8"/>
      <c r="T183" s="8"/>
      <c r="U183" s="8"/>
      <c r="V183" s="8"/>
      <c r="W183" s="8"/>
      <c r="X183" s="8"/>
      <c r="Y183" s="8"/>
      <c r="Z183" s="8"/>
    </row>
    <row r="184">
      <c r="A184" s="10" t="s">
        <v>313</v>
      </c>
      <c r="B184" s="10" t="s">
        <v>1404</v>
      </c>
      <c r="C184" s="10" t="s">
        <v>57</v>
      </c>
      <c r="D184" s="10">
        <v>7.0</v>
      </c>
      <c r="E184" s="10">
        <v>40.0</v>
      </c>
      <c r="F184" s="10">
        <v>0.0</v>
      </c>
      <c r="G184" s="11">
        <f>E184-D184</f>
        <v>33</v>
      </c>
      <c r="H184" s="49">
        <v>45976.0</v>
      </c>
      <c r="I184" s="10"/>
      <c r="J184" s="12"/>
      <c r="K184" s="11"/>
      <c r="L184" s="11"/>
      <c r="M184" s="11"/>
      <c r="N184" s="11"/>
      <c r="O184" s="11"/>
      <c r="P184" s="11"/>
      <c r="Q184" s="11"/>
      <c r="R184" s="11"/>
      <c r="S184" s="11"/>
      <c r="T184" s="11"/>
      <c r="U184" s="11"/>
      <c r="V184" s="11"/>
      <c r="W184" s="11"/>
      <c r="X184" s="11"/>
      <c r="Y184" s="11"/>
      <c r="Z184" s="11"/>
    </row>
    <row r="185">
      <c r="A185" s="31" t="s">
        <v>313</v>
      </c>
      <c r="B185" s="31" t="s">
        <v>1020</v>
      </c>
      <c r="C185" s="31" t="s">
        <v>51</v>
      </c>
      <c r="D185" s="31">
        <v>8.0</v>
      </c>
      <c r="E185" s="31">
        <v>30.0</v>
      </c>
      <c r="F185" s="31">
        <v>0.0</v>
      </c>
      <c r="G185" s="34">
        <f t="shared" ref="G185:G186" si="30">E185-F185-D185</f>
        <v>22</v>
      </c>
      <c r="H185" s="31" t="s">
        <v>1190</v>
      </c>
      <c r="I185" s="34"/>
      <c r="J185" s="35"/>
      <c r="K185" s="34"/>
      <c r="L185" s="34"/>
      <c r="M185" s="34"/>
      <c r="N185" s="34"/>
      <c r="O185" s="34"/>
      <c r="P185" s="34"/>
      <c r="Q185" s="34"/>
      <c r="R185" s="34"/>
      <c r="S185" s="34"/>
      <c r="T185" s="34"/>
      <c r="U185" s="34"/>
      <c r="V185" s="34"/>
      <c r="W185" s="34"/>
      <c r="X185" s="34"/>
      <c r="Y185" s="34"/>
      <c r="Z185" s="34"/>
    </row>
    <row r="186">
      <c r="A186" s="31" t="s">
        <v>1405</v>
      </c>
      <c r="B186" s="31" t="s">
        <v>1406</v>
      </c>
      <c r="C186" s="31" t="s">
        <v>66</v>
      </c>
      <c r="D186" s="31">
        <v>10.0</v>
      </c>
      <c r="E186" s="31">
        <v>27.5</v>
      </c>
      <c r="F186" s="31">
        <v>5.01</v>
      </c>
      <c r="G186" s="34">
        <f t="shared" si="30"/>
        <v>12.49</v>
      </c>
      <c r="H186" s="34"/>
      <c r="I186" s="34"/>
      <c r="J186" s="35"/>
      <c r="K186" s="34"/>
      <c r="L186" s="34"/>
      <c r="M186" s="34"/>
      <c r="N186" s="34"/>
      <c r="O186" s="34"/>
      <c r="P186" s="34"/>
      <c r="Q186" s="34"/>
      <c r="R186" s="34"/>
      <c r="S186" s="34"/>
      <c r="T186" s="34"/>
      <c r="U186" s="34"/>
      <c r="V186" s="34"/>
      <c r="W186" s="34"/>
      <c r="X186" s="34"/>
      <c r="Y186" s="34"/>
      <c r="Z186" s="34"/>
    </row>
    <row r="187">
      <c r="A187" s="10" t="s">
        <v>1407</v>
      </c>
      <c r="B187" s="10" t="s">
        <v>1408</v>
      </c>
      <c r="C187" s="10"/>
      <c r="D187" s="10">
        <v>4.5</v>
      </c>
      <c r="E187" s="10">
        <v>40.0</v>
      </c>
      <c r="F187" s="10">
        <v>0.0</v>
      </c>
      <c r="G187" s="11">
        <f>E187-D187</f>
        <v>35.5</v>
      </c>
      <c r="H187" s="49">
        <v>45976.0</v>
      </c>
      <c r="I187" s="11"/>
      <c r="J187" s="12"/>
      <c r="K187" s="11"/>
      <c r="L187" s="11"/>
      <c r="M187" s="11"/>
      <c r="N187" s="11"/>
      <c r="O187" s="11"/>
      <c r="P187" s="11"/>
      <c r="Q187" s="11"/>
      <c r="R187" s="11"/>
      <c r="S187" s="11"/>
      <c r="T187" s="11"/>
      <c r="U187" s="11"/>
      <c r="V187" s="11"/>
      <c r="W187" s="11"/>
      <c r="X187" s="11"/>
      <c r="Y187" s="11"/>
      <c r="Z187" s="11"/>
    </row>
    <row r="188">
      <c r="A188" s="31" t="s">
        <v>1409</v>
      </c>
      <c r="B188" s="31" t="s">
        <v>1410</v>
      </c>
      <c r="C188" s="31" t="s">
        <v>51</v>
      </c>
      <c r="D188" s="31">
        <v>8.0</v>
      </c>
      <c r="E188" s="31">
        <v>15.0</v>
      </c>
      <c r="F188" s="31">
        <v>0.0</v>
      </c>
      <c r="G188" s="34">
        <f>E188-F188-D188</f>
        <v>7</v>
      </c>
      <c r="H188" s="31" t="s">
        <v>1190</v>
      </c>
      <c r="I188" s="34"/>
      <c r="J188" s="35"/>
      <c r="K188" s="34"/>
      <c r="L188" s="34"/>
      <c r="M188" s="34"/>
      <c r="N188" s="34"/>
      <c r="O188" s="34"/>
      <c r="P188" s="34"/>
      <c r="Q188" s="34"/>
      <c r="R188" s="34"/>
      <c r="S188" s="34"/>
      <c r="T188" s="34"/>
      <c r="U188" s="34"/>
      <c r="V188" s="34"/>
      <c r="W188" s="34"/>
      <c r="X188" s="34"/>
      <c r="Y188" s="34"/>
      <c r="Z188" s="34"/>
    </row>
    <row r="189">
      <c r="A189" s="31" t="s">
        <v>1411</v>
      </c>
      <c r="B189" s="31" t="s">
        <v>1412</v>
      </c>
      <c r="C189" s="31" t="s">
        <v>57</v>
      </c>
      <c r="D189" s="31">
        <v>7.49</v>
      </c>
      <c r="E189" s="34"/>
      <c r="F189" s="34"/>
      <c r="G189" s="34"/>
      <c r="H189" s="36">
        <v>45794.0</v>
      </c>
      <c r="I189" s="34"/>
      <c r="J189" s="35"/>
      <c r="K189" s="34"/>
      <c r="L189" s="34"/>
      <c r="M189" s="34"/>
      <c r="N189" s="34"/>
      <c r="O189" s="34"/>
      <c r="P189" s="34"/>
      <c r="Q189" s="34"/>
      <c r="R189" s="34"/>
      <c r="S189" s="34"/>
      <c r="T189" s="34"/>
      <c r="U189" s="34"/>
      <c r="V189" s="34"/>
      <c r="W189" s="34"/>
      <c r="X189" s="34"/>
      <c r="Y189" s="34"/>
      <c r="Z189" s="34"/>
    </row>
    <row r="190">
      <c r="A190" s="31" t="s">
        <v>327</v>
      </c>
      <c r="B190" s="31" t="s">
        <v>74</v>
      </c>
      <c r="C190" s="31" t="s">
        <v>51</v>
      </c>
      <c r="D190" s="31">
        <v>3.65</v>
      </c>
      <c r="E190" s="31">
        <v>25.0</v>
      </c>
      <c r="F190" s="31">
        <v>0.0</v>
      </c>
      <c r="G190" s="34">
        <f t="shared" ref="G190:G194" si="31">E190-F190-D190</f>
        <v>21.35</v>
      </c>
      <c r="H190" s="34"/>
      <c r="I190" s="34"/>
      <c r="J190" s="61"/>
      <c r="K190" s="34"/>
      <c r="L190" s="34"/>
      <c r="M190" s="34"/>
      <c r="N190" s="34"/>
      <c r="O190" s="34"/>
      <c r="P190" s="34"/>
      <c r="Q190" s="34"/>
      <c r="R190" s="34"/>
      <c r="S190" s="34"/>
      <c r="T190" s="34"/>
      <c r="U190" s="34"/>
      <c r="V190" s="34"/>
      <c r="W190" s="34"/>
      <c r="X190" s="34"/>
      <c r="Y190" s="34"/>
      <c r="Z190" s="34"/>
    </row>
    <row r="191">
      <c r="A191" s="45" t="s">
        <v>327</v>
      </c>
      <c r="B191" s="45" t="s">
        <v>1413</v>
      </c>
      <c r="C191" s="45" t="s">
        <v>51</v>
      </c>
      <c r="D191" s="45">
        <v>6.0</v>
      </c>
      <c r="E191" s="45">
        <v>25.0</v>
      </c>
      <c r="F191" s="45">
        <v>0.0</v>
      </c>
      <c r="G191" s="46">
        <f t="shared" si="31"/>
        <v>19</v>
      </c>
      <c r="H191" s="47">
        <v>46096.0</v>
      </c>
      <c r="I191" s="46"/>
      <c r="J191" s="64"/>
      <c r="K191" s="46"/>
      <c r="L191" s="46"/>
      <c r="M191" s="46"/>
      <c r="N191" s="46"/>
      <c r="O191" s="46"/>
      <c r="P191" s="46"/>
      <c r="Q191" s="46"/>
      <c r="R191" s="46"/>
      <c r="S191" s="46"/>
      <c r="T191" s="46"/>
      <c r="U191" s="46"/>
      <c r="V191" s="46"/>
      <c r="W191" s="46"/>
      <c r="X191" s="46"/>
      <c r="Y191" s="46"/>
      <c r="Z191" s="46"/>
    </row>
    <row r="192">
      <c r="A192" s="10" t="s">
        <v>1414</v>
      </c>
      <c r="B192" s="10" t="s">
        <v>1415</v>
      </c>
      <c r="C192" s="10" t="s">
        <v>57</v>
      </c>
      <c r="D192" s="10">
        <v>7.3</v>
      </c>
      <c r="E192" s="10">
        <v>40.0</v>
      </c>
      <c r="F192" s="10">
        <v>0.0</v>
      </c>
      <c r="G192" s="11">
        <f t="shared" si="31"/>
        <v>32.7</v>
      </c>
      <c r="H192" s="49">
        <v>45976.0</v>
      </c>
      <c r="I192" s="11"/>
      <c r="J192" s="12"/>
      <c r="K192" s="11"/>
      <c r="L192" s="11"/>
      <c r="M192" s="11"/>
      <c r="N192" s="11"/>
      <c r="O192" s="11"/>
      <c r="P192" s="11"/>
      <c r="Q192" s="11"/>
      <c r="R192" s="11"/>
      <c r="S192" s="11"/>
      <c r="T192" s="11"/>
      <c r="U192" s="11"/>
      <c r="V192" s="11"/>
      <c r="W192" s="11"/>
      <c r="X192" s="11"/>
      <c r="Y192" s="11"/>
      <c r="Z192" s="11"/>
    </row>
    <row r="193">
      <c r="A193" s="7" t="s">
        <v>1416</v>
      </c>
      <c r="B193" s="7" t="s">
        <v>1417</v>
      </c>
      <c r="C193" s="7" t="s">
        <v>66</v>
      </c>
      <c r="D193" s="7">
        <v>15.0</v>
      </c>
      <c r="E193" s="7">
        <v>60.0</v>
      </c>
      <c r="F193" s="7">
        <v>0.0</v>
      </c>
      <c r="G193" s="8">
        <f t="shared" si="31"/>
        <v>45</v>
      </c>
      <c r="H193" s="7"/>
      <c r="I193" s="7" t="s">
        <v>614</v>
      </c>
      <c r="J193" s="9"/>
      <c r="K193" s="8"/>
      <c r="L193" s="8"/>
      <c r="M193" s="8"/>
      <c r="N193" s="8"/>
      <c r="O193" s="8"/>
      <c r="P193" s="8"/>
      <c r="Q193" s="8"/>
      <c r="R193" s="8"/>
      <c r="S193" s="8"/>
      <c r="T193" s="8"/>
      <c r="U193" s="8"/>
      <c r="V193" s="8"/>
      <c r="W193" s="8"/>
      <c r="X193" s="8"/>
      <c r="Y193" s="8"/>
      <c r="Z193" s="8"/>
    </row>
    <row r="194">
      <c r="A194" s="31" t="s">
        <v>1418</v>
      </c>
      <c r="B194" s="31" t="s">
        <v>738</v>
      </c>
      <c r="C194" s="31" t="s">
        <v>481</v>
      </c>
      <c r="D194" s="31">
        <v>11.0</v>
      </c>
      <c r="E194" s="31">
        <v>100.0</v>
      </c>
      <c r="F194" s="31">
        <v>0.0</v>
      </c>
      <c r="G194" s="34">
        <f t="shared" si="31"/>
        <v>89</v>
      </c>
      <c r="H194" s="31" t="s">
        <v>1190</v>
      </c>
      <c r="I194" s="34"/>
      <c r="J194" s="61"/>
      <c r="K194" s="34"/>
      <c r="L194" s="34"/>
      <c r="M194" s="34"/>
      <c r="N194" s="34"/>
      <c r="O194" s="34"/>
      <c r="P194" s="34"/>
      <c r="Q194" s="34"/>
      <c r="R194" s="34"/>
      <c r="S194" s="34"/>
      <c r="T194" s="34"/>
      <c r="U194" s="34"/>
      <c r="V194" s="34"/>
      <c r="W194" s="34"/>
      <c r="X194" s="34"/>
      <c r="Y194" s="34"/>
      <c r="Z194" s="34"/>
    </row>
    <row r="195">
      <c r="A195" s="10" t="s">
        <v>1419</v>
      </c>
      <c r="B195" s="10" t="s">
        <v>1420</v>
      </c>
      <c r="C195" s="10" t="s">
        <v>51</v>
      </c>
      <c r="D195" s="10">
        <v>7.0</v>
      </c>
      <c r="E195" s="10">
        <v>30.0</v>
      </c>
      <c r="F195" s="10">
        <v>0.0</v>
      </c>
      <c r="G195" s="11">
        <f t="shared" ref="G195:G196" si="32">E195-D195</f>
        <v>23</v>
      </c>
      <c r="H195" s="49">
        <v>45976.0</v>
      </c>
      <c r="I195" s="65" t="s">
        <v>1421</v>
      </c>
      <c r="J195" s="12"/>
      <c r="K195" s="11"/>
      <c r="L195" s="11"/>
      <c r="M195" s="11"/>
      <c r="N195" s="11"/>
      <c r="O195" s="11"/>
      <c r="P195" s="11"/>
      <c r="Q195" s="11"/>
      <c r="R195" s="11"/>
      <c r="S195" s="11"/>
      <c r="T195" s="11"/>
      <c r="U195" s="11"/>
      <c r="V195" s="11"/>
      <c r="W195" s="11"/>
      <c r="X195" s="11"/>
      <c r="Y195" s="11"/>
      <c r="Z195" s="11"/>
    </row>
    <row r="196">
      <c r="A196" s="10" t="s">
        <v>1422</v>
      </c>
      <c r="B196" s="10" t="s">
        <v>1423</v>
      </c>
      <c r="C196" s="10"/>
      <c r="D196" s="10">
        <v>17.0</v>
      </c>
      <c r="E196" s="10">
        <v>40.0</v>
      </c>
      <c r="F196" s="10">
        <v>0.0</v>
      </c>
      <c r="G196" s="11">
        <f t="shared" si="32"/>
        <v>23</v>
      </c>
      <c r="H196" s="49">
        <v>45976.0</v>
      </c>
      <c r="I196" s="66" t="s">
        <v>1424</v>
      </c>
      <c r="J196" s="12"/>
      <c r="K196" s="11"/>
      <c r="L196" s="11"/>
      <c r="M196" s="11"/>
      <c r="N196" s="11"/>
      <c r="O196" s="11"/>
      <c r="P196" s="11"/>
      <c r="Q196" s="11"/>
      <c r="R196" s="11"/>
      <c r="S196" s="11"/>
      <c r="T196" s="11"/>
      <c r="U196" s="11"/>
      <c r="V196" s="11"/>
      <c r="W196" s="11"/>
      <c r="X196" s="11"/>
      <c r="Y196" s="11"/>
      <c r="Z196" s="11"/>
    </row>
    <row r="197">
      <c r="A197" s="42" t="s">
        <v>1425</v>
      </c>
      <c r="B197" s="42" t="s">
        <v>243</v>
      </c>
      <c r="C197" s="42">
        <v>2.0</v>
      </c>
      <c r="D197" s="42">
        <v>30.0</v>
      </c>
      <c r="E197" s="42">
        <v>48.96</v>
      </c>
      <c r="F197" s="42">
        <v>7.25</v>
      </c>
      <c r="G197" s="43">
        <f>E197-F197-D197</f>
        <v>11.71</v>
      </c>
      <c r="H197" s="42" t="s">
        <v>1202</v>
      </c>
      <c r="I197" s="43"/>
      <c r="J197" s="67"/>
      <c r="K197" s="43"/>
      <c r="L197" s="43"/>
      <c r="M197" s="43"/>
      <c r="N197" s="43"/>
      <c r="O197" s="43"/>
      <c r="P197" s="43"/>
      <c r="Q197" s="43"/>
      <c r="R197" s="43"/>
      <c r="S197" s="43"/>
      <c r="T197" s="43"/>
      <c r="U197" s="43"/>
      <c r="V197" s="43"/>
      <c r="W197" s="43"/>
      <c r="X197" s="43"/>
      <c r="Y197" s="43"/>
      <c r="Z197" s="43"/>
    </row>
    <row r="198">
      <c r="A198" s="45" t="s">
        <v>1426</v>
      </c>
      <c r="B198" s="45" t="s">
        <v>1427</v>
      </c>
      <c r="C198" s="45"/>
      <c r="D198" s="45">
        <v>1.0</v>
      </c>
      <c r="E198" s="45">
        <v>15.0</v>
      </c>
      <c r="F198" s="45">
        <v>0.0</v>
      </c>
      <c r="G198" s="46">
        <f t="shared" ref="G198:G200" si="33">E198-D198</f>
        <v>14</v>
      </c>
      <c r="H198" s="47">
        <v>46048.0</v>
      </c>
      <c r="I198" s="46"/>
      <c r="J198" s="48"/>
      <c r="K198" s="46"/>
      <c r="L198" s="46"/>
      <c r="M198" s="46"/>
      <c r="N198" s="46"/>
      <c r="O198" s="46"/>
      <c r="P198" s="46"/>
      <c r="Q198" s="46"/>
      <c r="R198" s="46"/>
      <c r="S198" s="46"/>
      <c r="T198" s="46"/>
      <c r="U198" s="46"/>
      <c r="V198" s="46"/>
      <c r="W198" s="46"/>
      <c r="X198" s="46"/>
      <c r="Y198" s="46"/>
      <c r="Z198" s="46"/>
    </row>
    <row r="199">
      <c r="A199" s="31" t="s">
        <v>1428</v>
      </c>
      <c r="B199" s="31" t="s">
        <v>1429</v>
      </c>
      <c r="C199" s="31" t="s">
        <v>51</v>
      </c>
      <c r="D199" s="31">
        <v>0.0</v>
      </c>
      <c r="E199" s="31">
        <v>10.0</v>
      </c>
      <c r="F199" s="31">
        <v>0.0</v>
      </c>
      <c r="G199" s="34">
        <f t="shared" si="33"/>
        <v>10</v>
      </c>
      <c r="H199" s="36">
        <v>46131.0</v>
      </c>
      <c r="I199" s="34"/>
      <c r="J199" s="35"/>
      <c r="K199" s="34"/>
      <c r="L199" s="34"/>
      <c r="M199" s="34"/>
      <c r="N199" s="34"/>
      <c r="O199" s="34"/>
      <c r="P199" s="34"/>
      <c r="Q199" s="34"/>
      <c r="R199" s="34"/>
      <c r="S199" s="34"/>
      <c r="T199" s="34"/>
      <c r="U199" s="34"/>
      <c r="V199" s="34"/>
      <c r="W199" s="34"/>
      <c r="X199" s="34"/>
      <c r="Y199" s="34"/>
      <c r="Z199" s="34"/>
    </row>
    <row r="200">
      <c r="A200" s="31" t="s">
        <v>345</v>
      </c>
      <c r="B200" s="31" t="s">
        <v>364</v>
      </c>
      <c r="C200" s="31" t="s">
        <v>51</v>
      </c>
      <c r="D200" s="31">
        <v>10.5</v>
      </c>
      <c r="E200" s="31">
        <v>25.0</v>
      </c>
      <c r="F200" s="31">
        <v>0.0</v>
      </c>
      <c r="G200" s="34">
        <f t="shared" si="33"/>
        <v>14.5</v>
      </c>
      <c r="H200" s="34"/>
      <c r="I200" s="34"/>
      <c r="J200" s="35"/>
      <c r="K200" s="34"/>
      <c r="L200" s="34"/>
      <c r="M200" s="34"/>
      <c r="N200" s="34"/>
      <c r="O200" s="34"/>
      <c r="P200" s="34"/>
      <c r="Q200" s="34"/>
      <c r="R200" s="34"/>
      <c r="S200" s="34"/>
      <c r="T200" s="34"/>
      <c r="U200" s="34"/>
      <c r="V200" s="34"/>
      <c r="W200" s="34"/>
      <c r="X200" s="34"/>
      <c r="Y200" s="34"/>
      <c r="Z200" s="34"/>
    </row>
    <row r="201">
      <c r="A201" s="31" t="s">
        <v>1430</v>
      </c>
      <c r="B201" s="31" t="s">
        <v>1431</v>
      </c>
      <c r="C201" s="31" t="s">
        <v>51</v>
      </c>
      <c r="D201" s="31"/>
      <c r="E201" s="34"/>
      <c r="F201" s="34"/>
      <c r="G201" s="34"/>
      <c r="H201" s="31" t="s">
        <v>1195</v>
      </c>
      <c r="I201" s="34"/>
      <c r="J201" s="35"/>
      <c r="K201" s="34"/>
      <c r="L201" s="34"/>
      <c r="M201" s="34"/>
      <c r="N201" s="34"/>
      <c r="O201" s="34"/>
      <c r="P201" s="34"/>
      <c r="Q201" s="34"/>
      <c r="R201" s="34"/>
      <c r="S201" s="34"/>
      <c r="T201" s="34"/>
      <c r="U201" s="34"/>
      <c r="V201" s="34"/>
      <c r="W201" s="34"/>
      <c r="X201" s="34"/>
      <c r="Y201" s="34"/>
      <c r="Z201" s="34"/>
    </row>
    <row r="202">
      <c r="A202" s="45" t="s">
        <v>349</v>
      </c>
      <c r="B202" s="45" t="s">
        <v>61</v>
      </c>
      <c r="C202" s="45" t="s">
        <v>95</v>
      </c>
      <c r="D202" s="45">
        <v>6.5</v>
      </c>
      <c r="E202" s="45">
        <v>25.0</v>
      </c>
      <c r="F202" s="45">
        <v>0.0</v>
      </c>
      <c r="G202" s="45">
        <f t="shared" ref="G202:G203" si="34">E202-F202-D202</f>
        <v>18.5</v>
      </c>
      <c r="H202" s="47">
        <v>46096.0</v>
      </c>
      <c r="I202" s="46"/>
      <c r="J202" s="48"/>
      <c r="K202" s="46"/>
      <c r="L202" s="46"/>
      <c r="M202" s="46"/>
      <c r="N202" s="46"/>
      <c r="O202" s="46"/>
      <c r="P202" s="46"/>
      <c r="Q202" s="46"/>
      <c r="R202" s="46"/>
      <c r="S202" s="46"/>
      <c r="T202" s="46"/>
      <c r="U202" s="46"/>
      <c r="V202" s="46"/>
      <c r="W202" s="46"/>
      <c r="X202" s="46"/>
      <c r="Y202" s="46"/>
      <c r="Z202" s="46"/>
    </row>
    <row r="203">
      <c r="A203" s="45" t="s">
        <v>349</v>
      </c>
      <c r="B203" s="45" t="s">
        <v>1432</v>
      </c>
      <c r="C203" s="45" t="s">
        <v>57</v>
      </c>
      <c r="D203" s="45">
        <v>9.5</v>
      </c>
      <c r="E203" s="45">
        <v>30.0</v>
      </c>
      <c r="F203" s="45">
        <v>0.0</v>
      </c>
      <c r="G203" s="45">
        <f t="shared" si="34"/>
        <v>20.5</v>
      </c>
      <c r="H203" s="47">
        <v>46096.0</v>
      </c>
      <c r="I203" s="46"/>
      <c r="J203" s="48"/>
      <c r="K203" s="46"/>
      <c r="L203" s="46"/>
      <c r="M203" s="46"/>
      <c r="N203" s="46"/>
      <c r="O203" s="46"/>
      <c r="P203" s="46"/>
      <c r="Q203" s="46"/>
      <c r="R203" s="46"/>
      <c r="S203" s="46"/>
      <c r="T203" s="46"/>
      <c r="U203" s="46"/>
      <c r="V203" s="46"/>
      <c r="W203" s="46"/>
      <c r="X203" s="46"/>
      <c r="Y203" s="46"/>
      <c r="Z203" s="46"/>
    </row>
    <row r="204">
      <c r="A204" s="45" t="s">
        <v>349</v>
      </c>
      <c r="B204" s="45" t="s">
        <v>1433</v>
      </c>
      <c r="C204" s="45" t="s">
        <v>278</v>
      </c>
      <c r="D204" s="45">
        <v>7.3</v>
      </c>
      <c r="E204" s="45">
        <v>30.0</v>
      </c>
      <c r="F204" s="45">
        <v>0.0</v>
      </c>
      <c r="G204" s="45">
        <f>E204-D204</f>
        <v>22.7</v>
      </c>
      <c r="H204" s="47">
        <v>46096.0</v>
      </c>
      <c r="I204" s="46"/>
      <c r="J204" s="48"/>
      <c r="K204" s="46"/>
      <c r="L204" s="46"/>
      <c r="M204" s="46"/>
      <c r="N204" s="46"/>
      <c r="O204" s="46"/>
      <c r="P204" s="46"/>
      <c r="Q204" s="46"/>
      <c r="R204" s="46"/>
      <c r="S204" s="46"/>
      <c r="T204" s="46"/>
      <c r="U204" s="46"/>
      <c r="V204" s="46"/>
      <c r="W204" s="46"/>
      <c r="X204" s="46"/>
      <c r="Y204" s="46"/>
      <c r="Z204" s="46"/>
    </row>
    <row r="205">
      <c r="A205" s="10" t="s">
        <v>349</v>
      </c>
      <c r="B205" s="10" t="s">
        <v>1434</v>
      </c>
      <c r="C205" s="10" t="s">
        <v>66</v>
      </c>
      <c r="D205" s="10">
        <v>7.3</v>
      </c>
      <c r="E205" s="11"/>
      <c r="F205" s="11"/>
      <c r="G205" s="10"/>
      <c r="H205" s="63">
        <v>45935.0</v>
      </c>
      <c r="I205" s="11"/>
      <c r="J205" s="12"/>
      <c r="K205" s="11"/>
      <c r="L205" s="11"/>
      <c r="M205" s="11"/>
      <c r="N205" s="11"/>
      <c r="O205" s="11"/>
      <c r="P205" s="11"/>
      <c r="Q205" s="11"/>
      <c r="R205" s="11"/>
      <c r="S205" s="11"/>
      <c r="T205" s="11"/>
      <c r="U205" s="11"/>
      <c r="V205" s="11"/>
      <c r="W205" s="11"/>
      <c r="X205" s="11"/>
      <c r="Y205" s="11"/>
      <c r="Z205" s="11"/>
    </row>
    <row r="206">
      <c r="A206" s="10" t="s">
        <v>349</v>
      </c>
      <c r="B206" s="10" t="s">
        <v>1435</v>
      </c>
      <c r="C206" s="10" t="s">
        <v>1117</v>
      </c>
      <c r="D206" s="10">
        <v>10.0</v>
      </c>
      <c r="E206" s="11"/>
      <c r="F206" s="11"/>
      <c r="G206" s="10"/>
      <c r="H206" s="63">
        <v>45935.0</v>
      </c>
      <c r="I206" s="11"/>
      <c r="J206" s="12"/>
      <c r="K206" s="11"/>
      <c r="L206" s="11"/>
      <c r="M206" s="11"/>
      <c r="N206" s="11"/>
      <c r="O206" s="11"/>
      <c r="P206" s="11"/>
      <c r="Q206" s="11"/>
      <c r="R206" s="11"/>
      <c r="S206" s="11"/>
      <c r="T206" s="11"/>
      <c r="U206" s="11"/>
      <c r="V206" s="11"/>
      <c r="W206" s="11"/>
      <c r="X206" s="11"/>
      <c r="Y206" s="11"/>
      <c r="Z206" s="11"/>
    </row>
    <row r="207">
      <c r="A207" s="10" t="s">
        <v>349</v>
      </c>
      <c r="B207" s="10" t="s">
        <v>1436</v>
      </c>
      <c r="C207" s="10" t="s">
        <v>57</v>
      </c>
      <c r="D207" s="10">
        <v>7.0</v>
      </c>
      <c r="E207" s="11"/>
      <c r="F207" s="11"/>
      <c r="G207" s="10"/>
      <c r="H207" s="63">
        <v>45935.0</v>
      </c>
      <c r="I207" s="11"/>
      <c r="J207" s="12"/>
      <c r="K207" s="11"/>
      <c r="L207" s="11"/>
      <c r="M207" s="11"/>
      <c r="N207" s="11"/>
      <c r="O207" s="11"/>
      <c r="P207" s="11"/>
      <c r="Q207" s="11"/>
      <c r="R207" s="11"/>
      <c r="S207" s="11"/>
      <c r="T207" s="11"/>
      <c r="U207" s="11"/>
      <c r="V207" s="11"/>
      <c r="W207" s="11"/>
      <c r="X207" s="11"/>
      <c r="Y207" s="11"/>
      <c r="Z207" s="11"/>
    </row>
    <row r="208">
      <c r="A208" s="10" t="s">
        <v>349</v>
      </c>
      <c r="B208" s="10" t="s">
        <v>1437</v>
      </c>
      <c r="C208" s="10" t="s">
        <v>57</v>
      </c>
      <c r="D208" s="10">
        <v>7.0</v>
      </c>
      <c r="E208" s="11"/>
      <c r="F208" s="11"/>
      <c r="G208" s="10"/>
      <c r="H208" s="63">
        <v>45935.0</v>
      </c>
      <c r="I208" s="11"/>
      <c r="J208" s="12"/>
      <c r="K208" s="11"/>
      <c r="L208" s="11"/>
      <c r="M208" s="11"/>
      <c r="N208" s="11"/>
      <c r="O208" s="11"/>
      <c r="P208" s="11"/>
      <c r="Q208" s="11"/>
      <c r="R208" s="11"/>
      <c r="S208" s="11"/>
      <c r="T208" s="11"/>
      <c r="U208" s="11"/>
      <c r="V208" s="11"/>
      <c r="W208" s="11"/>
      <c r="X208" s="11"/>
      <c r="Y208" s="11"/>
      <c r="Z208" s="11"/>
    </row>
    <row r="209">
      <c r="A209" s="51" t="s">
        <v>349</v>
      </c>
      <c r="B209" s="51" t="s">
        <v>1438</v>
      </c>
      <c r="C209" s="51" t="s">
        <v>66</v>
      </c>
      <c r="D209" s="51">
        <v>10.0</v>
      </c>
      <c r="E209" s="51">
        <v>30.0</v>
      </c>
      <c r="F209" s="51">
        <v>0.0</v>
      </c>
      <c r="G209" s="52">
        <f t="shared" ref="G209:G212" si="35">E209-F209-D209</f>
        <v>20</v>
      </c>
      <c r="H209" s="52"/>
      <c r="I209" s="52"/>
      <c r="J209" s="53"/>
      <c r="K209" s="52"/>
      <c r="L209" s="52"/>
      <c r="M209" s="52"/>
      <c r="N209" s="52"/>
      <c r="O209" s="52"/>
      <c r="P209" s="52"/>
      <c r="Q209" s="52"/>
      <c r="R209" s="52"/>
      <c r="S209" s="52"/>
      <c r="T209" s="52"/>
      <c r="U209" s="52"/>
      <c r="V209" s="52"/>
      <c r="W209" s="52"/>
      <c r="X209" s="52"/>
      <c r="Y209" s="52"/>
      <c r="Z209" s="52"/>
    </row>
    <row r="210">
      <c r="A210" s="7" t="s">
        <v>349</v>
      </c>
      <c r="B210" s="7" t="s">
        <v>1439</v>
      </c>
      <c r="C210" s="7" t="s">
        <v>278</v>
      </c>
      <c r="D210" s="7">
        <v>7.0</v>
      </c>
      <c r="E210" s="7">
        <v>34.5</v>
      </c>
      <c r="F210" s="7">
        <v>0.0</v>
      </c>
      <c r="G210" s="8">
        <f t="shared" si="35"/>
        <v>27.5</v>
      </c>
      <c r="H210" s="7"/>
      <c r="I210" s="7" t="s">
        <v>614</v>
      </c>
      <c r="J210" s="9"/>
      <c r="K210" s="8"/>
      <c r="L210" s="8"/>
      <c r="M210" s="8"/>
      <c r="N210" s="8"/>
      <c r="O210" s="8"/>
      <c r="P210" s="8"/>
      <c r="Q210" s="8"/>
      <c r="R210" s="8"/>
      <c r="S210" s="8"/>
      <c r="T210" s="8"/>
      <c r="U210" s="8"/>
      <c r="V210" s="8"/>
      <c r="W210" s="8"/>
      <c r="X210" s="8"/>
      <c r="Y210" s="8"/>
      <c r="Z210" s="8"/>
    </row>
    <row r="211">
      <c r="A211" s="10" t="s">
        <v>349</v>
      </c>
      <c r="B211" s="10" t="s">
        <v>1440</v>
      </c>
      <c r="C211" s="10" t="s">
        <v>95</v>
      </c>
      <c r="D211" s="10">
        <v>9.0</v>
      </c>
      <c r="E211" s="10">
        <v>25.0</v>
      </c>
      <c r="F211" s="10">
        <v>0.0</v>
      </c>
      <c r="G211" s="11">
        <f t="shared" si="35"/>
        <v>16</v>
      </c>
      <c r="H211" s="49">
        <v>45976.0</v>
      </c>
      <c r="I211" s="11"/>
      <c r="J211" s="12"/>
      <c r="K211" s="11"/>
      <c r="L211" s="11"/>
      <c r="M211" s="11"/>
      <c r="N211" s="11"/>
      <c r="O211" s="11"/>
      <c r="P211" s="11"/>
      <c r="Q211" s="11"/>
      <c r="R211" s="11"/>
      <c r="S211" s="11"/>
      <c r="T211" s="11"/>
      <c r="U211" s="11"/>
      <c r="V211" s="11"/>
      <c r="W211" s="11"/>
      <c r="X211" s="11"/>
      <c r="Y211" s="11"/>
      <c r="Z211" s="11"/>
    </row>
    <row r="212">
      <c r="A212" s="10" t="s">
        <v>349</v>
      </c>
      <c r="B212" s="10" t="s">
        <v>1441</v>
      </c>
      <c r="C212" s="10" t="s">
        <v>51</v>
      </c>
      <c r="D212" s="10">
        <v>8.0</v>
      </c>
      <c r="E212" s="10">
        <v>30.0</v>
      </c>
      <c r="F212" s="10">
        <v>0.0</v>
      </c>
      <c r="G212" s="11">
        <f t="shared" si="35"/>
        <v>22</v>
      </c>
      <c r="H212" s="49">
        <v>45976.0</v>
      </c>
      <c r="I212" s="11"/>
      <c r="J212" s="12"/>
      <c r="K212" s="11"/>
      <c r="L212" s="11"/>
      <c r="M212" s="11"/>
      <c r="N212" s="11"/>
      <c r="O212" s="11"/>
      <c r="P212" s="11"/>
      <c r="Q212" s="11"/>
      <c r="R212" s="11"/>
      <c r="S212" s="11"/>
      <c r="T212" s="11"/>
      <c r="U212" s="11"/>
      <c r="V212" s="11"/>
      <c r="W212" s="11"/>
      <c r="X212" s="11"/>
      <c r="Y212" s="11"/>
      <c r="Z212" s="11"/>
    </row>
    <row r="213">
      <c r="A213" s="31" t="s">
        <v>349</v>
      </c>
      <c r="B213" s="31" t="s">
        <v>405</v>
      </c>
      <c r="C213" s="31" t="s">
        <v>66</v>
      </c>
      <c r="D213" s="31">
        <v>6.0</v>
      </c>
      <c r="E213" s="31">
        <v>15.0</v>
      </c>
      <c r="F213" s="31">
        <v>0.0</v>
      </c>
      <c r="G213" s="31">
        <f t="shared" ref="G213:G214" si="36">E213-D213</f>
        <v>9</v>
      </c>
      <c r="H213" s="31"/>
      <c r="I213" s="34"/>
      <c r="J213" s="35"/>
      <c r="K213" s="34"/>
      <c r="L213" s="34"/>
      <c r="M213" s="34"/>
      <c r="N213" s="34"/>
      <c r="O213" s="34"/>
      <c r="P213" s="34"/>
      <c r="Q213" s="34"/>
      <c r="R213" s="34"/>
      <c r="S213" s="34"/>
      <c r="T213" s="34"/>
      <c r="U213" s="34"/>
      <c r="V213" s="34"/>
      <c r="W213" s="34"/>
      <c r="X213" s="34"/>
      <c r="Y213" s="34"/>
      <c r="Z213" s="34"/>
    </row>
    <row r="214">
      <c r="A214" s="31" t="s">
        <v>349</v>
      </c>
      <c r="B214" s="31" t="s">
        <v>1442</v>
      </c>
      <c r="C214" s="31" t="s">
        <v>51</v>
      </c>
      <c r="D214" s="31">
        <v>8.0</v>
      </c>
      <c r="E214" s="31">
        <v>20.0</v>
      </c>
      <c r="F214" s="31">
        <v>0.0</v>
      </c>
      <c r="G214" s="31">
        <f t="shared" si="36"/>
        <v>12</v>
      </c>
      <c r="H214" s="36">
        <v>46131.0</v>
      </c>
      <c r="I214" s="34"/>
      <c r="J214" s="35"/>
      <c r="K214" s="34"/>
      <c r="L214" s="34"/>
      <c r="M214" s="34"/>
      <c r="N214" s="34"/>
      <c r="O214" s="34"/>
      <c r="P214" s="34"/>
      <c r="Q214" s="34"/>
      <c r="R214" s="34"/>
      <c r="S214" s="34"/>
      <c r="T214" s="34"/>
      <c r="U214" s="34"/>
      <c r="V214" s="34"/>
      <c r="W214" s="34"/>
      <c r="X214" s="34"/>
      <c r="Y214" s="34"/>
      <c r="Z214" s="34"/>
    </row>
    <row r="215">
      <c r="A215" s="31" t="s">
        <v>349</v>
      </c>
      <c r="B215" s="31" t="s">
        <v>1443</v>
      </c>
      <c r="C215" s="31" t="s">
        <v>66</v>
      </c>
      <c r="D215" s="31">
        <v>17.0</v>
      </c>
      <c r="E215" s="31">
        <v>30.0</v>
      </c>
      <c r="F215" s="31">
        <v>1.09</v>
      </c>
      <c r="G215" s="34">
        <f>E215-D215-F215</f>
        <v>11.91</v>
      </c>
      <c r="H215" s="31"/>
      <c r="I215" s="34"/>
      <c r="J215" s="35"/>
      <c r="K215" s="34"/>
      <c r="L215" s="34"/>
      <c r="M215" s="34"/>
      <c r="N215" s="34"/>
      <c r="O215" s="34"/>
      <c r="P215" s="34"/>
      <c r="Q215" s="34"/>
      <c r="R215" s="34"/>
      <c r="S215" s="34"/>
      <c r="T215" s="34"/>
      <c r="U215" s="34"/>
      <c r="V215" s="34"/>
      <c r="W215" s="34"/>
      <c r="X215" s="34"/>
      <c r="Y215" s="34"/>
      <c r="Z215" s="34"/>
    </row>
    <row r="216">
      <c r="A216" s="31" t="s">
        <v>349</v>
      </c>
      <c r="B216" s="31" t="s">
        <v>1444</v>
      </c>
      <c r="C216" s="31" t="s">
        <v>57</v>
      </c>
      <c r="D216" s="31">
        <v>10.0</v>
      </c>
      <c r="E216" s="31">
        <v>35.0</v>
      </c>
      <c r="F216" s="31">
        <v>0.0</v>
      </c>
      <c r="G216" s="34">
        <f>E216-D216</f>
        <v>25</v>
      </c>
      <c r="H216" s="31"/>
      <c r="I216" s="34"/>
      <c r="J216" s="35"/>
      <c r="K216" s="34"/>
      <c r="L216" s="34"/>
      <c r="M216" s="34"/>
      <c r="N216" s="34"/>
      <c r="O216" s="34"/>
      <c r="P216" s="34"/>
      <c r="Q216" s="34"/>
      <c r="R216" s="34"/>
      <c r="S216" s="34"/>
      <c r="T216" s="34"/>
      <c r="U216" s="34"/>
      <c r="V216" s="34"/>
      <c r="W216" s="34"/>
      <c r="X216" s="34"/>
      <c r="Y216" s="34"/>
      <c r="Z216" s="34"/>
    </row>
    <row r="217">
      <c r="A217" s="31" t="s">
        <v>349</v>
      </c>
      <c r="B217" s="31" t="s">
        <v>1445</v>
      </c>
      <c r="C217" s="31" t="s">
        <v>57</v>
      </c>
      <c r="D217" s="31">
        <v>11.0</v>
      </c>
      <c r="E217" s="31">
        <v>48.5</v>
      </c>
      <c r="F217" s="31">
        <v>5.41</v>
      </c>
      <c r="G217" s="34">
        <f t="shared" ref="G217:G221" si="37">E217-F217-D217</f>
        <v>32.09</v>
      </c>
      <c r="H217" s="31"/>
      <c r="I217" s="34"/>
      <c r="J217" s="35"/>
      <c r="K217" s="34"/>
      <c r="L217" s="34"/>
      <c r="M217" s="34"/>
      <c r="N217" s="34"/>
      <c r="O217" s="34"/>
      <c r="P217" s="34"/>
      <c r="Q217" s="34"/>
      <c r="R217" s="34"/>
      <c r="S217" s="34"/>
      <c r="T217" s="34"/>
      <c r="U217" s="34"/>
      <c r="V217" s="34"/>
      <c r="W217" s="34"/>
      <c r="X217" s="34"/>
      <c r="Y217" s="34"/>
      <c r="Z217" s="34"/>
    </row>
    <row r="218">
      <c r="A218" s="31" t="s">
        <v>349</v>
      </c>
      <c r="B218" s="31" t="s">
        <v>1446</v>
      </c>
      <c r="C218" s="31" t="s">
        <v>51</v>
      </c>
      <c r="D218" s="31">
        <v>7.0</v>
      </c>
      <c r="E218" s="31">
        <v>35.0</v>
      </c>
      <c r="F218" s="31">
        <v>4.84</v>
      </c>
      <c r="G218" s="34">
        <f t="shared" si="37"/>
        <v>23.16</v>
      </c>
      <c r="H218" s="31"/>
      <c r="I218" s="34"/>
      <c r="J218" s="35"/>
      <c r="K218" s="34"/>
      <c r="L218" s="34"/>
      <c r="M218" s="34"/>
      <c r="N218" s="34"/>
      <c r="O218" s="34"/>
      <c r="P218" s="34"/>
      <c r="Q218" s="34"/>
      <c r="R218" s="34"/>
      <c r="S218" s="34"/>
      <c r="T218" s="34"/>
      <c r="U218" s="34"/>
      <c r="V218" s="34"/>
      <c r="W218" s="34"/>
      <c r="X218" s="34"/>
      <c r="Y218" s="34"/>
      <c r="Z218" s="34"/>
    </row>
    <row r="219">
      <c r="A219" s="31" t="s">
        <v>349</v>
      </c>
      <c r="B219" s="31" t="s">
        <v>1447</v>
      </c>
      <c r="C219" s="31" t="s">
        <v>57</v>
      </c>
      <c r="D219" s="31">
        <v>13.3</v>
      </c>
      <c r="E219" s="31">
        <v>32.5</v>
      </c>
      <c r="F219" s="31">
        <v>0.0</v>
      </c>
      <c r="G219" s="34">
        <f t="shared" si="37"/>
        <v>19.2</v>
      </c>
      <c r="H219" s="31">
        <v>50.0</v>
      </c>
      <c r="I219" s="60" t="s">
        <v>1448</v>
      </c>
      <c r="J219" s="35"/>
      <c r="K219" s="34"/>
      <c r="L219" s="34"/>
      <c r="M219" s="34"/>
      <c r="N219" s="34"/>
      <c r="O219" s="34"/>
      <c r="P219" s="34"/>
      <c r="Q219" s="34"/>
      <c r="R219" s="34"/>
      <c r="S219" s="34"/>
      <c r="T219" s="34"/>
      <c r="U219" s="34"/>
      <c r="V219" s="34"/>
      <c r="W219" s="34"/>
      <c r="X219" s="34"/>
      <c r="Y219" s="34"/>
      <c r="Z219" s="34"/>
    </row>
    <row r="220">
      <c r="A220" s="31" t="s">
        <v>349</v>
      </c>
      <c r="B220" s="31" t="s">
        <v>1449</v>
      </c>
      <c r="C220" s="31" t="s">
        <v>57</v>
      </c>
      <c r="D220" s="31">
        <v>6.3</v>
      </c>
      <c r="E220" s="31">
        <v>29.6</v>
      </c>
      <c r="F220" s="31">
        <v>3.68</v>
      </c>
      <c r="G220" s="34">
        <f t="shared" si="37"/>
        <v>19.62</v>
      </c>
      <c r="H220" s="34"/>
      <c r="I220" s="34"/>
      <c r="J220" s="35"/>
      <c r="K220" s="34"/>
      <c r="L220" s="34"/>
      <c r="M220" s="34"/>
      <c r="N220" s="34"/>
      <c r="O220" s="34"/>
      <c r="P220" s="34"/>
      <c r="Q220" s="34"/>
      <c r="R220" s="34"/>
      <c r="S220" s="34"/>
      <c r="T220" s="34"/>
      <c r="U220" s="34"/>
      <c r="V220" s="34"/>
      <c r="W220" s="34"/>
      <c r="X220" s="34"/>
      <c r="Y220" s="34"/>
      <c r="Z220" s="34"/>
    </row>
    <row r="221">
      <c r="A221" s="31" t="s">
        <v>349</v>
      </c>
      <c r="B221" s="31" t="s">
        <v>1450</v>
      </c>
      <c r="C221" s="31" t="s">
        <v>51</v>
      </c>
      <c r="D221" s="31">
        <v>7.0</v>
      </c>
      <c r="E221" s="31">
        <v>35.0</v>
      </c>
      <c r="F221" s="31">
        <v>0.0</v>
      </c>
      <c r="G221" s="34">
        <f t="shared" si="37"/>
        <v>28</v>
      </c>
      <c r="H221" s="36">
        <v>45822.0</v>
      </c>
      <c r="I221" s="34"/>
      <c r="J221" s="35"/>
      <c r="K221" s="34"/>
      <c r="L221" s="34"/>
      <c r="M221" s="34"/>
      <c r="N221" s="34"/>
      <c r="O221" s="34"/>
      <c r="P221" s="34"/>
      <c r="Q221" s="34"/>
      <c r="R221" s="34"/>
      <c r="S221" s="34"/>
      <c r="T221" s="34"/>
      <c r="U221" s="34"/>
      <c r="V221" s="34"/>
      <c r="W221" s="34"/>
      <c r="X221" s="34"/>
      <c r="Y221" s="34"/>
      <c r="Z221" s="34"/>
    </row>
    <row r="222">
      <c r="A222" s="31" t="s">
        <v>349</v>
      </c>
      <c r="B222" s="31" t="s">
        <v>1451</v>
      </c>
      <c r="C222" s="31" t="s">
        <v>51</v>
      </c>
      <c r="D222" s="31">
        <v>9.0</v>
      </c>
      <c r="E222" s="34"/>
      <c r="F222" s="34"/>
      <c r="G222" s="34"/>
      <c r="H222" s="36">
        <v>45794.0</v>
      </c>
      <c r="I222" s="34"/>
      <c r="J222" s="35"/>
      <c r="K222" s="34"/>
      <c r="L222" s="34"/>
      <c r="M222" s="34"/>
      <c r="N222" s="34"/>
      <c r="O222" s="34"/>
      <c r="P222" s="34"/>
      <c r="Q222" s="34"/>
      <c r="R222" s="34"/>
      <c r="S222" s="34"/>
      <c r="T222" s="34"/>
      <c r="U222" s="34"/>
      <c r="V222" s="34"/>
      <c r="W222" s="34"/>
      <c r="X222" s="34"/>
      <c r="Y222" s="34"/>
      <c r="Z222" s="34"/>
    </row>
    <row r="223">
      <c r="A223" s="31" t="s">
        <v>349</v>
      </c>
      <c r="B223" s="31" t="s">
        <v>1452</v>
      </c>
      <c r="C223" s="31" t="s">
        <v>481</v>
      </c>
      <c r="D223" s="31">
        <v>6.29</v>
      </c>
      <c r="E223" s="31">
        <v>40.26</v>
      </c>
      <c r="F223" s="31">
        <v>5.26</v>
      </c>
      <c r="G223" s="34">
        <f>E223-F223-D223</f>
        <v>28.71</v>
      </c>
      <c r="H223" s="34"/>
      <c r="I223" s="34"/>
      <c r="J223" s="35"/>
      <c r="K223" s="34"/>
      <c r="L223" s="34"/>
      <c r="M223" s="34"/>
      <c r="N223" s="34"/>
      <c r="O223" s="34"/>
      <c r="P223" s="34"/>
      <c r="Q223" s="34"/>
      <c r="R223" s="34"/>
      <c r="S223" s="34"/>
      <c r="T223" s="34"/>
      <c r="U223" s="34"/>
      <c r="V223" s="34"/>
      <c r="W223" s="34"/>
      <c r="X223" s="34"/>
      <c r="Y223" s="34"/>
      <c r="Z223" s="34"/>
    </row>
    <row r="224">
      <c r="A224" s="31" t="s">
        <v>349</v>
      </c>
      <c r="B224" s="31" t="s">
        <v>1453</v>
      </c>
      <c r="C224" s="31">
        <v>7.0</v>
      </c>
      <c r="D224" s="31">
        <v>8.8</v>
      </c>
      <c r="E224" s="34"/>
      <c r="F224" s="31"/>
      <c r="G224" s="34"/>
      <c r="H224" s="37">
        <v>45696.0</v>
      </c>
      <c r="I224" s="34"/>
      <c r="J224" s="61" t="s">
        <v>1227</v>
      </c>
      <c r="K224" s="34"/>
      <c r="L224" s="34"/>
      <c r="M224" s="34"/>
      <c r="N224" s="34"/>
      <c r="O224" s="34"/>
      <c r="P224" s="34"/>
      <c r="Q224" s="34"/>
      <c r="R224" s="34"/>
      <c r="S224" s="34"/>
      <c r="T224" s="34"/>
      <c r="U224" s="34"/>
      <c r="V224" s="34"/>
      <c r="W224" s="34"/>
      <c r="X224" s="34"/>
      <c r="Y224" s="34"/>
      <c r="Z224" s="34"/>
    </row>
    <row r="225">
      <c r="A225" s="31" t="s">
        <v>349</v>
      </c>
      <c r="B225" s="31" t="s">
        <v>1454</v>
      </c>
      <c r="C225" s="31" t="s">
        <v>1117</v>
      </c>
      <c r="D225" s="31">
        <v>8.6</v>
      </c>
      <c r="E225" s="31">
        <v>35.25</v>
      </c>
      <c r="F225" s="31">
        <v>5.21</v>
      </c>
      <c r="G225" s="34">
        <f>E225-F225-D225</f>
        <v>21.44</v>
      </c>
      <c r="H225" s="34"/>
      <c r="I225" s="34"/>
      <c r="J225" s="35"/>
      <c r="K225" s="34"/>
      <c r="L225" s="34"/>
      <c r="M225" s="34"/>
      <c r="N225" s="34"/>
      <c r="O225" s="34"/>
      <c r="P225" s="34"/>
      <c r="Q225" s="34"/>
      <c r="R225" s="34"/>
      <c r="S225" s="34"/>
      <c r="T225" s="34"/>
      <c r="U225" s="34"/>
      <c r="V225" s="34"/>
      <c r="W225" s="34"/>
      <c r="X225" s="34"/>
      <c r="Y225" s="34"/>
      <c r="Z225" s="34"/>
    </row>
    <row r="226">
      <c r="A226" s="10" t="s">
        <v>1455</v>
      </c>
      <c r="B226" s="10" t="s">
        <v>1456</v>
      </c>
      <c r="C226" s="10" t="s">
        <v>66</v>
      </c>
      <c r="D226" s="10">
        <v>6.5</v>
      </c>
      <c r="E226" s="11"/>
      <c r="F226" s="11"/>
      <c r="G226" s="11"/>
      <c r="H226" s="68">
        <v>45935.0</v>
      </c>
      <c r="I226" s="11"/>
      <c r="J226" s="12"/>
      <c r="K226" s="11"/>
      <c r="L226" s="11"/>
      <c r="M226" s="11"/>
      <c r="N226" s="11"/>
      <c r="O226" s="11"/>
      <c r="P226" s="11"/>
      <c r="Q226" s="11"/>
      <c r="R226" s="11"/>
      <c r="S226" s="11"/>
      <c r="T226" s="11"/>
      <c r="U226" s="11"/>
      <c r="V226" s="11"/>
      <c r="W226" s="11"/>
      <c r="X226" s="11"/>
      <c r="Y226" s="11"/>
      <c r="Z226" s="11"/>
    </row>
    <row r="227">
      <c r="A227" s="10" t="s">
        <v>1457</v>
      </c>
      <c r="B227" s="10" t="s">
        <v>564</v>
      </c>
      <c r="C227" s="10" t="s">
        <v>57</v>
      </c>
      <c r="D227" s="10">
        <v>6.0</v>
      </c>
      <c r="E227" s="10">
        <v>35.0</v>
      </c>
      <c r="F227" s="10">
        <v>0.0</v>
      </c>
      <c r="G227" s="11">
        <f>E227-F227-D227</f>
        <v>29</v>
      </c>
      <c r="H227" s="49">
        <v>45976.0</v>
      </c>
      <c r="I227" s="11"/>
      <c r="J227" s="12"/>
      <c r="K227" s="11"/>
      <c r="L227" s="11"/>
      <c r="M227" s="11"/>
      <c r="N227" s="11"/>
      <c r="O227" s="11"/>
      <c r="P227" s="11"/>
      <c r="Q227" s="11"/>
      <c r="R227" s="11"/>
      <c r="S227" s="11"/>
      <c r="T227" s="11"/>
      <c r="U227" s="11"/>
      <c r="V227" s="11"/>
      <c r="W227" s="11"/>
      <c r="X227" s="11"/>
      <c r="Y227" s="11"/>
      <c r="Z227" s="11"/>
    </row>
    <row r="228">
      <c r="A228" s="45" t="s">
        <v>1458</v>
      </c>
      <c r="B228" s="45" t="s">
        <v>401</v>
      </c>
      <c r="C228" s="45" t="s">
        <v>95</v>
      </c>
      <c r="D228" s="45">
        <v>15.0</v>
      </c>
      <c r="E228" s="45">
        <v>40.0</v>
      </c>
      <c r="F228" s="45">
        <v>0.0</v>
      </c>
      <c r="G228" s="46">
        <f>E228-D228</f>
        <v>25</v>
      </c>
      <c r="H228" s="47">
        <v>46047.0</v>
      </c>
      <c r="I228" s="46"/>
      <c r="J228" s="48"/>
      <c r="K228" s="46"/>
      <c r="L228" s="46"/>
      <c r="M228" s="46"/>
      <c r="N228" s="46"/>
      <c r="O228" s="46"/>
      <c r="P228" s="46"/>
      <c r="Q228" s="46"/>
      <c r="R228" s="46"/>
      <c r="S228" s="46"/>
      <c r="T228" s="46"/>
      <c r="U228" s="46"/>
      <c r="V228" s="46"/>
      <c r="W228" s="46"/>
      <c r="X228" s="46"/>
      <c r="Y228" s="46"/>
      <c r="Z228" s="46"/>
    </row>
    <row r="229">
      <c r="A229" s="7" t="s">
        <v>1459</v>
      </c>
      <c r="B229" s="7" t="s">
        <v>1460</v>
      </c>
      <c r="C229" s="7" t="s">
        <v>51</v>
      </c>
      <c r="D229" s="7">
        <v>10.0</v>
      </c>
      <c r="E229" s="7">
        <v>64.0</v>
      </c>
      <c r="F229" s="7">
        <v>0.0</v>
      </c>
      <c r="G229" s="8">
        <f>E229-F229-D229</f>
        <v>54</v>
      </c>
      <c r="H229" s="7"/>
      <c r="I229" s="7" t="s">
        <v>614</v>
      </c>
      <c r="J229" s="9"/>
      <c r="K229" s="8"/>
      <c r="L229" s="8"/>
      <c r="M229" s="8"/>
      <c r="N229" s="8"/>
      <c r="O229" s="8"/>
      <c r="P229" s="8"/>
      <c r="Q229" s="8"/>
      <c r="R229" s="8"/>
      <c r="S229" s="8"/>
      <c r="T229" s="8"/>
      <c r="U229" s="8"/>
      <c r="V229" s="8"/>
      <c r="W229" s="8"/>
      <c r="X229" s="8"/>
      <c r="Y229" s="8"/>
      <c r="Z229" s="8"/>
    </row>
    <row r="230">
      <c r="A230" s="45" t="s">
        <v>1461</v>
      </c>
      <c r="B230" s="45" t="s">
        <v>1462</v>
      </c>
      <c r="C230" s="45" t="s">
        <v>95</v>
      </c>
      <c r="D230" s="45">
        <v>5.7</v>
      </c>
      <c r="E230" s="45">
        <v>50.0</v>
      </c>
      <c r="F230" s="45">
        <v>0.0</v>
      </c>
      <c r="G230" s="46">
        <f>E230-D230</f>
        <v>44.3</v>
      </c>
      <c r="H230" s="47">
        <v>46096.0</v>
      </c>
      <c r="I230" s="46"/>
      <c r="J230" s="48"/>
      <c r="K230" s="46"/>
      <c r="L230" s="46"/>
      <c r="M230" s="46"/>
      <c r="N230" s="46"/>
      <c r="O230" s="46"/>
      <c r="P230" s="46"/>
      <c r="Q230" s="46"/>
      <c r="R230" s="46"/>
      <c r="S230" s="46"/>
      <c r="T230" s="46"/>
      <c r="U230" s="46"/>
      <c r="V230" s="46"/>
      <c r="W230" s="46"/>
      <c r="X230" s="46"/>
      <c r="Y230" s="46"/>
      <c r="Z230" s="46"/>
    </row>
    <row r="231">
      <c r="A231" s="31" t="s">
        <v>1463</v>
      </c>
      <c r="B231" s="31" t="s">
        <v>1464</v>
      </c>
      <c r="C231" s="31" t="s">
        <v>57</v>
      </c>
      <c r="D231" s="31">
        <v>5.0</v>
      </c>
      <c r="E231" s="31">
        <v>20.0</v>
      </c>
      <c r="F231" s="31">
        <v>0.0</v>
      </c>
      <c r="G231" s="34">
        <f>E231-F231-D231</f>
        <v>15</v>
      </c>
      <c r="H231" s="31" t="s">
        <v>1190</v>
      </c>
      <c r="I231" s="34"/>
      <c r="J231" s="35"/>
      <c r="K231" s="34"/>
      <c r="L231" s="34"/>
      <c r="M231" s="34"/>
      <c r="N231" s="34"/>
      <c r="O231" s="34"/>
      <c r="P231" s="34"/>
      <c r="Q231" s="34"/>
      <c r="R231" s="34"/>
      <c r="S231" s="34"/>
      <c r="T231" s="34"/>
      <c r="U231" s="34"/>
      <c r="V231" s="34"/>
      <c r="W231" s="34"/>
      <c r="X231" s="34"/>
      <c r="Y231" s="34"/>
      <c r="Z231" s="34"/>
    </row>
    <row r="232">
      <c r="A232" s="45" t="s">
        <v>1465</v>
      </c>
      <c r="B232" s="45" t="s">
        <v>1466</v>
      </c>
      <c r="C232" s="45"/>
      <c r="D232" s="45">
        <v>4.5</v>
      </c>
      <c r="E232" s="45">
        <v>25.0</v>
      </c>
      <c r="F232" s="45">
        <v>0.0</v>
      </c>
      <c r="G232" s="46">
        <f>E232-D232</f>
        <v>20.5</v>
      </c>
      <c r="H232" s="47">
        <v>46047.0</v>
      </c>
      <c r="I232" s="46"/>
      <c r="J232" s="48"/>
      <c r="K232" s="46"/>
      <c r="L232" s="46"/>
      <c r="M232" s="46"/>
      <c r="N232" s="46"/>
      <c r="O232" s="46"/>
      <c r="P232" s="46"/>
      <c r="Q232" s="46"/>
      <c r="R232" s="46"/>
      <c r="S232" s="46"/>
      <c r="T232" s="46"/>
      <c r="U232" s="46"/>
      <c r="V232" s="46"/>
      <c r="W232" s="46"/>
      <c r="X232" s="46"/>
      <c r="Y232" s="46"/>
      <c r="Z232" s="46"/>
    </row>
    <row r="233">
      <c r="A233" s="7" t="s">
        <v>410</v>
      </c>
      <c r="B233" s="7" t="s">
        <v>1467</v>
      </c>
      <c r="C233" s="7">
        <v>6.0</v>
      </c>
      <c r="D233" s="7">
        <v>7.0</v>
      </c>
      <c r="E233" s="7">
        <v>18.0</v>
      </c>
      <c r="F233" s="7">
        <v>0.0</v>
      </c>
      <c r="G233" s="8">
        <f t="shared" ref="G233:G241" si="38">E233-F233-D233</f>
        <v>11</v>
      </c>
      <c r="H233" s="7"/>
      <c r="I233" s="7" t="s">
        <v>614</v>
      </c>
      <c r="J233" s="9"/>
      <c r="K233" s="8"/>
      <c r="L233" s="8"/>
      <c r="M233" s="8"/>
      <c r="N233" s="8"/>
      <c r="O233" s="8"/>
      <c r="P233" s="8"/>
      <c r="Q233" s="8"/>
      <c r="R233" s="8"/>
      <c r="S233" s="8"/>
      <c r="T233" s="8"/>
      <c r="U233" s="8"/>
      <c r="V233" s="8"/>
      <c r="W233" s="8"/>
      <c r="X233" s="8"/>
      <c r="Y233" s="8"/>
      <c r="Z233" s="8"/>
    </row>
    <row r="234">
      <c r="A234" s="42" t="s">
        <v>398</v>
      </c>
      <c r="B234" s="42" t="s">
        <v>1468</v>
      </c>
      <c r="C234" s="42" t="s">
        <v>51</v>
      </c>
      <c r="D234" s="42">
        <v>6.0</v>
      </c>
      <c r="E234" s="42">
        <v>35.72</v>
      </c>
      <c r="F234" s="42">
        <v>5.7</v>
      </c>
      <c r="G234" s="43">
        <f t="shared" si="38"/>
        <v>24.02</v>
      </c>
      <c r="H234" s="42" t="s">
        <v>1202</v>
      </c>
      <c r="I234" s="43"/>
      <c r="J234" s="43"/>
      <c r="K234" s="43"/>
      <c r="L234" s="43"/>
      <c r="M234" s="43"/>
      <c r="N234" s="43"/>
      <c r="O234" s="43"/>
      <c r="P234" s="43"/>
      <c r="Q234" s="43"/>
      <c r="R234" s="43"/>
      <c r="S234" s="43"/>
      <c r="T234" s="43"/>
      <c r="U234" s="43"/>
      <c r="V234" s="43"/>
      <c r="W234" s="43"/>
      <c r="X234" s="43"/>
      <c r="Y234" s="43"/>
      <c r="Z234" s="43"/>
    </row>
    <row r="235">
      <c r="A235" s="42" t="s">
        <v>398</v>
      </c>
      <c r="B235" s="42" t="s">
        <v>1469</v>
      </c>
      <c r="C235" s="42" t="s">
        <v>66</v>
      </c>
      <c r="D235" s="42">
        <v>3.65</v>
      </c>
      <c r="E235" s="42">
        <v>33.32</v>
      </c>
      <c r="F235" s="42">
        <v>5.77</v>
      </c>
      <c r="G235" s="43">
        <f t="shared" si="38"/>
        <v>23.9</v>
      </c>
      <c r="H235" s="42" t="s">
        <v>1202</v>
      </c>
      <c r="I235" s="42"/>
      <c r="J235" s="44"/>
      <c r="K235" s="43"/>
      <c r="L235" s="43"/>
      <c r="M235" s="43"/>
      <c r="N235" s="43"/>
      <c r="O235" s="43"/>
      <c r="P235" s="43"/>
      <c r="Q235" s="43"/>
      <c r="R235" s="43"/>
      <c r="S235" s="43"/>
      <c r="T235" s="43"/>
      <c r="U235" s="43"/>
      <c r="V235" s="43"/>
      <c r="W235" s="43"/>
      <c r="X235" s="43"/>
      <c r="Y235" s="43"/>
      <c r="Z235" s="43"/>
    </row>
    <row r="236">
      <c r="A236" s="42" t="s">
        <v>410</v>
      </c>
      <c r="B236" s="42" t="s">
        <v>1470</v>
      </c>
      <c r="C236" s="42" t="s">
        <v>51</v>
      </c>
      <c r="D236" s="42">
        <v>5.0</v>
      </c>
      <c r="E236" s="42">
        <v>26.56</v>
      </c>
      <c r="F236" s="42">
        <v>4.95</v>
      </c>
      <c r="G236" s="43">
        <f t="shared" si="38"/>
        <v>16.61</v>
      </c>
      <c r="H236" s="42" t="s">
        <v>1202</v>
      </c>
      <c r="I236" s="42"/>
      <c r="J236" s="44"/>
      <c r="K236" s="43"/>
      <c r="L236" s="43"/>
      <c r="M236" s="43"/>
      <c r="N236" s="43"/>
      <c r="O236" s="43"/>
      <c r="P236" s="43"/>
      <c r="Q236" s="43"/>
      <c r="R236" s="43"/>
      <c r="S236" s="43"/>
      <c r="T236" s="43"/>
      <c r="U236" s="43"/>
      <c r="V236" s="43"/>
      <c r="W236" s="43"/>
      <c r="X236" s="43"/>
      <c r="Y236" s="43"/>
      <c r="Z236" s="43"/>
    </row>
    <row r="237">
      <c r="A237" s="42" t="s">
        <v>398</v>
      </c>
      <c r="B237" s="42" t="s">
        <v>1471</v>
      </c>
      <c r="C237" s="42" t="s">
        <v>51</v>
      </c>
      <c r="D237" s="42">
        <v>8.0</v>
      </c>
      <c r="E237" s="42">
        <v>32.48</v>
      </c>
      <c r="F237" s="42">
        <v>0.0</v>
      </c>
      <c r="G237" s="43">
        <f t="shared" si="38"/>
        <v>24.48</v>
      </c>
      <c r="H237" s="42" t="s">
        <v>1202</v>
      </c>
      <c r="I237" s="43"/>
      <c r="J237" s="43"/>
      <c r="K237" s="43"/>
      <c r="L237" s="43"/>
      <c r="M237" s="43"/>
      <c r="N237" s="43"/>
      <c r="O237" s="43"/>
      <c r="P237" s="43"/>
      <c r="Q237" s="43"/>
      <c r="R237" s="43"/>
      <c r="S237" s="43"/>
      <c r="T237" s="43"/>
      <c r="U237" s="43"/>
      <c r="V237" s="43"/>
      <c r="W237" s="43"/>
      <c r="X237" s="43"/>
      <c r="Y237" s="43"/>
      <c r="Z237" s="43"/>
    </row>
    <row r="238">
      <c r="A238" s="42" t="s">
        <v>398</v>
      </c>
      <c r="B238" s="42" t="s">
        <v>1472</v>
      </c>
      <c r="C238" s="42">
        <v>2.0</v>
      </c>
      <c r="D238" s="42">
        <v>7.0</v>
      </c>
      <c r="E238" s="42">
        <v>32.47</v>
      </c>
      <c r="F238" s="42">
        <v>4.61</v>
      </c>
      <c r="G238" s="43">
        <f t="shared" si="38"/>
        <v>20.86</v>
      </c>
      <c r="H238" s="42" t="s">
        <v>1202</v>
      </c>
      <c r="I238" s="42"/>
      <c r="J238" s="44"/>
      <c r="K238" s="43"/>
      <c r="L238" s="43"/>
      <c r="M238" s="43"/>
      <c r="N238" s="43"/>
      <c r="O238" s="43"/>
      <c r="P238" s="43"/>
      <c r="Q238" s="43"/>
      <c r="R238" s="43"/>
      <c r="S238" s="43"/>
      <c r="T238" s="43"/>
      <c r="U238" s="43"/>
      <c r="V238" s="43"/>
      <c r="W238" s="43"/>
      <c r="X238" s="43"/>
      <c r="Y238" s="43"/>
      <c r="Z238" s="43"/>
    </row>
    <row r="239">
      <c r="A239" s="42" t="s">
        <v>398</v>
      </c>
      <c r="B239" s="42" t="s">
        <v>1473</v>
      </c>
      <c r="C239" s="42" t="s">
        <v>51</v>
      </c>
      <c r="D239" s="42">
        <v>7.0</v>
      </c>
      <c r="E239" s="42">
        <v>34.45</v>
      </c>
      <c r="F239" s="42">
        <v>3.7</v>
      </c>
      <c r="G239" s="43">
        <f t="shared" si="38"/>
        <v>23.75</v>
      </c>
      <c r="H239" s="42" t="s">
        <v>1202</v>
      </c>
      <c r="I239" s="42"/>
      <c r="J239" s="44"/>
      <c r="K239" s="43"/>
      <c r="L239" s="43"/>
      <c r="M239" s="43"/>
      <c r="N239" s="43"/>
      <c r="O239" s="43"/>
      <c r="P239" s="43"/>
      <c r="Q239" s="43"/>
      <c r="R239" s="43"/>
      <c r="S239" s="43"/>
      <c r="T239" s="43"/>
      <c r="U239" s="43"/>
      <c r="V239" s="43"/>
      <c r="W239" s="43"/>
      <c r="X239" s="43"/>
      <c r="Y239" s="43"/>
      <c r="Z239" s="43"/>
    </row>
    <row r="240">
      <c r="A240" s="10" t="s">
        <v>398</v>
      </c>
      <c r="B240" s="10" t="s">
        <v>1474</v>
      </c>
      <c r="C240" s="10" t="s">
        <v>57</v>
      </c>
      <c r="D240" s="10">
        <v>3.65</v>
      </c>
      <c r="E240" s="10">
        <v>15.0</v>
      </c>
      <c r="F240" s="10">
        <v>0.0</v>
      </c>
      <c r="G240" s="11">
        <f t="shared" si="38"/>
        <v>11.35</v>
      </c>
      <c r="H240" s="49">
        <v>45976.0</v>
      </c>
      <c r="I240" s="10"/>
      <c r="J240" s="12"/>
      <c r="K240" s="11"/>
      <c r="L240" s="11"/>
      <c r="M240" s="11"/>
      <c r="N240" s="11"/>
      <c r="O240" s="11"/>
      <c r="P240" s="11"/>
      <c r="Q240" s="11"/>
      <c r="R240" s="11"/>
      <c r="S240" s="11"/>
      <c r="T240" s="11"/>
      <c r="U240" s="11"/>
      <c r="V240" s="11"/>
      <c r="W240" s="11"/>
      <c r="X240" s="11"/>
      <c r="Y240" s="11"/>
      <c r="Z240" s="11"/>
    </row>
    <row r="241">
      <c r="A241" s="10" t="s">
        <v>398</v>
      </c>
      <c r="B241" s="10" t="s">
        <v>1475</v>
      </c>
      <c r="C241" s="10" t="s">
        <v>95</v>
      </c>
      <c r="D241" s="10">
        <v>9.0</v>
      </c>
      <c r="E241" s="10">
        <v>40.0</v>
      </c>
      <c r="F241" s="10">
        <v>0.0</v>
      </c>
      <c r="G241" s="11">
        <f t="shared" si="38"/>
        <v>31</v>
      </c>
      <c r="H241" s="49">
        <v>45976.0</v>
      </c>
      <c r="I241" s="10"/>
      <c r="J241" s="12"/>
      <c r="K241" s="11"/>
      <c r="L241" s="11"/>
      <c r="M241" s="11"/>
      <c r="N241" s="11"/>
      <c r="O241" s="11"/>
      <c r="P241" s="11"/>
      <c r="Q241" s="11"/>
      <c r="R241" s="11"/>
      <c r="S241" s="11"/>
      <c r="T241" s="11"/>
      <c r="U241" s="11"/>
      <c r="V241" s="11"/>
      <c r="W241" s="11"/>
      <c r="X241" s="11"/>
      <c r="Y241" s="11"/>
      <c r="Z241" s="11"/>
    </row>
    <row r="242">
      <c r="A242" s="45" t="s">
        <v>398</v>
      </c>
      <c r="B242" s="45" t="s">
        <v>1303</v>
      </c>
      <c r="C242" s="45" t="s">
        <v>57</v>
      </c>
      <c r="D242" s="45">
        <v>7.3</v>
      </c>
      <c r="E242" s="45">
        <v>20.0</v>
      </c>
      <c r="F242" s="45">
        <v>0.0</v>
      </c>
      <c r="G242" s="46">
        <f t="shared" ref="G242:G251" si="39">E242-D242</f>
        <v>12.7</v>
      </c>
      <c r="H242" s="47">
        <v>46096.0</v>
      </c>
      <c r="I242" s="45"/>
      <c r="J242" s="48"/>
      <c r="K242" s="46"/>
      <c r="L242" s="46"/>
      <c r="M242" s="46"/>
      <c r="N242" s="46"/>
      <c r="O242" s="46"/>
      <c r="P242" s="46"/>
      <c r="Q242" s="46"/>
      <c r="R242" s="46"/>
      <c r="S242" s="46"/>
      <c r="T242" s="46"/>
      <c r="U242" s="46"/>
      <c r="V242" s="46"/>
      <c r="W242" s="46"/>
      <c r="X242" s="46"/>
      <c r="Y242" s="46"/>
      <c r="Z242" s="46"/>
    </row>
    <row r="243">
      <c r="A243" s="45" t="s">
        <v>398</v>
      </c>
      <c r="B243" s="45" t="s">
        <v>1476</v>
      </c>
      <c r="C243" s="45">
        <v>4.0</v>
      </c>
      <c r="D243" s="45">
        <v>9.0</v>
      </c>
      <c r="E243" s="45">
        <v>25.0</v>
      </c>
      <c r="F243" s="45">
        <v>0.0</v>
      </c>
      <c r="G243" s="46">
        <f t="shared" si="39"/>
        <v>16</v>
      </c>
      <c r="H243" s="47">
        <v>46096.0</v>
      </c>
      <c r="I243" s="45"/>
      <c r="J243" s="48"/>
      <c r="K243" s="46"/>
      <c r="L243" s="46"/>
      <c r="M243" s="46"/>
      <c r="N243" s="46"/>
      <c r="O243" s="46"/>
      <c r="P243" s="46"/>
      <c r="Q243" s="46"/>
      <c r="R243" s="46"/>
      <c r="S243" s="46"/>
      <c r="T243" s="46"/>
      <c r="U243" s="46"/>
      <c r="V243" s="46"/>
      <c r="W243" s="46"/>
      <c r="X243" s="46"/>
      <c r="Y243" s="46"/>
      <c r="Z243" s="46"/>
    </row>
    <row r="244">
      <c r="A244" s="45" t="s">
        <v>398</v>
      </c>
      <c r="B244" s="45" t="s">
        <v>1477</v>
      </c>
      <c r="C244" s="45" t="s">
        <v>51</v>
      </c>
      <c r="D244" s="45">
        <v>10.0</v>
      </c>
      <c r="E244" s="45">
        <v>40.0</v>
      </c>
      <c r="F244" s="45">
        <v>0.0</v>
      </c>
      <c r="G244" s="46">
        <f t="shared" si="39"/>
        <v>30</v>
      </c>
      <c r="H244" s="47">
        <v>46047.0</v>
      </c>
      <c r="I244" s="45"/>
      <c r="J244" s="48"/>
      <c r="K244" s="46"/>
      <c r="L244" s="46"/>
      <c r="M244" s="46"/>
      <c r="N244" s="46"/>
      <c r="O244" s="46"/>
      <c r="P244" s="46"/>
      <c r="Q244" s="46"/>
      <c r="R244" s="46"/>
      <c r="S244" s="46"/>
      <c r="T244" s="46"/>
      <c r="U244" s="46"/>
      <c r="V244" s="46"/>
      <c r="W244" s="46"/>
      <c r="X244" s="46"/>
      <c r="Y244" s="46"/>
      <c r="Z244" s="46"/>
    </row>
    <row r="245">
      <c r="A245" s="45" t="s">
        <v>398</v>
      </c>
      <c r="B245" s="45" t="s">
        <v>1478</v>
      </c>
      <c r="C245" s="45" t="s">
        <v>57</v>
      </c>
      <c r="D245" s="45">
        <v>10.0</v>
      </c>
      <c r="E245" s="45">
        <v>35.0</v>
      </c>
      <c r="F245" s="45">
        <v>0.0</v>
      </c>
      <c r="G245" s="46">
        <f t="shared" si="39"/>
        <v>25</v>
      </c>
      <c r="H245" s="47">
        <v>46047.0</v>
      </c>
      <c r="I245" s="45"/>
      <c r="J245" s="48"/>
      <c r="K245" s="46"/>
      <c r="L245" s="46"/>
      <c r="M245" s="46"/>
      <c r="N245" s="46"/>
      <c r="O245" s="46"/>
      <c r="P245" s="46"/>
      <c r="Q245" s="46"/>
      <c r="R245" s="46"/>
      <c r="S245" s="46"/>
      <c r="T245" s="46"/>
      <c r="U245" s="46"/>
      <c r="V245" s="46"/>
      <c r="W245" s="46"/>
      <c r="X245" s="46"/>
      <c r="Y245" s="46"/>
      <c r="Z245" s="46"/>
    </row>
    <row r="246">
      <c r="A246" s="45" t="s">
        <v>1479</v>
      </c>
      <c r="B246" s="45" t="s">
        <v>1480</v>
      </c>
      <c r="C246" s="45"/>
      <c r="D246" s="45">
        <v>13.0</v>
      </c>
      <c r="E246" s="45">
        <v>50.0</v>
      </c>
      <c r="F246" s="45">
        <v>0.0</v>
      </c>
      <c r="G246" s="46">
        <f t="shared" si="39"/>
        <v>37</v>
      </c>
      <c r="H246" s="47">
        <v>46047.0</v>
      </c>
      <c r="I246" s="45"/>
      <c r="J246" s="64"/>
      <c r="K246" s="46"/>
      <c r="L246" s="46"/>
      <c r="M246" s="46"/>
      <c r="N246" s="46"/>
      <c r="O246" s="46"/>
      <c r="P246" s="46"/>
      <c r="Q246" s="46"/>
      <c r="R246" s="46"/>
      <c r="S246" s="46"/>
      <c r="T246" s="46"/>
      <c r="U246" s="46"/>
      <c r="V246" s="46"/>
      <c r="W246" s="46"/>
      <c r="X246" s="46"/>
      <c r="Y246" s="46"/>
      <c r="Z246" s="46"/>
    </row>
    <row r="247">
      <c r="A247" s="45" t="s">
        <v>398</v>
      </c>
      <c r="B247" s="45" t="s">
        <v>1481</v>
      </c>
      <c r="C247" s="45" t="s">
        <v>66</v>
      </c>
      <c r="D247" s="45">
        <v>10.0</v>
      </c>
      <c r="E247" s="45">
        <v>45.0</v>
      </c>
      <c r="F247" s="45">
        <v>0.0</v>
      </c>
      <c r="G247" s="46">
        <f t="shared" si="39"/>
        <v>35</v>
      </c>
      <c r="H247" s="47">
        <v>46047.0</v>
      </c>
      <c r="I247" s="45"/>
      <c r="J247" s="48"/>
      <c r="K247" s="46"/>
      <c r="L247" s="46"/>
      <c r="M247" s="46"/>
      <c r="N247" s="46"/>
      <c r="O247" s="46"/>
      <c r="P247" s="46"/>
      <c r="Q247" s="46"/>
      <c r="R247" s="46"/>
      <c r="S247" s="46"/>
      <c r="T247" s="46"/>
      <c r="U247" s="46"/>
      <c r="V247" s="46"/>
      <c r="W247" s="46"/>
      <c r="X247" s="46"/>
      <c r="Y247" s="46"/>
      <c r="Z247" s="46"/>
    </row>
    <row r="248">
      <c r="A248" s="45" t="s">
        <v>398</v>
      </c>
      <c r="B248" s="45" t="s">
        <v>1482</v>
      </c>
      <c r="C248" s="45">
        <v>0.0</v>
      </c>
      <c r="D248" s="45">
        <v>7.3</v>
      </c>
      <c r="E248" s="45">
        <v>25.0</v>
      </c>
      <c r="F248" s="45">
        <v>0.0</v>
      </c>
      <c r="G248" s="46">
        <f t="shared" si="39"/>
        <v>17.7</v>
      </c>
      <c r="H248" s="47">
        <v>46047.0</v>
      </c>
      <c r="I248" s="45"/>
      <c r="J248" s="48"/>
      <c r="K248" s="46"/>
      <c r="L248" s="46"/>
      <c r="M248" s="46"/>
      <c r="N248" s="46"/>
      <c r="O248" s="46"/>
      <c r="P248" s="46"/>
      <c r="Q248" s="46"/>
      <c r="R248" s="46"/>
      <c r="S248" s="46"/>
      <c r="T248" s="46"/>
      <c r="U248" s="46"/>
      <c r="V248" s="46"/>
      <c r="W248" s="46"/>
      <c r="X248" s="46"/>
      <c r="Y248" s="46"/>
      <c r="Z248" s="46"/>
    </row>
    <row r="249">
      <c r="A249" s="31" t="s">
        <v>398</v>
      </c>
      <c r="B249" s="31" t="s">
        <v>1483</v>
      </c>
      <c r="C249" s="31" t="s">
        <v>120</v>
      </c>
      <c r="D249" s="31">
        <v>5.0</v>
      </c>
      <c r="E249" s="31">
        <v>30.0</v>
      </c>
      <c r="F249" s="31">
        <v>0.0</v>
      </c>
      <c r="G249" s="34">
        <f t="shared" si="39"/>
        <v>25</v>
      </c>
      <c r="H249" s="31"/>
      <c r="I249" s="31"/>
      <c r="J249" s="35"/>
      <c r="K249" s="34"/>
      <c r="L249" s="34"/>
      <c r="M249" s="34"/>
      <c r="N249" s="34"/>
      <c r="O249" s="34"/>
      <c r="P249" s="34"/>
      <c r="Q249" s="34"/>
      <c r="R249" s="34"/>
      <c r="S249" s="34"/>
      <c r="T249" s="34"/>
      <c r="U249" s="34"/>
      <c r="V249" s="34"/>
      <c r="W249" s="34"/>
      <c r="X249" s="34"/>
      <c r="Y249" s="34"/>
      <c r="Z249" s="34"/>
    </row>
    <row r="250">
      <c r="A250" s="31" t="s">
        <v>398</v>
      </c>
      <c r="B250" s="31" t="s">
        <v>1484</v>
      </c>
      <c r="C250" s="31" t="s">
        <v>51</v>
      </c>
      <c r="D250" s="31">
        <v>6.5</v>
      </c>
      <c r="E250" s="31">
        <v>30.0</v>
      </c>
      <c r="F250" s="31">
        <v>0.0</v>
      </c>
      <c r="G250" s="34">
        <f t="shared" si="39"/>
        <v>23.5</v>
      </c>
      <c r="H250" s="36">
        <v>46131.0</v>
      </c>
      <c r="I250" s="31"/>
      <c r="J250" s="35"/>
      <c r="K250" s="34"/>
      <c r="L250" s="34"/>
      <c r="M250" s="34"/>
      <c r="N250" s="34"/>
      <c r="O250" s="34"/>
      <c r="P250" s="34"/>
      <c r="Q250" s="34"/>
      <c r="R250" s="34"/>
      <c r="S250" s="34"/>
      <c r="T250" s="34"/>
      <c r="U250" s="34"/>
      <c r="V250" s="34"/>
      <c r="W250" s="34"/>
      <c r="X250" s="34"/>
      <c r="Y250" s="34"/>
      <c r="Z250" s="34"/>
    </row>
    <row r="251">
      <c r="A251" s="31" t="s">
        <v>398</v>
      </c>
      <c r="B251" s="31" t="s">
        <v>72</v>
      </c>
      <c r="C251" s="31">
        <v>0.0</v>
      </c>
      <c r="D251" s="31">
        <v>12.0</v>
      </c>
      <c r="E251" s="31">
        <v>50.0</v>
      </c>
      <c r="F251" s="31">
        <v>0.0</v>
      </c>
      <c r="G251" s="34">
        <f t="shared" si="39"/>
        <v>38</v>
      </c>
      <c r="H251" s="36">
        <v>46131.0</v>
      </c>
      <c r="I251" s="31"/>
      <c r="J251" s="35"/>
      <c r="K251" s="34"/>
      <c r="L251" s="34"/>
      <c r="M251" s="34"/>
      <c r="N251" s="34"/>
      <c r="O251" s="34"/>
      <c r="P251" s="34"/>
      <c r="Q251" s="34"/>
      <c r="R251" s="34"/>
      <c r="S251" s="34"/>
      <c r="T251" s="34"/>
      <c r="U251" s="34"/>
      <c r="V251" s="34"/>
      <c r="W251" s="34"/>
      <c r="X251" s="34"/>
      <c r="Y251" s="34"/>
      <c r="Z251" s="34"/>
    </row>
    <row r="252">
      <c r="A252" s="31" t="s">
        <v>398</v>
      </c>
      <c r="B252" s="31" t="s">
        <v>1485</v>
      </c>
      <c r="C252" s="31" t="s">
        <v>51</v>
      </c>
      <c r="D252" s="31">
        <v>9.0</v>
      </c>
      <c r="E252" s="31">
        <v>30.0</v>
      </c>
      <c r="F252" s="31">
        <v>4.6</v>
      </c>
      <c r="G252" s="34">
        <f t="shared" ref="G252:G253" si="40">E252-F252-D252</f>
        <v>16.4</v>
      </c>
      <c r="H252" s="31"/>
      <c r="I252" s="31"/>
      <c r="J252" s="35"/>
      <c r="K252" s="34"/>
      <c r="L252" s="34"/>
      <c r="M252" s="34"/>
      <c r="N252" s="34"/>
      <c r="O252" s="34"/>
      <c r="P252" s="34"/>
      <c r="Q252" s="34"/>
      <c r="R252" s="34"/>
      <c r="S252" s="34"/>
      <c r="T252" s="34"/>
      <c r="U252" s="34"/>
      <c r="V252" s="34"/>
      <c r="W252" s="34"/>
      <c r="X252" s="34"/>
      <c r="Y252" s="34"/>
      <c r="Z252" s="34"/>
    </row>
    <row r="253">
      <c r="A253" s="31" t="s">
        <v>398</v>
      </c>
      <c r="B253" s="31" t="s">
        <v>1486</v>
      </c>
      <c r="C253" s="31" t="s">
        <v>51</v>
      </c>
      <c r="D253" s="31">
        <v>13.0</v>
      </c>
      <c r="E253" s="31">
        <v>37.14</v>
      </c>
      <c r="F253" s="31">
        <v>7.14</v>
      </c>
      <c r="G253" s="34">
        <f t="shared" si="40"/>
        <v>17</v>
      </c>
      <c r="H253" s="31"/>
      <c r="I253" s="31"/>
      <c r="J253" s="35"/>
      <c r="K253" s="34"/>
      <c r="L253" s="34"/>
      <c r="M253" s="34"/>
      <c r="N253" s="34"/>
      <c r="O253" s="34"/>
      <c r="P253" s="34"/>
      <c r="Q253" s="34"/>
      <c r="R253" s="34"/>
      <c r="S253" s="34"/>
      <c r="T253" s="34"/>
      <c r="U253" s="34"/>
      <c r="V253" s="34"/>
      <c r="W253" s="34"/>
      <c r="X253" s="34"/>
      <c r="Y253" s="34"/>
      <c r="Z253" s="34"/>
    </row>
    <row r="254">
      <c r="A254" s="31" t="s">
        <v>398</v>
      </c>
      <c r="B254" s="31" t="s">
        <v>1487</v>
      </c>
      <c r="C254" s="31" t="s">
        <v>51</v>
      </c>
      <c r="D254" s="31">
        <v>8.3</v>
      </c>
      <c r="E254" s="34"/>
      <c r="F254" s="31"/>
      <c r="G254" s="34"/>
      <c r="H254" s="37">
        <v>45696.0</v>
      </c>
      <c r="I254" s="34"/>
      <c r="J254" s="35"/>
      <c r="K254" s="34"/>
      <c r="L254" s="34"/>
      <c r="M254" s="34"/>
      <c r="N254" s="34"/>
      <c r="O254" s="34"/>
      <c r="P254" s="34"/>
      <c r="Q254" s="34"/>
      <c r="R254" s="34"/>
      <c r="S254" s="34"/>
      <c r="T254" s="34"/>
      <c r="U254" s="34"/>
      <c r="V254" s="34"/>
      <c r="W254" s="34"/>
      <c r="X254" s="34"/>
      <c r="Y254" s="34"/>
      <c r="Z254" s="34"/>
    </row>
    <row r="255">
      <c r="A255" s="31" t="s">
        <v>410</v>
      </c>
      <c r="B255" s="31" t="s">
        <v>1221</v>
      </c>
      <c r="C255" s="31">
        <v>6.0</v>
      </c>
      <c r="D255" s="31">
        <v>10.0</v>
      </c>
      <c r="E255" s="31">
        <v>35.0</v>
      </c>
      <c r="F255" s="31">
        <v>4.31</v>
      </c>
      <c r="G255" s="34">
        <f t="shared" ref="G255:G257" si="41">E255-F255-D255</f>
        <v>20.69</v>
      </c>
      <c r="H255" s="50"/>
      <c r="I255" s="31" t="s">
        <v>1222</v>
      </c>
      <c r="J255" s="35"/>
      <c r="K255" s="34"/>
      <c r="L255" s="34"/>
      <c r="M255" s="34"/>
      <c r="N255" s="34"/>
      <c r="O255" s="34"/>
      <c r="P255" s="34"/>
      <c r="Q255" s="34"/>
      <c r="R255" s="34"/>
      <c r="S255" s="34"/>
      <c r="T255" s="34"/>
      <c r="U255" s="34"/>
      <c r="V255" s="34"/>
      <c r="W255" s="34"/>
      <c r="X255" s="34"/>
      <c r="Y255" s="34"/>
      <c r="Z255" s="34"/>
    </row>
    <row r="256">
      <c r="A256" s="31" t="s">
        <v>410</v>
      </c>
      <c r="B256" s="31" t="s">
        <v>1488</v>
      </c>
      <c r="C256" s="31" t="s">
        <v>51</v>
      </c>
      <c r="D256" s="31">
        <v>7.0</v>
      </c>
      <c r="E256" s="31">
        <v>35.0</v>
      </c>
      <c r="F256" s="31">
        <v>4.55</v>
      </c>
      <c r="G256" s="34">
        <f t="shared" si="41"/>
        <v>23.45</v>
      </c>
      <c r="H256" s="50"/>
      <c r="I256" s="34"/>
      <c r="J256" s="35"/>
      <c r="K256" s="34"/>
      <c r="L256" s="34"/>
      <c r="M256" s="34"/>
      <c r="N256" s="34"/>
      <c r="O256" s="34"/>
      <c r="P256" s="34"/>
      <c r="Q256" s="34"/>
      <c r="R256" s="34"/>
      <c r="S256" s="34"/>
      <c r="T256" s="34"/>
      <c r="U256" s="34"/>
      <c r="V256" s="34"/>
      <c r="W256" s="34"/>
      <c r="X256" s="34"/>
      <c r="Y256" s="34"/>
      <c r="Z256" s="34"/>
    </row>
    <row r="257">
      <c r="A257" s="51" t="s">
        <v>410</v>
      </c>
      <c r="B257" s="51" t="s">
        <v>1489</v>
      </c>
      <c r="C257" s="51" t="s">
        <v>1070</v>
      </c>
      <c r="D257" s="51">
        <v>6.29</v>
      </c>
      <c r="E257" s="51">
        <v>30.0</v>
      </c>
      <c r="F257" s="51">
        <v>0.0</v>
      </c>
      <c r="G257" s="52">
        <f t="shared" si="41"/>
        <v>23.71</v>
      </c>
      <c r="H257" s="52"/>
      <c r="I257" s="52"/>
      <c r="J257" s="53"/>
      <c r="K257" s="52"/>
      <c r="L257" s="52"/>
      <c r="M257" s="52"/>
      <c r="N257" s="52"/>
      <c r="O257" s="52"/>
      <c r="P257" s="52"/>
      <c r="Q257" s="52"/>
      <c r="R257" s="52"/>
      <c r="S257" s="52"/>
      <c r="T257" s="52"/>
      <c r="U257" s="52"/>
      <c r="V257" s="52"/>
      <c r="W257" s="52"/>
      <c r="X257" s="52"/>
      <c r="Y257" s="52"/>
      <c r="Z257" s="52"/>
    </row>
    <row r="258">
      <c r="A258" s="31" t="s">
        <v>398</v>
      </c>
      <c r="B258" s="31" t="s">
        <v>1490</v>
      </c>
      <c r="C258" s="31">
        <v>0.0</v>
      </c>
      <c r="D258" s="31">
        <v>4.0</v>
      </c>
      <c r="E258" s="34"/>
      <c r="F258" s="31"/>
      <c r="G258" s="34"/>
      <c r="H258" s="37">
        <v>45696.0</v>
      </c>
      <c r="I258" s="34"/>
      <c r="J258" s="35"/>
      <c r="K258" s="34"/>
      <c r="L258" s="34"/>
      <c r="M258" s="34"/>
      <c r="N258" s="34"/>
      <c r="O258" s="34"/>
      <c r="P258" s="34"/>
      <c r="Q258" s="34"/>
      <c r="R258" s="34"/>
      <c r="S258" s="34"/>
      <c r="T258" s="34"/>
      <c r="U258" s="34"/>
      <c r="V258" s="34"/>
      <c r="W258" s="34"/>
      <c r="X258" s="34"/>
      <c r="Y258" s="34"/>
      <c r="Z258" s="34"/>
    </row>
    <row r="259">
      <c r="A259" s="31" t="s">
        <v>398</v>
      </c>
      <c r="B259" s="31" t="s">
        <v>1491</v>
      </c>
      <c r="C259" s="31" t="s">
        <v>57</v>
      </c>
      <c r="D259" s="31">
        <v>8.1</v>
      </c>
      <c r="E259" s="34"/>
      <c r="F259" s="31"/>
      <c r="G259" s="34"/>
      <c r="H259" s="37">
        <v>45696.0</v>
      </c>
      <c r="I259" s="69" t="s">
        <v>1492</v>
      </c>
      <c r="J259" s="35"/>
      <c r="K259" s="34"/>
      <c r="L259" s="34"/>
      <c r="M259" s="34"/>
      <c r="N259" s="34"/>
      <c r="O259" s="34"/>
      <c r="P259" s="34"/>
      <c r="Q259" s="34"/>
      <c r="R259" s="34"/>
      <c r="S259" s="34"/>
      <c r="T259" s="34"/>
      <c r="U259" s="34"/>
      <c r="V259" s="34"/>
      <c r="W259" s="34"/>
      <c r="X259" s="34"/>
      <c r="Y259" s="34"/>
      <c r="Z259" s="34"/>
    </row>
    <row r="260">
      <c r="A260" s="31" t="s">
        <v>1493</v>
      </c>
      <c r="B260" s="31" t="s">
        <v>1494</v>
      </c>
      <c r="C260" s="31" t="s">
        <v>66</v>
      </c>
      <c r="D260" s="31">
        <v>10.0</v>
      </c>
      <c r="E260" s="31">
        <v>36.42</v>
      </c>
      <c r="F260" s="31">
        <v>6.42</v>
      </c>
      <c r="G260" s="34">
        <f t="shared" ref="G260:G261" si="42">E260-F260-D260</f>
        <v>20</v>
      </c>
      <c r="H260" s="34"/>
      <c r="I260" s="34"/>
      <c r="J260" s="35"/>
      <c r="K260" s="34"/>
      <c r="L260" s="34"/>
      <c r="M260" s="34"/>
      <c r="N260" s="34"/>
      <c r="O260" s="34"/>
      <c r="P260" s="34"/>
      <c r="Q260" s="34"/>
      <c r="R260" s="34"/>
      <c r="S260" s="34"/>
      <c r="T260" s="34"/>
      <c r="U260" s="34"/>
      <c r="V260" s="34"/>
      <c r="W260" s="34"/>
      <c r="X260" s="34"/>
      <c r="Y260" s="34"/>
      <c r="Z260" s="34"/>
    </row>
    <row r="261">
      <c r="A261" s="31" t="s">
        <v>1495</v>
      </c>
      <c r="B261" s="31" t="s">
        <v>1311</v>
      </c>
      <c r="C261" s="31" t="s">
        <v>66</v>
      </c>
      <c r="D261" s="31">
        <v>6.0</v>
      </c>
      <c r="E261" s="31">
        <v>20.0</v>
      </c>
      <c r="F261" s="31">
        <v>0.0</v>
      </c>
      <c r="G261" s="34">
        <f t="shared" si="42"/>
        <v>14</v>
      </c>
      <c r="H261" s="31" t="s">
        <v>1190</v>
      </c>
      <c r="I261" s="34"/>
      <c r="J261" s="35"/>
      <c r="K261" s="34"/>
      <c r="L261" s="34"/>
      <c r="M261" s="34"/>
      <c r="N261" s="34"/>
      <c r="O261" s="34"/>
      <c r="P261" s="34"/>
      <c r="Q261" s="34"/>
      <c r="R261" s="34"/>
      <c r="S261" s="34"/>
      <c r="T261" s="34"/>
      <c r="U261" s="34"/>
      <c r="V261" s="34"/>
      <c r="W261" s="34"/>
      <c r="X261" s="34"/>
      <c r="Y261" s="34"/>
      <c r="Z261" s="34"/>
    </row>
    <row r="262">
      <c r="A262" s="45" t="s">
        <v>1495</v>
      </c>
      <c r="B262" s="45" t="s">
        <v>1496</v>
      </c>
      <c r="C262" s="45" t="s">
        <v>57</v>
      </c>
      <c r="D262" s="45">
        <v>9.0</v>
      </c>
      <c r="E262" s="45">
        <v>50.0</v>
      </c>
      <c r="F262" s="45">
        <v>0.0</v>
      </c>
      <c r="G262" s="46">
        <f t="shared" ref="G262:G264" si="43">E262-D262</f>
        <v>41</v>
      </c>
      <c r="H262" s="47">
        <v>46047.0</v>
      </c>
      <c r="I262" s="46"/>
      <c r="J262" s="48"/>
      <c r="K262" s="46"/>
      <c r="L262" s="46"/>
      <c r="M262" s="46"/>
      <c r="N262" s="46"/>
      <c r="O262" s="46"/>
      <c r="P262" s="46"/>
      <c r="Q262" s="46"/>
      <c r="R262" s="46"/>
      <c r="S262" s="46"/>
      <c r="T262" s="46"/>
      <c r="U262" s="46"/>
      <c r="V262" s="46"/>
      <c r="W262" s="46"/>
      <c r="X262" s="46"/>
      <c r="Y262" s="46"/>
      <c r="Z262" s="46"/>
    </row>
    <row r="263">
      <c r="A263" s="31" t="s">
        <v>1497</v>
      </c>
      <c r="B263" s="31" t="s">
        <v>1498</v>
      </c>
      <c r="C263" s="31"/>
      <c r="D263" s="31">
        <v>3.0</v>
      </c>
      <c r="E263" s="31">
        <v>20.0</v>
      </c>
      <c r="F263" s="31">
        <v>0.0</v>
      </c>
      <c r="G263" s="34">
        <f t="shared" si="43"/>
        <v>17</v>
      </c>
      <c r="H263" s="36">
        <v>46131.0</v>
      </c>
      <c r="I263" s="34"/>
      <c r="J263" s="35"/>
      <c r="K263" s="34"/>
      <c r="L263" s="34"/>
      <c r="M263" s="34"/>
      <c r="N263" s="34"/>
      <c r="O263" s="34"/>
      <c r="P263" s="34"/>
      <c r="Q263" s="34"/>
      <c r="R263" s="34"/>
      <c r="S263" s="34"/>
      <c r="T263" s="34"/>
      <c r="U263" s="34"/>
      <c r="V263" s="34"/>
      <c r="W263" s="34"/>
      <c r="X263" s="34"/>
      <c r="Y263" s="34"/>
      <c r="Z263" s="34"/>
    </row>
    <row r="264">
      <c r="A264" s="31" t="s">
        <v>1497</v>
      </c>
      <c r="B264" s="31" t="s">
        <v>1499</v>
      </c>
      <c r="C264" s="31"/>
      <c r="D264" s="31">
        <v>6.5</v>
      </c>
      <c r="E264" s="31">
        <v>20.0</v>
      </c>
      <c r="F264" s="31">
        <v>0.0</v>
      </c>
      <c r="G264" s="34">
        <f t="shared" si="43"/>
        <v>13.5</v>
      </c>
      <c r="H264" s="36">
        <v>46131.0</v>
      </c>
      <c r="I264" s="34"/>
      <c r="J264" s="35"/>
      <c r="K264" s="34"/>
      <c r="L264" s="34"/>
      <c r="M264" s="34"/>
      <c r="N264" s="34"/>
      <c r="O264" s="34"/>
      <c r="P264" s="34"/>
      <c r="Q264" s="34"/>
      <c r="R264" s="34"/>
      <c r="S264" s="34"/>
      <c r="T264" s="34"/>
      <c r="U264" s="34"/>
      <c r="V264" s="34"/>
      <c r="W264" s="34"/>
      <c r="X264" s="34"/>
      <c r="Y264" s="34"/>
      <c r="Z264" s="34"/>
    </row>
    <row r="265">
      <c r="A265" s="31" t="s">
        <v>436</v>
      </c>
      <c r="B265" s="31" t="s">
        <v>1500</v>
      </c>
      <c r="C265" s="31" t="s">
        <v>51</v>
      </c>
      <c r="D265" s="31">
        <v>6.0</v>
      </c>
      <c r="E265" s="31">
        <v>43.66</v>
      </c>
      <c r="F265" s="31">
        <v>5.77</v>
      </c>
      <c r="G265" s="34">
        <f>E265-D265-F265</f>
        <v>31.89</v>
      </c>
      <c r="H265" s="34"/>
      <c r="I265" s="34"/>
      <c r="J265" s="35"/>
      <c r="K265" s="34"/>
      <c r="L265" s="34"/>
      <c r="M265" s="34"/>
      <c r="N265" s="34"/>
      <c r="O265" s="34"/>
      <c r="P265" s="34"/>
      <c r="Q265" s="34"/>
      <c r="R265" s="34"/>
      <c r="S265" s="34"/>
      <c r="T265" s="34"/>
      <c r="U265" s="34"/>
      <c r="V265" s="34"/>
      <c r="W265" s="34"/>
      <c r="X265" s="34"/>
      <c r="Y265" s="34"/>
      <c r="Z265" s="34"/>
    </row>
    <row r="266">
      <c r="A266" s="70" t="s">
        <v>436</v>
      </c>
      <c r="B266" s="70" t="s">
        <v>1501</v>
      </c>
      <c r="C266" s="70" t="s">
        <v>51</v>
      </c>
      <c r="D266" s="71">
        <v>10.0</v>
      </c>
      <c r="E266" s="72">
        <v>65.0</v>
      </c>
      <c r="F266" s="72">
        <v>5.8</v>
      </c>
      <c r="G266" s="34">
        <f t="shared" ref="G266:G267" si="44">E266-F266-D266</f>
        <v>49.2</v>
      </c>
      <c r="H266" s="73"/>
      <c r="I266" s="73"/>
      <c r="J266" s="73"/>
      <c r="K266" s="73"/>
      <c r="L266" s="73"/>
      <c r="M266" s="73"/>
      <c r="N266" s="73"/>
      <c r="O266" s="73"/>
      <c r="P266" s="73"/>
      <c r="Q266" s="73"/>
      <c r="R266" s="73"/>
      <c r="S266" s="73"/>
      <c r="T266" s="73"/>
      <c r="U266" s="73"/>
      <c r="V266" s="73"/>
      <c r="W266" s="73"/>
      <c r="X266" s="73"/>
      <c r="Y266" s="73"/>
      <c r="Z266" s="73"/>
    </row>
    <row r="267">
      <c r="A267" s="42" t="s">
        <v>436</v>
      </c>
      <c r="B267" s="42" t="s">
        <v>1502</v>
      </c>
      <c r="C267" s="42" t="s">
        <v>57</v>
      </c>
      <c r="D267" s="42">
        <v>20.0</v>
      </c>
      <c r="E267" s="42">
        <v>36.64</v>
      </c>
      <c r="F267" s="42">
        <v>5.51</v>
      </c>
      <c r="G267" s="43">
        <f t="shared" si="44"/>
        <v>11.13</v>
      </c>
      <c r="H267" s="42" t="s">
        <v>1202</v>
      </c>
      <c r="I267" s="43"/>
      <c r="J267" s="44"/>
      <c r="K267" s="43"/>
      <c r="L267" s="43"/>
      <c r="M267" s="43"/>
      <c r="N267" s="43"/>
      <c r="O267" s="43"/>
      <c r="P267" s="43"/>
      <c r="Q267" s="43"/>
      <c r="R267" s="43"/>
      <c r="S267" s="43"/>
      <c r="T267" s="43"/>
      <c r="U267" s="43"/>
      <c r="V267" s="43"/>
      <c r="W267" s="43"/>
      <c r="X267" s="43"/>
      <c r="Y267" s="43"/>
      <c r="Z267" s="43"/>
    </row>
    <row r="268" ht="16.5" customHeight="1">
      <c r="A268" s="31" t="s">
        <v>1503</v>
      </c>
      <c r="B268" s="31" t="s">
        <v>1504</v>
      </c>
      <c r="C268" s="31"/>
      <c r="D268" s="31">
        <v>16.25</v>
      </c>
      <c r="E268" s="34"/>
      <c r="F268" s="34"/>
      <c r="G268" s="34"/>
      <c r="H268" s="31" t="s">
        <v>1505</v>
      </c>
      <c r="I268" s="31" t="s">
        <v>1506</v>
      </c>
      <c r="J268" s="35"/>
      <c r="K268" s="34"/>
      <c r="L268" s="34"/>
      <c r="M268" s="34"/>
      <c r="N268" s="34"/>
      <c r="O268" s="34"/>
      <c r="P268" s="34"/>
      <c r="Q268" s="34"/>
      <c r="R268" s="34"/>
      <c r="S268" s="34"/>
      <c r="T268" s="34"/>
      <c r="U268" s="34"/>
      <c r="V268" s="34"/>
      <c r="W268" s="34"/>
      <c r="X268" s="34"/>
      <c r="Y268" s="34"/>
      <c r="Z268" s="34"/>
    </row>
    <row r="269" ht="16.5" customHeight="1">
      <c r="A269" s="45" t="s">
        <v>438</v>
      </c>
      <c r="B269" s="45" t="s">
        <v>1507</v>
      </c>
      <c r="C269" s="45" t="s">
        <v>57</v>
      </c>
      <c r="D269" s="45">
        <v>6.5</v>
      </c>
      <c r="E269" s="45">
        <v>25.0</v>
      </c>
      <c r="F269" s="45">
        <v>0.0</v>
      </c>
      <c r="G269" s="46">
        <f>E269-F269-D269</f>
        <v>18.5</v>
      </c>
      <c r="H269" s="47">
        <v>46047.0</v>
      </c>
      <c r="I269" s="46"/>
      <c r="J269" s="48"/>
      <c r="K269" s="46"/>
      <c r="L269" s="46"/>
      <c r="M269" s="46"/>
      <c r="N269" s="46"/>
      <c r="O269" s="46"/>
      <c r="P269" s="46"/>
      <c r="Q269" s="46"/>
      <c r="R269" s="46"/>
      <c r="S269" s="46"/>
      <c r="T269" s="46"/>
      <c r="U269" s="46"/>
      <c r="V269" s="46"/>
      <c r="W269" s="46"/>
      <c r="X269" s="46"/>
      <c r="Y269" s="46"/>
      <c r="Z269" s="46"/>
    </row>
    <row r="270" ht="16.5" customHeight="1">
      <c r="A270" s="45" t="s">
        <v>1508</v>
      </c>
      <c r="B270" s="45" t="s">
        <v>1509</v>
      </c>
      <c r="C270" s="45"/>
      <c r="D270" s="45">
        <v>7.5</v>
      </c>
      <c r="E270" s="45">
        <v>50.0</v>
      </c>
      <c r="F270" s="45">
        <v>0.0</v>
      </c>
      <c r="G270" s="46">
        <f>E270-D270</f>
        <v>42.5</v>
      </c>
      <c r="H270" s="47">
        <v>46047.0</v>
      </c>
      <c r="I270" s="46"/>
      <c r="J270" s="48"/>
      <c r="K270" s="46"/>
      <c r="L270" s="46"/>
      <c r="M270" s="46"/>
      <c r="N270" s="46"/>
      <c r="O270" s="46"/>
      <c r="P270" s="46"/>
      <c r="Q270" s="46"/>
      <c r="R270" s="46"/>
      <c r="S270" s="46"/>
      <c r="T270" s="46"/>
      <c r="U270" s="46"/>
      <c r="V270" s="46"/>
      <c r="W270" s="46"/>
      <c r="X270" s="46"/>
      <c r="Y270" s="46"/>
      <c r="Z270" s="46"/>
    </row>
    <row r="271">
      <c r="A271" s="42" t="s">
        <v>1510</v>
      </c>
      <c r="B271" s="42" t="s">
        <v>1303</v>
      </c>
      <c r="C271" s="42" t="s">
        <v>57</v>
      </c>
      <c r="D271" s="42">
        <v>10.0</v>
      </c>
      <c r="E271" s="42">
        <v>40.75</v>
      </c>
      <c r="F271" s="42">
        <v>5.37</v>
      </c>
      <c r="G271" s="43">
        <f t="shared" ref="G271:G272" si="45">E271-F271-D271</f>
        <v>25.38</v>
      </c>
      <c r="H271" s="42" t="s">
        <v>1202</v>
      </c>
      <c r="I271" s="43"/>
      <c r="J271" s="44"/>
      <c r="K271" s="43"/>
      <c r="L271" s="43"/>
      <c r="M271" s="43"/>
      <c r="N271" s="43"/>
      <c r="O271" s="43"/>
      <c r="P271" s="43"/>
      <c r="Q271" s="43"/>
      <c r="R271" s="43"/>
      <c r="S271" s="43"/>
      <c r="T271" s="43"/>
      <c r="U271" s="43"/>
      <c r="V271" s="43"/>
      <c r="W271" s="43"/>
      <c r="X271" s="43"/>
      <c r="Y271" s="43"/>
      <c r="Z271" s="43"/>
    </row>
    <row r="272">
      <c r="A272" s="31" t="s">
        <v>1511</v>
      </c>
      <c r="B272" s="31" t="s">
        <v>1512</v>
      </c>
      <c r="C272" s="31" t="s">
        <v>57</v>
      </c>
      <c r="D272" s="31">
        <v>7.5</v>
      </c>
      <c r="E272" s="31">
        <v>15.0</v>
      </c>
      <c r="F272" s="31">
        <v>0.0</v>
      </c>
      <c r="G272" s="34">
        <f t="shared" si="45"/>
        <v>7.5</v>
      </c>
      <c r="H272" s="37">
        <v>45822.0</v>
      </c>
      <c r="I272" s="34"/>
      <c r="J272" s="35"/>
      <c r="K272" s="34"/>
      <c r="L272" s="34"/>
      <c r="M272" s="34"/>
      <c r="N272" s="34"/>
      <c r="O272" s="34"/>
      <c r="P272" s="34"/>
      <c r="Q272" s="34"/>
      <c r="R272" s="34"/>
      <c r="S272" s="34"/>
      <c r="T272" s="34"/>
      <c r="U272" s="34"/>
      <c r="V272" s="34"/>
      <c r="W272" s="34"/>
      <c r="X272" s="34"/>
      <c r="Y272" s="34"/>
      <c r="Z272" s="34"/>
    </row>
    <row r="273">
      <c r="A273" s="31" t="s">
        <v>1513</v>
      </c>
      <c r="B273" s="31" t="s">
        <v>1343</v>
      </c>
      <c r="C273" s="31" t="s">
        <v>51</v>
      </c>
      <c r="D273" s="31">
        <v>0.0</v>
      </c>
      <c r="E273" s="31">
        <v>15.0</v>
      </c>
      <c r="F273" s="31">
        <v>0.0</v>
      </c>
      <c r="G273" s="34">
        <f t="shared" ref="G273:G274" si="46">E273-D273</f>
        <v>15</v>
      </c>
      <c r="H273" s="36">
        <v>46131.0</v>
      </c>
      <c r="I273" s="34"/>
      <c r="J273" s="35"/>
      <c r="K273" s="34"/>
      <c r="L273" s="34"/>
      <c r="M273" s="34"/>
      <c r="N273" s="34"/>
      <c r="O273" s="34"/>
      <c r="P273" s="34"/>
      <c r="Q273" s="34"/>
      <c r="R273" s="34"/>
      <c r="S273" s="34"/>
      <c r="T273" s="34"/>
      <c r="U273" s="34"/>
      <c r="V273" s="34"/>
      <c r="W273" s="34"/>
      <c r="X273" s="34"/>
      <c r="Y273" s="34"/>
      <c r="Z273" s="34"/>
    </row>
    <row r="274">
      <c r="A274" s="31" t="s">
        <v>1514</v>
      </c>
      <c r="B274" s="31" t="s">
        <v>1515</v>
      </c>
      <c r="C274" s="31" t="s">
        <v>57</v>
      </c>
      <c r="D274" s="31">
        <v>7.3</v>
      </c>
      <c r="E274" s="31">
        <v>25.0</v>
      </c>
      <c r="F274" s="31">
        <v>0.0</v>
      </c>
      <c r="G274" s="34">
        <f t="shared" si="46"/>
        <v>17.7</v>
      </c>
      <c r="H274" s="36">
        <v>46131.0</v>
      </c>
      <c r="I274" s="34"/>
      <c r="J274" s="35"/>
      <c r="K274" s="34"/>
      <c r="L274" s="34"/>
      <c r="M274" s="34"/>
      <c r="N274" s="34"/>
      <c r="O274" s="34"/>
      <c r="P274" s="34"/>
      <c r="Q274" s="34"/>
      <c r="R274" s="34"/>
      <c r="S274" s="34"/>
      <c r="T274" s="34"/>
      <c r="U274" s="34"/>
      <c r="V274" s="34"/>
      <c r="W274" s="34"/>
      <c r="X274" s="34"/>
      <c r="Y274" s="34"/>
      <c r="Z274" s="34"/>
    </row>
    <row r="275">
      <c r="A275" s="31" t="s">
        <v>1514</v>
      </c>
      <c r="B275" s="31" t="s">
        <v>1516</v>
      </c>
      <c r="C275" s="31" t="s">
        <v>57</v>
      </c>
      <c r="D275" s="31">
        <v>8.0</v>
      </c>
      <c r="E275" s="34"/>
      <c r="F275" s="34"/>
      <c r="G275" s="34"/>
      <c r="H275" s="31" t="s">
        <v>1505</v>
      </c>
      <c r="I275" s="34"/>
      <c r="J275" s="35"/>
      <c r="K275" s="34"/>
      <c r="L275" s="34"/>
      <c r="M275" s="34"/>
      <c r="N275" s="34"/>
      <c r="O275" s="34"/>
      <c r="P275" s="34"/>
      <c r="Q275" s="34"/>
      <c r="R275" s="34"/>
      <c r="S275" s="34"/>
      <c r="T275" s="34"/>
      <c r="U275" s="34"/>
      <c r="V275" s="34"/>
      <c r="W275" s="34"/>
      <c r="X275" s="34"/>
      <c r="Y275" s="34"/>
      <c r="Z275" s="34"/>
    </row>
    <row r="276">
      <c r="A276" s="31" t="s">
        <v>448</v>
      </c>
      <c r="B276" s="31" t="s">
        <v>1517</v>
      </c>
      <c r="C276" s="31" t="s">
        <v>51</v>
      </c>
      <c r="D276" s="31">
        <v>7.3</v>
      </c>
      <c r="E276" s="31">
        <v>20.0</v>
      </c>
      <c r="F276" s="31">
        <v>0.0</v>
      </c>
      <c r="G276" s="34">
        <f t="shared" ref="G276:G277" si="47">E276-F276-D276</f>
        <v>12.7</v>
      </c>
      <c r="H276" s="36">
        <v>46131.0</v>
      </c>
      <c r="I276" s="34"/>
      <c r="J276" s="35"/>
      <c r="K276" s="34"/>
      <c r="L276" s="34"/>
      <c r="M276" s="34"/>
      <c r="N276" s="34"/>
      <c r="O276" s="34"/>
      <c r="P276" s="34"/>
      <c r="Q276" s="34"/>
      <c r="R276" s="34"/>
      <c r="S276" s="34"/>
      <c r="T276" s="34"/>
      <c r="U276" s="34"/>
      <c r="V276" s="34"/>
      <c r="W276" s="34"/>
      <c r="X276" s="34"/>
      <c r="Y276" s="34"/>
      <c r="Z276" s="34"/>
    </row>
    <row r="277">
      <c r="A277" s="45" t="s">
        <v>448</v>
      </c>
      <c r="B277" s="45" t="s">
        <v>1518</v>
      </c>
      <c r="C277" s="45">
        <v>6.0</v>
      </c>
      <c r="D277" s="45">
        <v>9.0</v>
      </c>
      <c r="E277" s="45">
        <v>20.0</v>
      </c>
      <c r="F277" s="45">
        <v>0.0</v>
      </c>
      <c r="G277" s="46">
        <f t="shared" si="47"/>
        <v>11</v>
      </c>
      <c r="H277" s="47">
        <v>46096.0</v>
      </c>
      <c r="I277" s="46"/>
      <c r="J277" s="48"/>
      <c r="K277" s="46"/>
      <c r="L277" s="46"/>
      <c r="M277" s="46"/>
      <c r="N277" s="46"/>
      <c r="O277" s="46"/>
      <c r="P277" s="46"/>
      <c r="Q277" s="46"/>
      <c r="R277" s="46"/>
      <c r="S277" s="46"/>
      <c r="T277" s="46"/>
      <c r="U277" s="46"/>
      <c r="V277" s="46"/>
      <c r="W277" s="46"/>
      <c r="X277" s="46"/>
      <c r="Y277" s="46"/>
      <c r="Z277" s="46"/>
    </row>
    <row r="278">
      <c r="A278" s="31" t="s">
        <v>1519</v>
      </c>
      <c r="B278" s="31" t="s">
        <v>1520</v>
      </c>
      <c r="C278" s="31" t="s">
        <v>51</v>
      </c>
      <c r="D278" s="31"/>
      <c r="E278" s="31"/>
      <c r="F278" s="31"/>
      <c r="G278" s="34"/>
      <c r="H278" s="37">
        <v>45696.0</v>
      </c>
      <c r="I278" s="74"/>
      <c r="J278" s="35"/>
      <c r="K278" s="34"/>
      <c r="L278" s="34"/>
      <c r="M278" s="34"/>
      <c r="N278" s="34"/>
      <c r="O278" s="34"/>
      <c r="P278" s="34"/>
      <c r="Q278" s="34"/>
      <c r="R278" s="34"/>
      <c r="S278" s="34"/>
      <c r="T278" s="34"/>
      <c r="U278" s="34"/>
      <c r="V278" s="34"/>
      <c r="W278" s="34"/>
      <c r="X278" s="34"/>
      <c r="Y278" s="34"/>
      <c r="Z278" s="34"/>
    </row>
    <row r="279">
      <c r="A279" s="10" t="s">
        <v>1521</v>
      </c>
      <c r="B279" s="10" t="s">
        <v>1522</v>
      </c>
      <c r="C279" s="10" t="s">
        <v>95</v>
      </c>
      <c r="D279" s="10">
        <v>7.0</v>
      </c>
      <c r="E279" s="10">
        <v>15.0</v>
      </c>
      <c r="F279" s="10">
        <v>0.0</v>
      </c>
      <c r="G279" s="11">
        <f>E279-F279-D279</f>
        <v>8</v>
      </c>
      <c r="H279" s="49">
        <v>45976.0</v>
      </c>
      <c r="I279" s="11"/>
      <c r="J279" s="12"/>
      <c r="K279" s="11"/>
      <c r="L279" s="11"/>
      <c r="M279" s="11"/>
      <c r="N279" s="11"/>
      <c r="O279" s="11"/>
      <c r="P279" s="11"/>
      <c r="Q279" s="11"/>
      <c r="R279" s="11"/>
      <c r="S279" s="11"/>
      <c r="T279" s="11"/>
      <c r="U279" s="11"/>
      <c r="V279" s="11"/>
      <c r="W279" s="11"/>
      <c r="X279" s="11"/>
      <c r="Y279" s="11"/>
      <c r="Z279" s="11"/>
    </row>
    <row r="280">
      <c r="A280" s="10" t="s">
        <v>453</v>
      </c>
      <c r="B280" s="10" t="s">
        <v>1523</v>
      </c>
      <c r="C280" s="10" t="s">
        <v>51</v>
      </c>
      <c r="D280" s="10"/>
      <c r="E280" s="11"/>
      <c r="F280" s="11"/>
      <c r="G280" s="11"/>
      <c r="H280" s="68">
        <v>45935.0</v>
      </c>
      <c r="I280" s="11"/>
      <c r="J280" s="12"/>
      <c r="K280" s="11"/>
      <c r="L280" s="11"/>
      <c r="M280" s="11"/>
      <c r="N280" s="11"/>
      <c r="O280" s="11"/>
      <c r="P280" s="11"/>
      <c r="Q280" s="11"/>
      <c r="R280" s="11"/>
      <c r="S280" s="11"/>
      <c r="T280" s="11"/>
      <c r="U280" s="11"/>
      <c r="V280" s="11"/>
      <c r="W280" s="11"/>
      <c r="X280" s="11"/>
      <c r="Y280" s="11"/>
      <c r="Z280" s="11"/>
    </row>
    <row r="281">
      <c r="A281" s="42" t="s">
        <v>1158</v>
      </c>
      <c r="B281" s="42" t="s">
        <v>1524</v>
      </c>
      <c r="C281" s="42" t="s">
        <v>51</v>
      </c>
      <c r="D281" s="42">
        <v>7.0</v>
      </c>
      <c r="E281" s="42">
        <v>47.49</v>
      </c>
      <c r="F281" s="42">
        <v>6.09</v>
      </c>
      <c r="G281" s="43">
        <f>E281-F281-D281</f>
        <v>34.4</v>
      </c>
      <c r="H281" s="42" t="s">
        <v>1202</v>
      </c>
      <c r="I281" s="43"/>
      <c r="J281" s="44"/>
      <c r="K281" s="43"/>
      <c r="L281" s="43"/>
      <c r="M281" s="43"/>
      <c r="N281" s="43"/>
      <c r="O281" s="43"/>
      <c r="P281" s="43"/>
      <c r="Q281" s="43"/>
      <c r="R281" s="43"/>
      <c r="S281" s="43"/>
      <c r="T281" s="43"/>
      <c r="U281" s="43"/>
      <c r="V281" s="43"/>
      <c r="W281" s="43"/>
      <c r="X281" s="43"/>
      <c r="Y281" s="43"/>
      <c r="Z281" s="43"/>
    </row>
    <row r="282">
      <c r="A282" s="10" t="s">
        <v>453</v>
      </c>
      <c r="B282" s="10" t="s">
        <v>1525</v>
      </c>
      <c r="C282" s="10" t="s">
        <v>66</v>
      </c>
      <c r="D282" s="10">
        <v>6.0</v>
      </c>
      <c r="E282" s="10">
        <v>25.0</v>
      </c>
      <c r="F282" s="10">
        <v>0.0</v>
      </c>
      <c r="G282" s="11">
        <f>E282-D282</f>
        <v>19</v>
      </c>
      <c r="H282" s="49">
        <v>45976.0</v>
      </c>
      <c r="I282" s="11"/>
      <c r="J282" s="12"/>
      <c r="K282" s="11"/>
      <c r="L282" s="11"/>
      <c r="M282" s="11"/>
      <c r="N282" s="11"/>
      <c r="O282" s="11"/>
      <c r="P282" s="11"/>
      <c r="Q282" s="11"/>
      <c r="R282" s="11"/>
      <c r="S282" s="11"/>
      <c r="T282" s="11"/>
      <c r="U282" s="11"/>
      <c r="V282" s="11"/>
      <c r="W282" s="11"/>
      <c r="X282" s="11"/>
      <c r="Y282" s="11"/>
      <c r="Z282" s="11"/>
    </row>
    <row r="283">
      <c r="A283" s="31" t="s">
        <v>453</v>
      </c>
      <c r="B283" s="31" t="s">
        <v>1526</v>
      </c>
      <c r="C283" s="31" t="s">
        <v>57</v>
      </c>
      <c r="D283" s="31">
        <v>7.3</v>
      </c>
      <c r="E283" s="31">
        <v>35.0</v>
      </c>
      <c r="F283" s="31">
        <v>7.1</v>
      </c>
      <c r="G283" s="34">
        <f>E283-F283-D283</f>
        <v>20.6</v>
      </c>
      <c r="H283" s="34"/>
      <c r="I283" s="34"/>
      <c r="J283" s="35"/>
      <c r="K283" s="34"/>
      <c r="L283" s="34"/>
      <c r="M283" s="34"/>
      <c r="N283" s="34"/>
      <c r="O283" s="34"/>
      <c r="P283" s="34"/>
      <c r="Q283" s="34"/>
      <c r="R283" s="34"/>
      <c r="S283" s="34"/>
      <c r="T283" s="34"/>
      <c r="U283" s="34"/>
      <c r="V283" s="34"/>
      <c r="W283" s="34"/>
      <c r="X283" s="34"/>
      <c r="Y283" s="34"/>
      <c r="Z283" s="34"/>
    </row>
    <row r="284">
      <c r="A284" s="31" t="s">
        <v>1521</v>
      </c>
      <c r="B284" s="31" t="s">
        <v>1527</v>
      </c>
      <c r="C284" s="31" t="s">
        <v>51</v>
      </c>
      <c r="D284" s="31">
        <v>7.0</v>
      </c>
      <c r="E284" s="34"/>
      <c r="F284" s="34"/>
      <c r="G284" s="34"/>
      <c r="H284" s="31" t="s">
        <v>1195</v>
      </c>
      <c r="I284" s="34"/>
      <c r="J284" s="35"/>
      <c r="K284" s="34"/>
      <c r="L284" s="34"/>
      <c r="M284" s="34"/>
      <c r="N284" s="34"/>
      <c r="O284" s="34"/>
      <c r="P284" s="34"/>
      <c r="Q284" s="34"/>
      <c r="R284" s="34"/>
      <c r="S284" s="34"/>
      <c r="T284" s="34"/>
      <c r="U284" s="34"/>
      <c r="V284" s="34"/>
      <c r="W284" s="34"/>
      <c r="X284" s="34"/>
      <c r="Y284" s="34"/>
      <c r="Z284" s="34"/>
    </row>
    <row r="285">
      <c r="A285" s="51" t="s">
        <v>453</v>
      </c>
      <c r="B285" s="51" t="s">
        <v>1528</v>
      </c>
      <c r="C285" s="51" t="s">
        <v>51</v>
      </c>
      <c r="D285" s="51">
        <v>4.0</v>
      </c>
      <c r="E285" s="51">
        <v>20.0</v>
      </c>
      <c r="F285" s="51">
        <v>0.0</v>
      </c>
      <c r="G285" s="52">
        <f>E285-F285-D285</f>
        <v>16</v>
      </c>
      <c r="H285" s="52"/>
      <c r="I285" s="52"/>
      <c r="J285" s="53"/>
      <c r="K285" s="52"/>
      <c r="L285" s="52"/>
      <c r="M285" s="52"/>
      <c r="N285" s="52"/>
      <c r="O285" s="52"/>
      <c r="P285" s="52"/>
      <c r="Q285" s="52"/>
      <c r="R285" s="52"/>
      <c r="S285" s="52"/>
      <c r="T285" s="52"/>
      <c r="U285" s="52"/>
      <c r="V285" s="52"/>
      <c r="W285" s="52"/>
      <c r="X285" s="52"/>
      <c r="Y285" s="52"/>
      <c r="Z285" s="52"/>
    </row>
    <row r="286">
      <c r="A286" s="38" t="s">
        <v>453</v>
      </c>
      <c r="B286" s="38" t="s">
        <v>1529</v>
      </c>
      <c r="C286" s="38" t="s">
        <v>51</v>
      </c>
      <c r="D286" s="38">
        <v>7.0</v>
      </c>
      <c r="E286" s="39"/>
      <c r="F286" s="39"/>
      <c r="G286" s="39"/>
      <c r="H286" s="40">
        <v>45893.0</v>
      </c>
      <c r="I286" s="39"/>
      <c r="J286" s="41"/>
      <c r="K286" s="39"/>
      <c r="L286" s="39"/>
      <c r="M286" s="39"/>
      <c r="N286" s="39"/>
      <c r="O286" s="39"/>
      <c r="P286" s="39"/>
      <c r="Q286" s="39"/>
      <c r="R286" s="39"/>
      <c r="S286" s="39"/>
      <c r="T286" s="39"/>
      <c r="U286" s="39"/>
      <c r="V286" s="39"/>
      <c r="W286" s="39"/>
      <c r="X286" s="39"/>
      <c r="Y286" s="39"/>
      <c r="Z286" s="39"/>
    </row>
    <row r="287">
      <c r="A287" s="31" t="s">
        <v>1111</v>
      </c>
      <c r="B287" s="31" t="s">
        <v>1530</v>
      </c>
      <c r="C287" s="31" t="s">
        <v>51</v>
      </c>
      <c r="D287" s="31">
        <v>6.29</v>
      </c>
      <c r="E287" s="31">
        <v>18.0</v>
      </c>
      <c r="F287" s="31">
        <v>4.62</v>
      </c>
      <c r="G287" s="34">
        <f t="shared" ref="G287:G289" si="48">E287-F287-D287</f>
        <v>7.09</v>
      </c>
      <c r="H287" s="50"/>
      <c r="I287" s="34"/>
      <c r="J287" s="35"/>
      <c r="K287" s="34"/>
      <c r="L287" s="34"/>
      <c r="M287" s="34"/>
      <c r="N287" s="34"/>
      <c r="O287" s="34"/>
      <c r="P287" s="34"/>
      <c r="Q287" s="34"/>
      <c r="R287" s="34"/>
      <c r="S287" s="34"/>
      <c r="T287" s="34"/>
      <c r="U287" s="34"/>
      <c r="V287" s="34"/>
      <c r="W287" s="34"/>
      <c r="X287" s="34"/>
      <c r="Y287" s="34"/>
      <c r="Z287" s="34"/>
    </row>
    <row r="288">
      <c r="A288" s="57" t="s">
        <v>1111</v>
      </c>
      <c r="B288" s="57" t="s">
        <v>1531</v>
      </c>
      <c r="C288" s="57" t="s">
        <v>51</v>
      </c>
      <c r="D288" s="57">
        <v>4.0</v>
      </c>
      <c r="E288" s="57">
        <v>20.0</v>
      </c>
      <c r="F288" s="57">
        <v>0.0</v>
      </c>
      <c r="G288" s="58">
        <f t="shared" si="48"/>
        <v>16</v>
      </c>
      <c r="H288" s="58"/>
      <c r="I288" s="58"/>
      <c r="J288" s="59"/>
      <c r="K288" s="58"/>
      <c r="L288" s="58"/>
      <c r="M288" s="58"/>
      <c r="N288" s="58"/>
      <c r="O288" s="58"/>
      <c r="P288" s="58"/>
      <c r="Q288" s="58"/>
      <c r="R288" s="58"/>
      <c r="S288" s="58"/>
      <c r="T288" s="58"/>
      <c r="U288" s="58"/>
      <c r="V288" s="58"/>
      <c r="W288" s="58"/>
      <c r="X288" s="58"/>
      <c r="Y288" s="58"/>
      <c r="Z288" s="58"/>
    </row>
    <row r="289">
      <c r="A289" s="31" t="s">
        <v>1532</v>
      </c>
      <c r="B289" s="31" t="s">
        <v>1533</v>
      </c>
      <c r="C289" s="31" t="s">
        <v>57</v>
      </c>
      <c r="D289" s="31">
        <v>9.3</v>
      </c>
      <c r="E289" s="31">
        <v>22.5</v>
      </c>
      <c r="F289" s="31">
        <v>5.5</v>
      </c>
      <c r="G289" s="34">
        <f t="shared" si="48"/>
        <v>7.7</v>
      </c>
      <c r="H289" s="34"/>
      <c r="I289" s="34"/>
      <c r="J289" s="35"/>
      <c r="K289" s="34"/>
      <c r="L289" s="34"/>
      <c r="M289" s="34"/>
      <c r="N289" s="34"/>
      <c r="O289" s="34"/>
      <c r="P289" s="34"/>
      <c r="Q289" s="34"/>
      <c r="R289" s="34"/>
      <c r="S289" s="34"/>
      <c r="T289" s="34"/>
      <c r="U289" s="34"/>
      <c r="V289" s="34"/>
      <c r="W289" s="34"/>
      <c r="X289" s="34"/>
      <c r="Y289" s="34"/>
      <c r="Z289" s="34"/>
    </row>
    <row r="290">
      <c r="A290" s="38" t="s">
        <v>1534</v>
      </c>
      <c r="B290" s="38" t="s">
        <v>1535</v>
      </c>
      <c r="C290" s="38" t="s">
        <v>66</v>
      </c>
      <c r="D290" s="38">
        <v>4.0</v>
      </c>
      <c r="E290" s="39"/>
      <c r="F290" s="39"/>
      <c r="G290" s="39"/>
      <c r="H290" s="40">
        <v>45893.0</v>
      </c>
      <c r="I290" s="39"/>
      <c r="J290" s="41"/>
      <c r="K290" s="39"/>
      <c r="L290" s="39"/>
      <c r="M290" s="39"/>
      <c r="N290" s="39"/>
      <c r="O290" s="39"/>
      <c r="P290" s="39"/>
      <c r="Q290" s="39"/>
      <c r="R290" s="39"/>
      <c r="S290" s="39"/>
      <c r="T290" s="39"/>
      <c r="U290" s="39"/>
      <c r="V290" s="39"/>
      <c r="W290" s="39"/>
      <c r="X290" s="39"/>
      <c r="Y290" s="39"/>
      <c r="Z290" s="39"/>
    </row>
    <row r="291">
      <c r="A291" s="38" t="s">
        <v>463</v>
      </c>
      <c r="B291" s="38" t="s">
        <v>1536</v>
      </c>
      <c r="C291" s="38" t="s">
        <v>57</v>
      </c>
      <c r="D291" s="38">
        <v>8.6</v>
      </c>
      <c r="E291" s="39"/>
      <c r="F291" s="39"/>
      <c r="G291" s="39"/>
      <c r="H291" s="40">
        <v>45893.0</v>
      </c>
      <c r="I291" s="39"/>
      <c r="J291" s="41"/>
      <c r="K291" s="39"/>
      <c r="L291" s="39"/>
      <c r="M291" s="39"/>
      <c r="N291" s="39"/>
      <c r="O291" s="39"/>
      <c r="P291" s="39"/>
      <c r="Q291" s="39"/>
      <c r="R291" s="39"/>
      <c r="S291" s="39"/>
      <c r="T291" s="39"/>
      <c r="U291" s="39"/>
      <c r="V291" s="39"/>
      <c r="W291" s="39"/>
      <c r="X291" s="39"/>
      <c r="Y291" s="39"/>
      <c r="Z291" s="39"/>
    </row>
    <row r="292">
      <c r="A292" s="45" t="s">
        <v>463</v>
      </c>
      <c r="B292" s="45" t="s">
        <v>1537</v>
      </c>
      <c r="C292" s="45" t="s">
        <v>57</v>
      </c>
      <c r="D292" s="45">
        <v>8.0</v>
      </c>
      <c r="E292" s="45">
        <v>30.0</v>
      </c>
      <c r="F292" s="45">
        <v>0.0</v>
      </c>
      <c r="G292" s="46">
        <f>E292-F292-D292</f>
        <v>22</v>
      </c>
      <c r="H292" s="47">
        <v>46096.0</v>
      </c>
      <c r="I292" s="45"/>
      <c r="J292" s="48"/>
      <c r="K292" s="46"/>
      <c r="L292" s="46"/>
      <c r="M292" s="46"/>
      <c r="N292" s="46"/>
      <c r="O292" s="46"/>
      <c r="P292" s="46"/>
      <c r="Q292" s="46"/>
      <c r="R292" s="46"/>
      <c r="S292" s="46"/>
      <c r="T292" s="46"/>
      <c r="U292" s="46"/>
      <c r="V292" s="46"/>
      <c r="W292" s="46"/>
      <c r="X292" s="46"/>
      <c r="Y292" s="46"/>
      <c r="Z292" s="46"/>
    </row>
    <row r="293">
      <c r="A293" s="31" t="s">
        <v>463</v>
      </c>
      <c r="B293" s="31" t="s">
        <v>1538</v>
      </c>
      <c r="C293" s="31" t="s">
        <v>51</v>
      </c>
      <c r="D293" s="31">
        <v>3.65</v>
      </c>
      <c r="E293" s="31">
        <v>25.0</v>
      </c>
      <c r="F293" s="31">
        <v>0.0</v>
      </c>
      <c r="G293" s="34">
        <f>E293-D293</f>
        <v>21.35</v>
      </c>
      <c r="H293" s="36">
        <v>46131.0</v>
      </c>
      <c r="I293" s="31"/>
      <c r="J293" s="35"/>
      <c r="K293" s="34"/>
      <c r="L293" s="34"/>
      <c r="M293" s="34"/>
      <c r="N293" s="34"/>
      <c r="O293" s="34"/>
      <c r="P293" s="34"/>
      <c r="Q293" s="34"/>
      <c r="R293" s="34"/>
      <c r="S293" s="34"/>
      <c r="T293" s="34"/>
      <c r="U293" s="34"/>
      <c r="V293" s="34"/>
      <c r="W293" s="34"/>
      <c r="X293" s="34"/>
      <c r="Y293" s="34"/>
      <c r="Z293" s="34"/>
    </row>
    <row r="294">
      <c r="A294" s="31" t="s">
        <v>463</v>
      </c>
      <c r="B294" s="31" t="s">
        <v>1539</v>
      </c>
      <c r="C294" s="31" t="s">
        <v>1117</v>
      </c>
      <c r="D294" s="31">
        <v>7.3</v>
      </c>
      <c r="E294" s="31">
        <v>25.0</v>
      </c>
      <c r="F294" s="31">
        <v>0.0</v>
      </c>
      <c r="G294" s="34">
        <f>E294-F294-D294</f>
        <v>17.7</v>
      </c>
      <c r="H294" s="31" t="s">
        <v>1190</v>
      </c>
      <c r="I294" s="31"/>
      <c r="J294" s="35"/>
      <c r="K294" s="34"/>
      <c r="L294" s="34"/>
      <c r="M294" s="34"/>
      <c r="N294" s="34"/>
      <c r="O294" s="34"/>
      <c r="P294" s="34"/>
      <c r="Q294" s="34"/>
      <c r="R294" s="34"/>
      <c r="S294" s="34"/>
      <c r="T294" s="34"/>
      <c r="U294" s="34"/>
      <c r="V294" s="34"/>
      <c r="W294" s="34"/>
      <c r="X294" s="34"/>
      <c r="Y294" s="34"/>
      <c r="Z294" s="34"/>
    </row>
    <row r="295">
      <c r="A295" s="31" t="s">
        <v>463</v>
      </c>
      <c r="B295" s="31" t="s">
        <v>1540</v>
      </c>
      <c r="C295" s="31" t="s">
        <v>51</v>
      </c>
      <c r="D295" s="31">
        <v>4.0</v>
      </c>
      <c r="E295" s="34"/>
      <c r="F295" s="34"/>
      <c r="G295" s="34"/>
      <c r="H295" s="36">
        <v>45767.0</v>
      </c>
      <c r="I295" s="34"/>
      <c r="J295" s="35"/>
      <c r="K295" s="34"/>
      <c r="L295" s="34"/>
      <c r="M295" s="34"/>
      <c r="N295" s="34"/>
      <c r="O295" s="34"/>
      <c r="P295" s="34"/>
      <c r="Q295" s="34"/>
      <c r="R295" s="34"/>
      <c r="S295" s="34"/>
      <c r="T295" s="34"/>
      <c r="U295" s="34"/>
      <c r="V295" s="34"/>
      <c r="W295" s="34"/>
      <c r="X295" s="34"/>
      <c r="Y295" s="34"/>
      <c r="Z295" s="34"/>
    </row>
    <row r="296">
      <c r="A296" s="31" t="s">
        <v>1541</v>
      </c>
      <c r="B296" s="31" t="s">
        <v>1542</v>
      </c>
      <c r="C296" s="31" t="s">
        <v>51</v>
      </c>
      <c r="D296" s="31">
        <v>7.0</v>
      </c>
      <c r="E296" s="31">
        <v>25.0</v>
      </c>
      <c r="F296" s="31">
        <v>0.0</v>
      </c>
      <c r="G296" s="34">
        <f>E296-F296-D296</f>
        <v>18</v>
      </c>
      <c r="H296" s="31" t="s">
        <v>1190</v>
      </c>
      <c r="I296" s="34"/>
      <c r="J296" s="35"/>
      <c r="K296" s="34"/>
      <c r="L296" s="34"/>
      <c r="M296" s="34"/>
      <c r="N296" s="34"/>
      <c r="O296" s="34"/>
      <c r="P296" s="34"/>
      <c r="Q296" s="34"/>
      <c r="R296" s="34"/>
      <c r="S296" s="34"/>
      <c r="T296" s="34"/>
      <c r="U296" s="34"/>
      <c r="V296" s="34"/>
      <c r="W296" s="34"/>
      <c r="X296" s="34"/>
      <c r="Y296" s="34"/>
      <c r="Z296" s="34"/>
    </row>
    <row r="297">
      <c r="A297" s="31" t="s">
        <v>1543</v>
      </c>
      <c r="B297" s="31" t="s">
        <v>1544</v>
      </c>
      <c r="C297" s="31" t="s">
        <v>51</v>
      </c>
      <c r="D297" s="31">
        <v>7.0</v>
      </c>
      <c r="E297" s="34"/>
      <c r="F297" s="34"/>
      <c r="G297" s="34"/>
      <c r="H297" s="36">
        <v>45794.0</v>
      </c>
      <c r="I297" s="34"/>
      <c r="J297" s="35"/>
      <c r="K297" s="34"/>
      <c r="L297" s="34"/>
      <c r="M297" s="34"/>
      <c r="N297" s="34"/>
      <c r="O297" s="34"/>
      <c r="P297" s="34"/>
      <c r="Q297" s="34"/>
      <c r="R297" s="34"/>
      <c r="S297" s="34"/>
      <c r="T297" s="34"/>
      <c r="U297" s="34"/>
      <c r="V297" s="34"/>
      <c r="W297" s="34"/>
      <c r="X297" s="34"/>
      <c r="Y297" s="34"/>
      <c r="Z297" s="34"/>
    </row>
    <row r="298">
      <c r="A298" s="31" t="s">
        <v>1545</v>
      </c>
      <c r="B298" s="31" t="s">
        <v>1546</v>
      </c>
      <c r="C298" s="31"/>
      <c r="D298" s="31">
        <v>9.0</v>
      </c>
      <c r="E298" s="34"/>
      <c r="F298" s="31"/>
      <c r="G298" s="34"/>
      <c r="H298" s="37">
        <v>45696.0</v>
      </c>
      <c r="I298" s="34"/>
      <c r="J298" s="61" t="s">
        <v>1547</v>
      </c>
      <c r="K298" s="34"/>
      <c r="L298" s="34"/>
      <c r="M298" s="34"/>
      <c r="N298" s="34"/>
      <c r="O298" s="34"/>
      <c r="P298" s="34"/>
      <c r="Q298" s="34"/>
      <c r="R298" s="34"/>
      <c r="S298" s="34"/>
      <c r="T298" s="34"/>
      <c r="U298" s="34"/>
      <c r="V298" s="34"/>
      <c r="W298" s="34"/>
      <c r="X298" s="34"/>
      <c r="Y298" s="34"/>
      <c r="Z298" s="34"/>
    </row>
    <row r="299">
      <c r="A299" s="31" t="s">
        <v>1548</v>
      </c>
      <c r="B299" s="31" t="s">
        <v>1549</v>
      </c>
      <c r="C299" s="31">
        <v>14.0</v>
      </c>
      <c r="D299" s="31">
        <v>2.92</v>
      </c>
      <c r="E299" s="31">
        <v>25.0</v>
      </c>
      <c r="F299" s="31">
        <v>0.0</v>
      </c>
      <c r="G299" s="34">
        <f t="shared" ref="G299:G301" si="49">E299-F299-D299</f>
        <v>22.08</v>
      </c>
      <c r="H299" s="31" t="s">
        <v>1190</v>
      </c>
      <c r="I299" s="34"/>
      <c r="J299" s="35"/>
      <c r="K299" s="34"/>
      <c r="L299" s="34"/>
      <c r="M299" s="34"/>
      <c r="N299" s="34"/>
      <c r="O299" s="34"/>
      <c r="P299" s="34"/>
      <c r="Q299" s="34"/>
      <c r="R299" s="34"/>
      <c r="S299" s="34"/>
      <c r="T299" s="34"/>
      <c r="U299" s="34"/>
      <c r="V299" s="34"/>
      <c r="W299" s="34"/>
      <c r="X299" s="34"/>
      <c r="Y299" s="34"/>
      <c r="Z299" s="34"/>
    </row>
    <row r="300">
      <c r="A300" s="31" t="s">
        <v>1550</v>
      </c>
      <c r="B300" s="31" t="s">
        <v>136</v>
      </c>
      <c r="C300" s="31"/>
      <c r="D300" s="31">
        <v>3.5</v>
      </c>
      <c r="E300" s="31">
        <v>20.0</v>
      </c>
      <c r="F300" s="31">
        <v>0.0</v>
      </c>
      <c r="G300" s="34">
        <f t="shared" si="49"/>
        <v>16.5</v>
      </c>
      <c r="H300" s="31" t="s">
        <v>1190</v>
      </c>
      <c r="I300" s="34"/>
      <c r="J300" s="35"/>
      <c r="K300" s="34"/>
      <c r="L300" s="34"/>
      <c r="M300" s="34"/>
      <c r="N300" s="34"/>
      <c r="O300" s="34"/>
      <c r="P300" s="34"/>
      <c r="Q300" s="34"/>
      <c r="R300" s="34"/>
      <c r="S300" s="34"/>
      <c r="T300" s="34"/>
      <c r="U300" s="34"/>
      <c r="V300" s="34"/>
      <c r="W300" s="34"/>
      <c r="X300" s="34"/>
      <c r="Y300" s="34"/>
      <c r="Z300" s="34"/>
    </row>
    <row r="301">
      <c r="A301" s="31" t="s">
        <v>476</v>
      </c>
      <c r="B301" s="31" t="s">
        <v>1551</v>
      </c>
      <c r="C301" s="31" t="s">
        <v>51</v>
      </c>
      <c r="D301" s="31">
        <v>10.0</v>
      </c>
      <c r="E301" s="31">
        <v>25.0</v>
      </c>
      <c r="F301" s="31">
        <v>0.0</v>
      </c>
      <c r="G301" s="34">
        <f t="shared" si="49"/>
        <v>15</v>
      </c>
      <c r="H301" s="34"/>
      <c r="I301" s="34"/>
      <c r="J301" s="35"/>
      <c r="K301" s="34"/>
      <c r="L301" s="34"/>
      <c r="M301" s="34"/>
      <c r="N301" s="34"/>
      <c r="O301" s="34"/>
      <c r="P301" s="34"/>
      <c r="Q301" s="34"/>
      <c r="R301" s="34"/>
      <c r="S301" s="34"/>
      <c r="T301" s="34"/>
      <c r="U301" s="34"/>
      <c r="V301" s="34"/>
      <c r="W301" s="34"/>
      <c r="X301" s="34"/>
      <c r="Y301" s="34"/>
      <c r="Z301" s="34"/>
    </row>
    <row r="302">
      <c r="A302" s="38" t="s">
        <v>1552</v>
      </c>
      <c r="B302" s="38" t="s">
        <v>1553</v>
      </c>
      <c r="C302" s="38" t="s">
        <v>51</v>
      </c>
      <c r="D302" s="38">
        <v>6.3</v>
      </c>
      <c r="E302" s="39"/>
      <c r="F302" s="39"/>
      <c r="G302" s="39"/>
      <c r="H302" s="40">
        <v>45893.0</v>
      </c>
      <c r="I302" s="39"/>
      <c r="J302" s="41"/>
      <c r="K302" s="39"/>
      <c r="L302" s="39"/>
      <c r="M302" s="39"/>
      <c r="N302" s="39"/>
      <c r="O302" s="39"/>
      <c r="P302" s="39"/>
      <c r="Q302" s="39"/>
      <c r="R302" s="39"/>
      <c r="S302" s="39"/>
      <c r="T302" s="39"/>
      <c r="U302" s="39"/>
      <c r="V302" s="39"/>
      <c r="W302" s="39"/>
      <c r="X302" s="39"/>
      <c r="Y302" s="39"/>
      <c r="Z302" s="39"/>
    </row>
    <row r="303">
      <c r="A303" s="31" t="s">
        <v>1554</v>
      </c>
      <c r="B303" s="31" t="s">
        <v>1555</v>
      </c>
      <c r="C303" s="31" t="s">
        <v>66</v>
      </c>
      <c r="D303" s="31"/>
      <c r="E303" s="34"/>
      <c r="F303" s="34"/>
      <c r="G303" s="34"/>
      <c r="H303" s="31" t="s">
        <v>1195</v>
      </c>
      <c r="I303" s="34"/>
      <c r="J303" s="35"/>
      <c r="K303" s="34"/>
      <c r="L303" s="34"/>
      <c r="M303" s="34"/>
      <c r="N303" s="34"/>
      <c r="O303" s="34"/>
      <c r="P303" s="34"/>
      <c r="Q303" s="34"/>
      <c r="R303" s="34"/>
      <c r="S303" s="34"/>
      <c r="T303" s="34"/>
      <c r="U303" s="34"/>
      <c r="V303" s="34"/>
      <c r="W303" s="34"/>
      <c r="X303" s="34"/>
      <c r="Y303" s="34"/>
      <c r="Z303" s="34"/>
    </row>
    <row r="304">
      <c r="A304" s="31" t="s">
        <v>489</v>
      </c>
      <c r="B304" s="31" t="s">
        <v>1556</v>
      </c>
      <c r="C304" s="31" t="s">
        <v>51</v>
      </c>
      <c r="D304" s="31">
        <v>6.0</v>
      </c>
      <c r="E304" s="31">
        <v>20.0</v>
      </c>
      <c r="F304" s="31">
        <v>1.09</v>
      </c>
      <c r="G304" s="34">
        <f>E304-D304-F304</f>
        <v>12.91</v>
      </c>
      <c r="H304" s="34"/>
      <c r="I304" s="34"/>
      <c r="J304" s="35"/>
      <c r="K304" s="34"/>
      <c r="L304" s="34"/>
      <c r="M304" s="34"/>
      <c r="N304" s="34"/>
      <c r="O304" s="34"/>
      <c r="P304" s="34"/>
      <c r="Q304" s="34"/>
      <c r="R304" s="34"/>
      <c r="S304" s="34"/>
      <c r="T304" s="34"/>
      <c r="U304" s="34"/>
      <c r="V304" s="34"/>
      <c r="W304" s="34"/>
      <c r="X304" s="34"/>
      <c r="Y304" s="34"/>
      <c r="Z304" s="34"/>
    </row>
    <row r="305">
      <c r="A305" s="31" t="s">
        <v>489</v>
      </c>
      <c r="B305" s="31" t="s">
        <v>1557</v>
      </c>
      <c r="C305" s="31"/>
      <c r="D305" s="31">
        <v>0.0</v>
      </c>
      <c r="E305" s="31">
        <v>5.0</v>
      </c>
      <c r="F305" s="31">
        <v>0.0</v>
      </c>
      <c r="G305" s="34">
        <f>E305-F305-D305</f>
        <v>5</v>
      </c>
      <c r="H305" s="31" t="s">
        <v>1190</v>
      </c>
      <c r="I305" s="34"/>
      <c r="J305" s="35"/>
      <c r="K305" s="34"/>
      <c r="L305" s="34"/>
      <c r="M305" s="34"/>
      <c r="N305" s="34"/>
      <c r="O305" s="34"/>
      <c r="P305" s="34"/>
      <c r="Q305" s="34"/>
      <c r="R305" s="34"/>
      <c r="S305" s="34"/>
      <c r="T305" s="34"/>
      <c r="U305" s="34"/>
      <c r="V305" s="34"/>
      <c r="W305" s="34"/>
      <c r="X305" s="34"/>
      <c r="Y305" s="34"/>
      <c r="Z305" s="34"/>
    </row>
    <row r="306">
      <c r="A306" s="31" t="s">
        <v>489</v>
      </c>
      <c r="B306" s="31" t="s">
        <v>1558</v>
      </c>
      <c r="C306" s="31" t="s">
        <v>66</v>
      </c>
      <c r="D306" s="31"/>
      <c r="E306" s="34"/>
      <c r="F306" s="34"/>
      <c r="G306" s="34"/>
      <c r="H306" s="31" t="s">
        <v>1195</v>
      </c>
      <c r="I306" s="34"/>
      <c r="J306" s="35"/>
      <c r="K306" s="34"/>
      <c r="L306" s="34"/>
      <c r="M306" s="34"/>
      <c r="N306" s="34"/>
      <c r="O306" s="34"/>
      <c r="P306" s="34"/>
      <c r="Q306" s="34"/>
      <c r="R306" s="34"/>
      <c r="S306" s="34"/>
      <c r="T306" s="34"/>
      <c r="U306" s="34"/>
      <c r="V306" s="34"/>
      <c r="W306" s="34"/>
      <c r="X306" s="34"/>
      <c r="Y306" s="34"/>
      <c r="Z306" s="34"/>
    </row>
    <row r="307">
      <c r="A307" s="31" t="s">
        <v>489</v>
      </c>
      <c r="B307" s="31" t="s">
        <v>1559</v>
      </c>
      <c r="C307" s="31" t="s">
        <v>120</v>
      </c>
      <c r="D307" s="31"/>
      <c r="E307" s="34"/>
      <c r="F307" s="34"/>
      <c r="G307" s="34"/>
      <c r="H307" s="31" t="s">
        <v>1195</v>
      </c>
      <c r="I307" s="34"/>
      <c r="J307" s="35"/>
      <c r="K307" s="34"/>
      <c r="L307" s="34"/>
      <c r="M307" s="34"/>
      <c r="N307" s="34"/>
      <c r="O307" s="34"/>
      <c r="P307" s="34"/>
      <c r="Q307" s="34"/>
      <c r="R307" s="34"/>
      <c r="S307" s="34"/>
      <c r="T307" s="34"/>
      <c r="U307" s="34"/>
      <c r="V307" s="34"/>
      <c r="W307" s="34"/>
      <c r="X307" s="34"/>
      <c r="Y307" s="34"/>
      <c r="Z307" s="34"/>
    </row>
    <row r="308">
      <c r="A308" s="10" t="s">
        <v>1560</v>
      </c>
      <c r="B308" s="10" t="s">
        <v>1561</v>
      </c>
      <c r="C308" s="10" t="s">
        <v>66</v>
      </c>
      <c r="D308" s="10">
        <v>7.0</v>
      </c>
      <c r="E308" s="11"/>
      <c r="F308" s="11"/>
      <c r="G308" s="11"/>
      <c r="H308" s="68">
        <v>45935.0</v>
      </c>
      <c r="I308" s="11"/>
      <c r="J308" s="12"/>
      <c r="K308" s="11"/>
      <c r="L308" s="11"/>
      <c r="M308" s="11"/>
      <c r="N308" s="11"/>
      <c r="O308" s="11"/>
      <c r="P308" s="11"/>
      <c r="Q308" s="11"/>
      <c r="R308" s="11"/>
      <c r="S308" s="11"/>
      <c r="T308" s="11"/>
      <c r="U308" s="11"/>
      <c r="V308" s="11"/>
      <c r="W308" s="11"/>
      <c r="X308" s="11"/>
      <c r="Y308" s="11"/>
      <c r="Z308" s="11"/>
    </row>
    <row r="309">
      <c r="A309" s="42" t="s">
        <v>1562</v>
      </c>
      <c r="B309" s="42" t="s">
        <v>1423</v>
      </c>
      <c r="C309" s="42"/>
      <c r="D309" s="42">
        <v>9.5</v>
      </c>
      <c r="E309" s="42">
        <v>44.72</v>
      </c>
      <c r="F309" s="42">
        <v>5.66</v>
      </c>
      <c r="G309" s="43">
        <f>E309-F309-D309</f>
        <v>29.56</v>
      </c>
      <c r="H309" s="42" t="s">
        <v>1202</v>
      </c>
      <c r="I309" s="43"/>
      <c r="J309" s="44"/>
      <c r="K309" s="43"/>
      <c r="L309" s="43"/>
      <c r="M309" s="43"/>
      <c r="N309" s="43"/>
      <c r="O309" s="43"/>
      <c r="P309" s="43"/>
      <c r="Q309" s="43"/>
      <c r="R309" s="43"/>
      <c r="S309" s="43"/>
      <c r="T309" s="43"/>
      <c r="U309" s="43"/>
      <c r="V309" s="43"/>
      <c r="W309" s="43"/>
      <c r="X309" s="43"/>
      <c r="Y309" s="43"/>
      <c r="Z309" s="43"/>
    </row>
    <row r="310">
      <c r="A310" s="38" t="s">
        <v>1563</v>
      </c>
      <c r="B310" s="38" t="s">
        <v>1564</v>
      </c>
      <c r="C310" s="38"/>
      <c r="D310" s="38">
        <v>8.0</v>
      </c>
      <c r="E310" s="39"/>
      <c r="F310" s="39"/>
      <c r="G310" s="39"/>
      <c r="H310" s="40">
        <v>45893.0</v>
      </c>
      <c r="I310" s="39"/>
      <c r="J310" s="41"/>
      <c r="K310" s="39"/>
      <c r="L310" s="39"/>
      <c r="M310" s="39"/>
      <c r="N310" s="39"/>
      <c r="O310" s="39"/>
      <c r="P310" s="39"/>
      <c r="Q310" s="39"/>
      <c r="R310" s="39"/>
      <c r="S310" s="39"/>
      <c r="T310" s="39"/>
      <c r="U310" s="39"/>
      <c r="V310" s="39"/>
      <c r="W310" s="39"/>
      <c r="X310" s="39"/>
      <c r="Y310" s="39"/>
      <c r="Z310" s="39"/>
    </row>
    <row r="311">
      <c r="A311" s="31" t="s">
        <v>1565</v>
      </c>
      <c r="B311" s="31" t="s">
        <v>1566</v>
      </c>
      <c r="C311" s="31"/>
      <c r="D311" s="31">
        <v>5.0</v>
      </c>
      <c r="E311" s="31">
        <v>30.0</v>
      </c>
      <c r="F311" s="31">
        <v>0.0</v>
      </c>
      <c r="G311" s="34">
        <f>E311-D311</f>
        <v>25</v>
      </c>
      <c r="H311" s="36">
        <v>46131.0</v>
      </c>
      <c r="I311" s="34"/>
      <c r="J311" s="34"/>
      <c r="K311" s="34"/>
      <c r="L311" s="34"/>
      <c r="M311" s="34"/>
      <c r="N311" s="34"/>
      <c r="O311" s="34"/>
      <c r="P311" s="34"/>
      <c r="Q311" s="34"/>
      <c r="R311" s="34"/>
      <c r="S311" s="34"/>
      <c r="T311" s="34"/>
      <c r="U311" s="34"/>
      <c r="V311" s="34"/>
      <c r="W311" s="34"/>
      <c r="X311" s="34"/>
      <c r="Y311" s="34"/>
      <c r="Z311" s="34"/>
    </row>
    <row r="312">
      <c r="A312" s="31" t="s">
        <v>1567</v>
      </c>
      <c r="B312" s="31" t="s">
        <v>1568</v>
      </c>
      <c r="C312" s="31" t="s">
        <v>57</v>
      </c>
      <c r="D312" s="31">
        <v>7.0</v>
      </c>
      <c r="E312" s="34"/>
      <c r="F312" s="31"/>
      <c r="G312" s="34"/>
      <c r="H312" s="37">
        <v>45696.0</v>
      </c>
      <c r="I312" s="34"/>
      <c r="J312" s="35"/>
      <c r="K312" s="34"/>
      <c r="L312" s="34"/>
      <c r="M312" s="34"/>
      <c r="N312" s="34"/>
      <c r="O312" s="34"/>
      <c r="P312" s="34"/>
      <c r="Q312" s="34"/>
      <c r="R312" s="34"/>
      <c r="S312" s="34"/>
      <c r="T312" s="34"/>
      <c r="U312" s="34"/>
      <c r="V312" s="34"/>
      <c r="W312" s="34"/>
      <c r="X312" s="34"/>
      <c r="Y312" s="34"/>
      <c r="Z312" s="34"/>
    </row>
    <row r="313">
      <c r="A313" s="45" t="s">
        <v>1569</v>
      </c>
      <c r="B313" s="45" t="s">
        <v>1570</v>
      </c>
      <c r="C313" s="45" t="s">
        <v>51</v>
      </c>
      <c r="D313" s="45">
        <v>7.0</v>
      </c>
      <c r="E313" s="45">
        <v>40.0</v>
      </c>
      <c r="F313" s="45">
        <v>0.0</v>
      </c>
      <c r="G313" s="46">
        <f>E313-F313-D313</f>
        <v>33</v>
      </c>
      <c r="H313" s="47">
        <v>46047.0</v>
      </c>
      <c r="I313" s="46"/>
      <c r="J313" s="48"/>
      <c r="K313" s="46"/>
      <c r="L313" s="46"/>
      <c r="M313" s="46"/>
      <c r="N313" s="46"/>
      <c r="O313" s="46"/>
      <c r="P313" s="46"/>
      <c r="Q313" s="46"/>
      <c r="R313" s="46"/>
      <c r="S313" s="46"/>
      <c r="T313" s="46"/>
      <c r="U313" s="46"/>
      <c r="V313" s="46"/>
      <c r="W313" s="46"/>
      <c r="X313" s="46"/>
      <c r="Y313" s="46"/>
      <c r="Z313" s="46"/>
    </row>
    <row r="314">
      <c r="A314" s="38" t="s">
        <v>1571</v>
      </c>
      <c r="B314" s="38" t="s">
        <v>1572</v>
      </c>
      <c r="C314" s="38" t="s">
        <v>66</v>
      </c>
      <c r="D314" s="38">
        <v>7.0</v>
      </c>
      <c r="E314" s="39"/>
      <c r="F314" s="39"/>
      <c r="G314" s="39"/>
      <c r="H314" s="40">
        <v>45893.0</v>
      </c>
      <c r="I314" s="39"/>
      <c r="J314" s="41"/>
      <c r="K314" s="39"/>
      <c r="L314" s="39"/>
      <c r="M314" s="39"/>
      <c r="N314" s="39"/>
      <c r="O314" s="39"/>
      <c r="P314" s="39"/>
      <c r="Q314" s="39"/>
      <c r="R314" s="39"/>
      <c r="S314" s="39"/>
      <c r="T314" s="39"/>
      <c r="U314" s="39"/>
      <c r="V314" s="39"/>
      <c r="W314" s="39"/>
      <c r="X314" s="39"/>
      <c r="Y314" s="39"/>
      <c r="Z314" s="39"/>
    </row>
    <row r="315">
      <c r="A315" s="31" t="s">
        <v>1571</v>
      </c>
      <c r="B315" s="31" t="s">
        <v>1573</v>
      </c>
      <c r="C315" s="31" t="s">
        <v>57</v>
      </c>
      <c r="D315" s="31">
        <v>10.0</v>
      </c>
      <c r="E315" s="31">
        <v>40.0</v>
      </c>
      <c r="F315" s="31">
        <v>0.0</v>
      </c>
      <c r="G315" s="34">
        <f>E315-F315-D315</f>
        <v>30</v>
      </c>
      <c r="H315" s="34"/>
      <c r="I315" s="34"/>
      <c r="J315" s="35"/>
      <c r="K315" s="34"/>
      <c r="L315" s="34"/>
      <c r="M315" s="34"/>
      <c r="N315" s="34"/>
      <c r="O315" s="34"/>
      <c r="P315" s="34"/>
      <c r="Q315" s="34"/>
      <c r="R315" s="34"/>
      <c r="S315" s="34"/>
      <c r="T315" s="34"/>
      <c r="U315" s="34"/>
      <c r="V315" s="34"/>
      <c r="W315" s="34"/>
      <c r="X315" s="34"/>
      <c r="Y315" s="34"/>
      <c r="Z315" s="34"/>
    </row>
    <row r="316">
      <c r="A316" s="45" t="s">
        <v>501</v>
      </c>
      <c r="B316" s="45" t="s">
        <v>1574</v>
      </c>
      <c r="C316" s="45" t="s">
        <v>66</v>
      </c>
      <c r="D316" s="45">
        <v>13.0</v>
      </c>
      <c r="E316" s="45">
        <v>25.0</v>
      </c>
      <c r="F316" s="45">
        <v>0.0</v>
      </c>
      <c r="G316" s="46">
        <f t="shared" ref="G316:G317" si="50">E316-D316</f>
        <v>12</v>
      </c>
      <c r="H316" s="47">
        <v>46096.0</v>
      </c>
      <c r="I316" s="46"/>
      <c r="J316" s="48"/>
      <c r="K316" s="46"/>
      <c r="L316" s="46"/>
      <c r="M316" s="46"/>
      <c r="N316" s="46"/>
      <c r="O316" s="46"/>
      <c r="P316" s="46"/>
      <c r="Q316" s="46"/>
      <c r="R316" s="46"/>
      <c r="S316" s="46"/>
      <c r="T316" s="46"/>
      <c r="U316" s="46"/>
      <c r="V316" s="46"/>
      <c r="W316" s="46"/>
      <c r="X316" s="46"/>
      <c r="Y316" s="46"/>
      <c r="Z316" s="46"/>
    </row>
    <row r="317">
      <c r="A317" s="10" t="s">
        <v>501</v>
      </c>
      <c r="B317" s="10" t="s">
        <v>1575</v>
      </c>
      <c r="C317" s="10" t="s">
        <v>66</v>
      </c>
      <c r="D317" s="10">
        <v>7.0</v>
      </c>
      <c r="E317" s="10">
        <v>20.0</v>
      </c>
      <c r="F317" s="10">
        <v>0.0</v>
      </c>
      <c r="G317" s="11">
        <f t="shared" si="50"/>
        <v>13</v>
      </c>
      <c r="H317" s="49">
        <v>45976.0</v>
      </c>
      <c r="I317" s="11"/>
      <c r="J317" s="12"/>
      <c r="K317" s="11"/>
      <c r="L317" s="11"/>
      <c r="M317" s="11"/>
      <c r="N317" s="11"/>
      <c r="O317" s="11"/>
      <c r="P317" s="11"/>
      <c r="Q317" s="11"/>
      <c r="R317" s="11"/>
      <c r="S317" s="11"/>
      <c r="T317" s="11"/>
      <c r="U317" s="11"/>
      <c r="V317" s="11"/>
      <c r="W317" s="11"/>
      <c r="X317" s="11"/>
      <c r="Y317" s="11"/>
      <c r="Z317" s="11"/>
    </row>
    <row r="318">
      <c r="A318" s="31" t="s">
        <v>1576</v>
      </c>
      <c r="B318" s="31" t="s">
        <v>1577</v>
      </c>
      <c r="C318" s="31" t="s">
        <v>57</v>
      </c>
      <c r="D318" s="31">
        <v>7.19</v>
      </c>
      <c r="E318" s="31">
        <v>58.69</v>
      </c>
      <c r="F318" s="31">
        <v>8.77</v>
      </c>
      <c r="G318" s="34">
        <f>E318-F318-D318</f>
        <v>42.73</v>
      </c>
      <c r="H318" s="34"/>
      <c r="I318" s="34"/>
      <c r="J318" s="35"/>
      <c r="K318" s="34"/>
      <c r="L318" s="34"/>
      <c r="M318" s="34"/>
      <c r="N318" s="34"/>
      <c r="O318" s="34"/>
      <c r="P318" s="34"/>
      <c r="Q318" s="34"/>
      <c r="R318" s="34"/>
      <c r="S318" s="34"/>
      <c r="T318" s="34"/>
      <c r="U318" s="34"/>
      <c r="V318" s="34"/>
      <c r="W318" s="34"/>
      <c r="X318" s="34"/>
      <c r="Y318" s="34"/>
      <c r="Z318" s="34"/>
    </row>
    <row r="319">
      <c r="A319" s="31" t="s">
        <v>507</v>
      </c>
      <c r="B319" s="31" t="s">
        <v>1578</v>
      </c>
      <c r="C319" s="31">
        <v>38.0</v>
      </c>
      <c r="D319" s="31">
        <v>8.3</v>
      </c>
      <c r="E319" s="31">
        <v>25.0</v>
      </c>
      <c r="F319" s="31">
        <v>0.0</v>
      </c>
      <c r="G319" s="34">
        <f>E319-D319</f>
        <v>16.7</v>
      </c>
      <c r="H319" s="36">
        <v>46131.0</v>
      </c>
      <c r="I319" s="34"/>
      <c r="J319" s="35"/>
      <c r="K319" s="34"/>
      <c r="L319" s="34"/>
      <c r="M319" s="34"/>
      <c r="N319" s="34"/>
      <c r="O319" s="34"/>
      <c r="P319" s="34"/>
      <c r="Q319" s="34"/>
      <c r="R319" s="34"/>
      <c r="S319" s="34"/>
      <c r="T319" s="34"/>
      <c r="U319" s="34"/>
      <c r="V319" s="34"/>
      <c r="W319" s="34"/>
      <c r="X319" s="34"/>
      <c r="Y319" s="34"/>
      <c r="Z319" s="34"/>
    </row>
    <row r="320">
      <c r="A320" s="31" t="s">
        <v>507</v>
      </c>
      <c r="B320" s="31" t="s">
        <v>1579</v>
      </c>
      <c r="C320" s="31" t="s">
        <v>51</v>
      </c>
      <c r="D320" s="31">
        <v>7.0</v>
      </c>
      <c r="E320" s="31">
        <v>35.0</v>
      </c>
      <c r="F320" s="31">
        <v>0.0</v>
      </c>
      <c r="G320" s="34">
        <f t="shared" ref="G320:G324" si="51">E320-F320-D320</f>
        <v>28</v>
      </c>
      <c r="H320" s="37">
        <v>45822.0</v>
      </c>
      <c r="I320" s="34"/>
      <c r="J320" s="35"/>
      <c r="K320" s="34"/>
      <c r="L320" s="34"/>
      <c r="M320" s="34"/>
      <c r="N320" s="34"/>
      <c r="O320" s="34"/>
      <c r="P320" s="34"/>
      <c r="Q320" s="34"/>
      <c r="R320" s="34"/>
      <c r="S320" s="34"/>
      <c r="T320" s="34"/>
      <c r="U320" s="34"/>
      <c r="V320" s="34"/>
      <c r="W320" s="34"/>
      <c r="X320" s="34"/>
      <c r="Y320" s="34"/>
      <c r="Z320" s="34"/>
    </row>
    <row r="321">
      <c r="A321" s="31" t="s">
        <v>1580</v>
      </c>
      <c r="B321" s="31" t="s">
        <v>1581</v>
      </c>
      <c r="C321" s="31" t="s">
        <v>57</v>
      </c>
      <c r="D321" s="31">
        <v>7.0</v>
      </c>
      <c r="E321" s="31">
        <v>25.0</v>
      </c>
      <c r="F321" s="31">
        <v>2.5</v>
      </c>
      <c r="G321" s="34">
        <f t="shared" si="51"/>
        <v>15.5</v>
      </c>
      <c r="H321" s="34"/>
      <c r="I321" s="34"/>
      <c r="J321" s="35"/>
      <c r="K321" s="34"/>
      <c r="L321" s="34"/>
      <c r="M321" s="34"/>
      <c r="N321" s="34"/>
      <c r="O321" s="34"/>
      <c r="P321" s="34"/>
      <c r="Q321" s="34"/>
      <c r="R321" s="34"/>
      <c r="S321" s="34"/>
      <c r="T321" s="34"/>
      <c r="U321" s="34"/>
      <c r="V321" s="34"/>
      <c r="W321" s="34"/>
      <c r="X321" s="34"/>
      <c r="Y321" s="34"/>
      <c r="Z321" s="34"/>
    </row>
    <row r="322">
      <c r="A322" s="31" t="s">
        <v>1582</v>
      </c>
      <c r="B322" s="31" t="s">
        <v>573</v>
      </c>
      <c r="C322" s="31"/>
      <c r="D322" s="31">
        <v>7.5</v>
      </c>
      <c r="E322" s="31">
        <v>30.0</v>
      </c>
      <c r="F322" s="31">
        <v>0.0</v>
      </c>
      <c r="G322" s="34">
        <f t="shared" si="51"/>
        <v>22.5</v>
      </c>
      <c r="H322" s="31" t="s">
        <v>1190</v>
      </c>
      <c r="I322" s="31"/>
      <c r="J322" s="35"/>
      <c r="K322" s="34"/>
      <c r="L322" s="34"/>
      <c r="M322" s="34"/>
      <c r="N322" s="34"/>
      <c r="O322" s="34"/>
      <c r="P322" s="34"/>
      <c r="Q322" s="34"/>
      <c r="R322" s="34"/>
      <c r="S322" s="34"/>
      <c r="T322" s="34"/>
      <c r="U322" s="34"/>
      <c r="V322" s="34"/>
      <c r="W322" s="34"/>
      <c r="X322" s="34"/>
      <c r="Y322" s="34"/>
      <c r="Z322" s="34"/>
    </row>
    <row r="323">
      <c r="A323" s="7" t="s">
        <v>532</v>
      </c>
      <c r="B323" s="7" t="s">
        <v>1583</v>
      </c>
      <c r="C323" s="7" t="s">
        <v>66</v>
      </c>
      <c r="D323" s="7">
        <v>15.0</v>
      </c>
      <c r="E323" s="7">
        <v>26.0</v>
      </c>
      <c r="F323" s="7">
        <v>0.0</v>
      </c>
      <c r="G323" s="8">
        <f t="shared" si="51"/>
        <v>11</v>
      </c>
      <c r="H323" s="7"/>
      <c r="I323" s="7" t="s">
        <v>614</v>
      </c>
      <c r="J323" s="9"/>
      <c r="K323" s="8"/>
      <c r="L323" s="8"/>
      <c r="M323" s="8"/>
      <c r="N323" s="8"/>
      <c r="O323" s="8"/>
      <c r="P323" s="8"/>
      <c r="Q323" s="8"/>
      <c r="R323" s="8"/>
      <c r="S323" s="8"/>
      <c r="T323" s="8"/>
      <c r="U323" s="8"/>
      <c r="V323" s="8"/>
      <c r="W323" s="8"/>
      <c r="X323" s="8"/>
      <c r="Y323" s="8"/>
      <c r="Z323" s="8"/>
    </row>
    <row r="324">
      <c r="A324" s="7" t="s">
        <v>512</v>
      </c>
      <c r="B324" s="7" t="s">
        <v>1584</v>
      </c>
      <c r="C324" s="7" t="s">
        <v>51</v>
      </c>
      <c r="D324" s="7">
        <v>7.0</v>
      </c>
      <c r="E324" s="7">
        <v>35.2</v>
      </c>
      <c r="F324" s="7">
        <v>0.0</v>
      </c>
      <c r="G324" s="8">
        <f t="shared" si="51"/>
        <v>28.2</v>
      </c>
      <c r="H324" s="7"/>
      <c r="I324" s="7" t="s">
        <v>614</v>
      </c>
      <c r="J324" s="9"/>
      <c r="K324" s="8"/>
      <c r="L324" s="8"/>
      <c r="M324" s="8"/>
      <c r="N324" s="8"/>
      <c r="O324" s="8"/>
      <c r="P324" s="8"/>
      <c r="Q324" s="8"/>
      <c r="R324" s="8"/>
      <c r="S324" s="8"/>
      <c r="T324" s="8"/>
      <c r="U324" s="8"/>
      <c r="V324" s="8"/>
      <c r="W324" s="8"/>
      <c r="X324" s="8"/>
      <c r="Y324" s="8"/>
      <c r="Z324" s="8"/>
    </row>
    <row r="325">
      <c r="A325" s="10" t="s">
        <v>532</v>
      </c>
      <c r="B325" s="10" t="s">
        <v>365</v>
      </c>
      <c r="C325" s="10" t="s">
        <v>51</v>
      </c>
      <c r="D325" s="10">
        <v>7.0</v>
      </c>
      <c r="E325" s="10">
        <v>20.0</v>
      </c>
      <c r="F325" s="10">
        <v>0.0</v>
      </c>
      <c r="G325" s="11">
        <f t="shared" ref="G325:G331" si="52">E325-D325</f>
        <v>13</v>
      </c>
      <c r="H325" s="49">
        <v>45976.0</v>
      </c>
      <c r="I325" s="11"/>
      <c r="J325" s="12"/>
      <c r="K325" s="11"/>
      <c r="L325" s="11"/>
      <c r="M325" s="11"/>
      <c r="N325" s="11"/>
      <c r="O325" s="11"/>
      <c r="P325" s="11"/>
      <c r="Q325" s="11"/>
      <c r="R325" s="11"/>
      <c r="S325" s="11"/>
      <c r="T325" s="11"/>
      <c r="U325" s="11"/>
      <c r="V325" s="11"/>
      <c r="W325" s="11"/>
      <c r="X325" s="11"/>
      <c r="Y325" s="11"/>
      <c r="Z325" s="11"/>
    </row>
    <row r="326">
      <c r="A326" s="10" t="s">
        <v>512</v>
      </c>
      <c r="B326" s="10" t="s">
        <v>1585</v>
      </c>
      <c r="C326" s="10"/>
      <c r="D326" s="10">
        <v>2.5</v>
      </c>
      <c r="E326" s="10">
        <v>20.0</v>
      </c>
      <c r="F326" s="10">
        <v>0.0</v>
      </c>
      <c r="G326" s="11">
        <f t="shared" si="52"/>
        <v>17.5</v>
      </c>
      <c r="H326" s="49">
        <v>45976.0</v>
      </c>
      <c r="I326" s="10"/>
      <c r="J326" s="12"/>
      <c r="K326" s="11"/>
      <c r="L326" s="11"/>
      <c r="M326" s="11"/>
      <c r="N326" s="11"/>
      <c r="O326" s="11"/>
      <c r="P326" s="11"/>
      <c r="Q326" s="11"/>
      <c r="R326" s="11"/>
      <c r="S326" s="11"/>
      <c r="T326" s="11"/>
      <c r="U326" s="11"/>
      <c r="V326" s="11"/>
      <c r="W326" s="11"/>
      <c r="X326" s="11"/>
      <c r="Y326" s="11"/>
      <c r="Z326" s="11"/>
    </row>
    <row r="327">
      <c r="A327" s="45" t="s">
        <v>512</v>
      </c>
      <c r="B327" s="45" t="s">
        <v>1586</v>
      </c>
      <c r="C327" s="45" t="s">
        <v>57</v>
      </c>
      <c r="D327" s="45">
        <v>7.3</v>
      </c>
      <c r="E327" s="45">
        <v>25.0</v>
      </c>
      <c r="F327" s="45">
        <v>0.0</v>
      </c>
      <c r="G327" s="46">
        <f t="shared" si="52"/>
        <v>17.7</v>
      </c>
      <c r="H327" s="47">
        <v>46096.0</v>
      </c>
      <c r="I327" s="45"/>
      <c r="J327" s="48"/>
      <c r="K327" s="46"/>
      <c r="L327" s="46"/>
      <c r="M327" s="46"/>
      <c r="N327" s="46"/>
      <c r="O327" s="46"/>
      <c r="P327" s="46"/>
      <c r="Q327" s="46"/>
      <c r="R327" s="46"/>
      <c r="S327" s="46"/>
      <c r="T327" s="46"/>
      <c r="U327" s="46"/>
      <c r="V327" s="46"/>
      <c r="W327" s="46"/>
      <c r="X327" s="46"/>
      <c r="Y327" s="46"/>
      <c r="Z327" s="46"/>
    </row>
    <row r="328">
      <c r="A328" s="45" t="s">
        <v>512</v>
      </c>
      <c r="B328" s="45" t="s">
        <v>1587</v>
      </c>
      <c r="C328" s="45" t="s">
        <v>57</v>
      </c>
      <c r="D328" s="45">
        <v>6.5</v>
      </c>
      <c r="E328" s="45">
        <v>40.0</v>
      </c>
      <c r="F328" s="45">
        <v>0.0</v>
      </c>
      <c r="G328" s="46">
        <f t="shared" si="52"/>
        <v>33.5</v>
      </c>
      <c r="H328" s="47">
        <v>46096.0</v>
      </c>
      <c r="I328" s="45"/>
      <c r="J328" s="48"/>
      <c r="K328" s="46"/>
      <c r="L328" s="46"/>
      <c r="M328" s="46"/>
      <c r="N328" s="46"/>
      <c r="O328" s="46"/>
      <c r="P328" s="46"/>
      <c r="Q328" s="46"/>
      <c r="R328" s="46"/>
      <c r="S328" s="46"/>
      <c r="T328" s="46"/>
      <c r="U328" s="46"/>
      <c r="V328" s="46"/>
      <c r="W328" s="46"/>
      <c r="X328" s="46"/>
      <c r="Y328" s="46"/>
      <c r="Z328" s="46"/>
    </row>
    <row r="329">
      <c r="A329" s="45" t="s">
        <v>512</v>
      </c>
      <c r="B329" s="45" t="s">
        <v>1588</v>
      </c>
      <c r="C329" s="45" t="s">
        <v>57</v>
      </c>
      <c r="D329" s="45">
        <v>7.3</v>
      </c>
      <c r="E329" s="45">
        <v>25.0</v>
      </c>
      <c r="F329" s="45">
        <v>0.0</v>
      </c>
      <c r="G329" s="46">
        <f t="shared" si="52"/>
        <v>17.7</v>
      </c>
      <c r="H329" s="47">
        <v>46047.0</v>
      </c>
      <c r="I329" s="45"/>
      <c r="J329" s="48"/>
      <c r="K329" s="46"/>
      <c r="L329" s="46"/>
      <c r="M329" s="46"/>
      <c r="N329" s="46"/>
      <c r="O329" s="46"/>
      <c r="P329" s="46"/>
      <c r="Q329" s="46"/>
      <c r="R329" s="46"/>
      <c r="S329" s="46"/>
      <c r="T329" s="46"/>
      <c r="U329" s="46"/>
      <c r="V329" s="46"/>
      <c r="W329" s="46"/>
      <c r="X329" s="46"/>
      <c r="Y329" s="46"/>
      <c r="Z329" s="46"/>
    </row>
    <row r="330">
      <c r="A330" s="31" t="s">
        <v>512</v>
      </c>
      <c r="B330" s="31" t="s">
        <v>855</v>
      </c>
      <c r="C330" s="31" t="s">
        <v>66</v>
      </c>
      <c r="D330" s="31">
        <v>4.0</v>
      </c>
      <c r="E330" s="31">
        <v>20.0</v>
      </c>
      <c r="F330" s="31">
        <v>0.0</v>
      </c>
      <c r="G330" s="34">
        <f t="shared" si="52"/>
        <v>16</v>
      </c>
      <c r="H330" s="31"/>
      <c r="I330" s="31"/>
      <c r="J330" s="35"/>
      <c r="K330" s="34"/>
      <c r="L330" s="34"/>
      <c r="M330" s="34"/>
      <c r="N330" s="34"/>
      <c r="O330" s="34"/>
      <c r="P330" s="34"/>
      <c r="Q330" s="34"/>
      <c r="R330" s="34"/>
      <c r="S330" s="34"/>
      <c r="T330" s="34"/>
      <c r="U330" s="34"/>
      <c r="V330" s="34"/>
      <c r="W330" s="34"/>
      <c r="X330" s="34"/>
      <c r="Y330" s="34"/>
      <c r="Z330" s="34"/>
    </row>
    <row r="331">
      <c r="A331" s="31" t="s">
        <v>512</v>
      </c>
      <c r="B331" s="31" t="s">
        <v>1587</v>
      </c>
      <c r="C331" s="31" t="s">
        <v>66</v>
      </c>
      <c r="D331" s="31">
        <v>4.5</v>
      </c>
      <c r="E331" s="31">
        <v>40.0</v>
      </c>
      <c r="F331" s="31">
        <v>0.0</v>
      </c>
      <c r="G331" s="34">
        <f t="shared" si="52"/>
        <v>35.5</v>
      </c>
      <c r="H331" s="36">
        <v>46131.0</v>
      </c>
      <c r="I331" s="31"/>
      <c r="J331" s="35"/>
      <c r="K331" s="34"/>
      <c r="L331" s="34"/>
      <c r="M331" s="34"/>
      <c r="N331" s="34"/>
      <c r="O331" s="34"/>
      <c r="P331" s="34"/>
      <c r="Q331" s="34"/>
      <c r="R331" s="34"/>
      <c r="S331" s="34"/>
      <c r="T331" s="34"/>
      <c r="U331" s="34"/>
      <c r="V331" s="34"/>
      <c r="W331" s="34"/>
      <c r="X331" s="34"/>
      <c r="Y331" s="34"/>
      <c r="Z331" s="34"/>
    </row>
    <row r="332">
      <c r="A332" s="31" t="s">
        <v>512</v>
      </c>
      <c r="B332" s="31" t="s">
        <v>1589</v>
      </c>
      <c r="C332" s="31" t="s">
        <v>57</v>
      </c>
      <c r="D332" s="31">
        <v>4.5</v>
      </c>
      <c r="E332" s="31">
        <v>18.76</v>
      </c>
      <c r="F332" s="31">
        <v>3.76</v>
      </c>
      <c r="G332" s="34">
        <f t="shared" ref="G332:G334" si="53">E332-D332-F332</f>
        <v>10.5</v>
      </c>
      <c r="H332" s="31"/>
      <c r="I332" s="31"/>
      <c r="J332" s="35"/>
      <c r="K332" s="34"/>
      <c r="L332" s="34"/>
      <c r="M332" s="34"/>
      <c r="N332" s="34"/>
      <c r="O332" s="34"/>
      <c r="P332" s="34"/>
      <c r="Q332" s="34"/>
      <c r="R332" s="34"/>
      <c r="S332" s="34"/>
      <c r="T332" s="34"/>
      <c r="U332" s="34"/>
      <c r="V332" s="34"/>
      <c r="W332" s="34"/>
      <c r="X332" s="34"/>
      <c r="Y332" s="34"/>
      <c r="Z332" s="34"/>
    </row>
    <row r="333">
      <c r="A333" s="31" t="s">
        <v>512</v>
      </c>
      <c r="B333" s="31" t="s">
        <v>864</v>
      </c>
      <c r="C333" s="31" t="s">
        <v>51</v>
      </c>
      <c r="D333" s="31">
        <v>5.0</v>
      </c>
      <c r="E333" s="31">
        <v>30.0</v>
      </c>
      <c r="F333" s="31">
        <v>0.0</v>
      </c>
      <c r="G333" s="34">
        <f t="shared" si="53"/>
        <v>25</v>
      </c>
      <c r="H333" s="31"/>
      <c r="I333" s="31"/>
      <c r="J333" s="35"/>
      <c r="K333" s="34"/>
      <c r="L333" s="34"/>
      <c r="M333" s="34"/>
      <c r="N333" s="34"/>
      <c r="O333" s="34"/>
      <c r="P333" s="34"/>
      <c r="Q333" s="34"/>
      <c r="R333" s="34"/>
      <c r="S333" s="34"/>
      <c r="T333" s="34"/>
      <c r="U333" s="34"/>
      <c r="V333" s="34"/>
      <c r="W333" s="34"/>
      <c r="X333" s="34"/>
      <c r="Y333" s="34"/>
      <c r="Z333" s="34"/>
    </row>
    <row r="334">
      <c r="A334" s="31" t="s">
        <v>512</v>
      </c>
      <c r="B334" s="31" t="s">
        <v>494</v>
      </c>
      <c r="C334" s="31" t="s">
        <v>57</v>
      </c>
      <c r="D334" s="31">
        <v>3.65</v>
      </c>
      <c r="E334" s="31">
        <v>15.47</v>
      </c>
      <c r="F334" s="31">
        <v>1.14</v>
      </c>
      <c r="G334" s="34">
        <f t="shared" si="53"/>
        <v>10.68</v>
      </c>
      <c r="H334" s="31"/>
      <c r="I334" s="31"/>
      <c r="J334" s="35"/>
      <c r="K334" s="34"/>
      <c r="L334" s="34"/>
      <c r="M334" s="34"/>
      <c r="N334" s="34"/>
      <c r="O334" s="34"/>
      <c r="P334" s="34"/>
      <c r="Q334" s="34"/>
      <c r="R334" s="34"/>
      <c r="S334" s="34"/>
      <c r="T334" s="34"/>
      <c r="U334" s="34"/>
      <c r="V334" s="34"/>
      <c r="W334" s="34"/>
      <c r="X334" s="34"/>
      <c r="Y334" s="34"/>
      <c r="Z334" s="34"/>
    </row>
    <row r="335">
      <c r="A335" s="31" t="s">
        <v>512</v>
      </c>
      <c r="B335" s="31" t="s">
        <v>1590</v>
      </c>
      <c r="C335" s="31" t="s">
        <v>51</v>
      </c>
      <c r="D335" s="31">
        <v>6.5</v>
      </c>
      <c r="E335" s="31">
        <v>40.0</v>
      </c>
      <c r="F335" s="31">
        <v>0.0</v>
      </c>
      <c r="G335" s="34">
        <f t="shared" ref="G335:G336" si="54">E335-D335</f>
        <v>33.5</v>
      </c>
      <c r="H335" s="31"/>
      <c r="I335" s="31"/>
      <c r="J335" s="35"/>
      <c r="K335" s="34"/>
      <c r="L335" s="34"/>
      <c r="M335" s="34"/>
      <c r="N335" s="34"/>
      <c r="O335" s="34"/>
      <c r="P335" s="34"/>
      <c r="Q335" s="34"/>
      <c r="R335" s="34"/>
      <c r="S335" s="34"/>
      <c r="T335" s="34"/>
      <c r="U335" s="34"/>
      <c r="V335" s="34"/>
      <c r="W335" s="34"/>
      <c r="X335" s="34"/>
      <c r="Y335" s="34"/>
      <c r="Z335" s="34"/>
    </row>
    <row r="336">
      <c r="A336" s="31" t="s">
        <v>512</v>
      </c>
      <c r="B336" s="31" t="s">
        <v>1591</v>
      </c>
      <c r="C336" s="31" t="s">
        <v>57</v>
      </c>
      <c r="D336" s="31">
        <v>9.0</v>
      </c>
      <c r="E336" s="31">
        <v>40.0</v>
      </c>
      <c r="F336" s="31">
        <v>0.0</v>
      </c>
      <c r="G336" s="34">
        <f t="shared" si="54"/>
        <v>31</v>
      </c>
      <c r="H336" s="31"/>
      <c r="I336" s="31"/>
      <c r="J336" s="35"/>
      <c r="K336" s="34"/>
      <c r="L336" s="34"/>
      <c r="M336" s="34"/>
      <c r="N336" s="34"/>
      <c r="O336" s="34"/>
      <c r="P336" s="34"/>
      <c r="Q336" s="34"/>
      <c r="R336" s="34"/>
      <c r="S336" s="34"/>
      <c r="T336" s="34"/>
      <c r="U336" s="34"/>
      <c r="V336" s="34"/>
      <c r="W336" s="34"/>
      <c r="X336" s="34"/>
      <c r="Y336" s="34"/>
      <c r="Z336" s="34"/>
    </row>
    <row r="337">
      <c r="A337" s="31" t="s">
        <v>512</v>
      </c>
      <c r="B337" s="31" t="s">
        <v>1592</v>
      </c>
      <c r="C337" s="31">
        <v>12.0</v>
      </c>
      <c r="D337" s="31"/>
      <c r="E337" s="31">
        <v>5.0</v>
      </c>
      <c r="F337" s="31">
        <v>0.0</v>
      </c>
      <c r="G337" s="34">
        <f t="shared" ref="G337:G340" si="55">E337-F337-D337</f>
        <v>5</v>
      </c>
      <c r="H337" s="31" t="s">
        <v>1190</v>
      </c>
      <c r="I337" s="34"/>
      <c r="J337" s="35"/>
      <c r="K337" s="34"/>
      <c r="L337" s="34"/>
      <c r="M337" s="34"/>
      <c r="N337" s="34"/>
      <c r="O337" s="34"/>
      <c r="P337" s="34"/>
      <c r="Q337" s="34"/>
      <c r="R337" s="34"/>
      <c r="S337" s="34"/>
      <c r="T337" s="34"/>
      <c r="U337" s="34"/>
      <c r="V337" s="34"/>
      <c r="W337" s="34"/>
      <c r="X337" s="34"/>
      <c r="Y337" s="34"/>
      <c r="Z337" s="34"/>
    </row>
    <row r="338">
      <c r="A338" s="31" t="s">
        <v>532</v>
      </c>
      <c r="B338" s="31" t="s">
        <v>1593</v>
      </c>
      <c r="C338" s="31" t="s">
        <v>51</v>
      </c>
      <c r="D338" s="31">
        <v>10.0</v>
      </c>
      <c r="E338" s="31">
        <v>30.0</v>
      </c>
      <c r="F338" s="31">
        <v>0.0</v>
      </c>
      <c r="G338" s="34">
        <f t="shared" si="55"/>
        <v>20</v>
      </c>
      <c r="H338" s="31" t="s">
        <v>1190</v>
      </c>
      <c r="I338" s="34"/>
      <c r="J338" s="35"/>
      <c r="K338" s="34"/>
      <c r="L338" s="34"/>
      <c r="M338" s="34"/>
      <c r="N338" s="34"/>
      <c r="O338" s="34"/>
      <c r="P338" s="34"/>
      <c r="Q338" s="34"/>
      <c r="R338" s="34"/>
      <c r="S338" s="34"/>
      <c r="T338" s="34"/>
      <c r="U338" s="34"/>
      <c r="V338" s="34"/>
      <c r="W338" s="34"/>
      <c r="X338" s="34"/>
      <c r="Y338" s="34"/>
      <c r="Z338" s="34"/>
    </row>
    <row r="339">
      <c r="A339" s="31" t="s">
        <v>512</v>
      </c>
      <c r="B339" s="31" t="s">
        <v>1594</v>
      </c>
      <c r="C339" s="31" t="s">
        <v>95</v>
      </c>
      <c r="D339" s="31">
        <v>5.0</v>
      </c>
      <c r="E339" s="31">
        <v>25.0</v>
      </c>
      <c r="F339" s="31">
        <v>0.0</v>
      </c>
      <c r="G339" s="34">
        <f t="shared" si="55"/>
        <v>20</v>
      </c>
      <c r="H339" s="31" t="s">
        <v>1190</v>
      </c>
      <c r="I339" s="31"/>
      <c r="J339" s="35"/>
      <c r="K339" s="34"/>
      <c r="L339" s="34"/>
      <c r="M339" s="34"/>
      <c r="N339" s="34"/>
      <c r="O339" s="34"/>
      <c r="P339" s="34"/>
      <c r="Q339" s="34"/>
      <c r="R339" s="34"/>
      <c r="S339" s="34"/>
      <c r="T339" s="34"/>
      <c r="U339" s="34"/>
      <c r="V339" s="34"/>
      <c r="W339" s="34"/>
      <c r="X339" s="34"/>
      <c r="Y339" s="34"/>
      <c r="Z339" s="34"/>
    </row>
    <row r="340">
      <c r="A340" s="31" t="s">
        <v>512</v>
      </c>
      <c r="B340" s="31" t="s">
        <v>1595</v>
      </c>
      <c r="C340" s="31" t="s">
        <v>57</v>
      </c>
      <c r="D340" s="31">
        <v>6.5</v>
      </c>
      <c r="E340" s="31">
        <v>25.0</v>
      </c>
      <c r="F340" s="31">
        <v>0.0</v>
      </c>
      <c r="G340" s="34">
        <f t="shared" si="55"/>
        <v>18.5</v>
      </c>
      <c r="H340" s="31"/>
      <c r="I340" s="31"/>
      <c r="J340" s="35"/>
      <c r="K340" s="34"/>
      <c r="L340" s="34"/>
      <c r="M340" s="34"/>
      <c r="N340" s="34"/>
      <c r="O340" s="34"/>
      <c r="P340" s="34"/>
      <c r="Q340" s="34"/>
      <c r="R340" s="34"/>
      <c r="S340" s="34"/>
      <c r="T340" s="34"/>
      <c r="U340" s="34"/>
      <c r="V340" s="34"/>
      <c r="W340" s="34"/>
      <c r="X340" s="34"/>
      <c r="Y340" s="34"/>
      <c r="Z340" s="34"/>
    </row>
    <row r="341">
      <c r="A341" s="31" t="s">
        <v>532</v>
      </c>
      <c r="B341" s="31" t="s">
        <v>1596</v>
      </c>
      <c r="C341" s="31" t="s">
        <v>120</v>
      </c>
      <c r="D341" s="31">
        <v>9.0</v>
      </c>
      <c r="E341" s="34"/>
      <c r="F341" s="34"/>
      <c r="G341" s="34"/>
      <c r="H341" s="31" t="s">
        <v>1195</v>
      </c>
      <c r="I341" s="31"/>
      <c r="J341" s="35"/>
      <c r="K341" s="34"/>
      <c r="L341" s="34"/>
      <c r="M341" s="34"/>
      <c r="N341" s="34"/>
      <c r="O341" s="34"/>
      <c r="P341" s="34"/>
      <c r="Q341" s="34"/>
      <c r="R341" s="34"/>
      <c r="S341" s="34"/>
      <c r="T341" s="34"/>
      <c r="U341" s="34"/>
      <c r="V341" s="34"/>
      <c r="W341" s="34"/>
      <c r="X341" s="34"/>
      <c r="Y341" s="34"/>
      <c r="Z341" s="34"/>
    </row>
    <row r="342">
      <c r="A342" s="31" t="s">
        <v>532</v>
      </c>
      <c r="B342" s="31" t="s">
        <v>1597</v>
      </c>
      <c r="C342" s="31" t="s">
        <v>51</v>
      </c>
      <c r="D342" s="31">
        <v>10.0</v>
      </c>
      <c r="E342" s="31">
        <v>25.0</v>
      </c>
      <c r="F342" s="31">
        <v>0.0</v>
      </c>
      <c r="G342" s="34">
        <f>E342-F342-D342</f>
        <v>15</v>
      </c>
      <c r="H342" s="34"/>
      <c r="I342" s="34"/>
      <c r="J342" s="35"/>
      <c r="K342" s="34"/>
      <c r="L342" s="34"/>
      <c r="M342" s="34"/>
      <c r="N342" s="34"/>
      <c r="O342" s="34"/>
      <c r="P342" s="34"/>
      <c r="Q342" s="34"/>
      <c r="R342" s="34"/>
      <c r="S342" s="34"/>
      <c r="T342" s="34"/>
      <c r="U342" s="34"/>
      <c r="V342" s="34"/>
      <c r="W342" s="34"/>
      <c r="X342" s="34"/>
      <c r="Y342" s="34"/>
      <c r="Z342" s="34"/>
    </row>
    <row r="343">
      <c r="A343" s="31" t="s">
        <v>532</v>
      </c>
      <c r="B343" s="31" t="s">
        <v>1598</v>
      </c>
      <c r="C343" s="31" t="s">
        <v>57</v>
      </c>
      <c r="D343" s="31">
        <v>10.0</v>
      </c>
      <c r="E343" s="34"/>
      <c r="F343" s="34"/>
      <c r="G343" s="34"/>
      <c r="H343" s="36">
        <v>45767.0</v>
      </c>
      <c r="I343" s="34"/>
      <c r="J343" s="35"/>
      <c r="K343" s="34"/>
      <c r="L343" s="34"/>
      <c r="M343" s="34"/>
      <c r="N343" s="34"/>
      <c r="O343" s="34"/>
      <c r="P343" s="34"/>
      <c r="Q343" s="34"/>
      <c r="R343" s="34"/>
      <c r="S343" s="34"/>
      <c r="T343" s="34"/>
      <c r="U343" s="34"/>
      <c r="V343" s="34"/>
      <c r="W343" s="34"/>
      <c r="X343" s="34"/>
      <c r="Y343" s="34"/>
      <c r="Z343" s="34"/>
    </row>
    <row r="344">
      <c r="A344" s="31" t="s">
        <v>532</v>
      </c>
      <c r="B344" s="31" t="s">
        <v>1599</v>
      </c>
      <c r="C344" s="31" t="s">
        <v>51</v>
      </c>
      <c r="D344" s="31">
        <v>10.0</v>
      </c>
      <c r="E344" s="34"/>
      <c r="F344" s="34"/>
      <c r="G344" s="34"/>
      <c r="H344" s="36">
        <v>45767.0</v>
      </c>
      <c r="I344" s="34"/>
      <c r="J344" s="35"/>
      <c r="K344" s="34"/>
      <c r="L344" s="34"/>
      <c r="M344" s="34"/>
      <c r="N344" s="34"/>
      <c r="O344" s="34"/>
      <c r="P344" s="34"/>
      <c r="Q344" s="34"/>
      <c r="R344" s="34"/>
      <c r="S344" s="34"/>
      <c r="T344" s="34"/>
      <c r="U344" s="34"/>
      <c r="V344" s="34"/>
      <c r="W344" s="34"/>
      <c r="X344" s="34"/>
      <c r="Y344" s="34"/>
      <c r="Z344" s="34"/>
    </row>
    <row r="345">
      <c r="A345" s="31" t="s">
        <v>534</v>
      </c>
      <c r="B345" s="31" t="s">
        <v>1600</v>
      </c>
      <c r="C345" s="31">
        <v>8.0</v>
      </c>
      <c r="D345" s="31">
        <v>7.0</v>
      </c>
      <c r="E345" s="34"/>
      <c r="F345" s="34"/>
      <c r="G345" s="34"/>
      <c r="H345" s="36">
        <v>45767.0</v>
      </c>
      <c r="I345" s="34"/>
      <c r="J345" s="35"/>
      <c r="K345" s="34"/>
      <c r="L345" s="34"/>
      <c r="M345" s="34"/>
      <c r="N345" s="34"/>
      <c r="O345" s="34"/>
      <c r="P345" s="34"/>
      <c r="Q345" s="34"/>
      <c r="R345" s="34"/>
      <c r="S345" s="34"/>
      <c r="T345" s="34"/>
      <c r="U345" s="34"/>
      <c r="V345" s="34"/>
      <c r="W345" s="34"/>
      <c r="X345" s="34"/>
      <c r="Y345" s="34"/>
      <c r="Z345" s="34"/>
    </row>
    <row r="346">
      <c r="A346" s="31" t="s">
        <v>512</v>
      </c>
      <c r="B346" s="31" t="s">
        <v>729</v>
      </c>
      <c r="C346" s="31">
        <v>2.0</v>
      </c>
      <c r="D346" s="31">
        <v>7.0</v>
      </c>
      <c r="E346" s="31">
        <v>24.62</v>
      </c>
      <c r="F346" s="31">
        <v>4.62</v>
      </c>
      <c r="G346" s="34">
        <f t="shared" ref="G346:G348" si="56">E346-F346-D346</f>
        <v>13</v>
      </c>
      <c r="H346" s="34"/>
      <c r="I346" s="34"/>
      <c r="J346" s="35"/>
      <c r="K346" s="34"/>
      <c r="L346" s="34"/>
      <c r="M346" s="34"/>
      <c r="N346" s="34"/>
      <c r="O346" s="34"/>
      <c r="P346" s="34"/>
      <c r="Q346" s="34"/>
      <c r="R346" s="34"/>
      <c r="S346" s="34"/>
      <c r="T346" s="34"/>
      <c r="U346" s="34"/>
      <c r="V346" s="34"/>
      <c r="W346" s="34"/>
      <c r="X346" s="34"/>
      <c r="Y346" s="34"/>
      <c r="Z346" s="34"/>
    </row>
    <row r="347">
      <c r="A347" s="31" t="s">
        <v>512</v>
      </c>
      <c r="B347" s="31" t="s">
        <v>1601</v>
      </c>
      <c r="C347" s="31" t="s">
        <v>66</v>
      </c>
      <c r="D347" s="31">
        <v>6.29</v>
      </c>
      <c r="E347" s="31">
        <v>19.62</v>
      </c>
      <c r="F347" s="31">
        <v>4.62</v>
      </c>
      <c r="G347" s="34">
        <f t="shared" si="56"/>
        <v>8.71</v>
      </c>
      <c r="H347" s="34"/>
      <c r="I347" s="34"/>
      <c r="J347" s="35"/>
      <c r="K347" s="34"/>
      <c r="L347" s="34"/>
      <c r="M347" s="34"/>
      <c r="N347" s="34"/>
      <c r="O347" s="34"/>
      <c r="P347" s="34"/>
      <c r="Q347" s="34"/>
      <c r="R347" s="34"/>
      <c r="S347" s="34"/>
      <c r="T347" s="34"/>
      <c r="U347" s="34"/>
      <c r="V347" s="34"/>
      <c r="W347" s="34"/>
      <c r="X347" s="34"/>
      <c r="Y347" s="34"/>
      <c r="Z347" s="34"/>
    </row>
    <row r="348">
      <c r="A348" s="57" t="s">
        <v>532</v>
      </c>
      <c r="B348" s="57" t="s">
        <v>1602</v>
      </c>
      <c r="C348" s="57" t="s">
        <v>66</v>
      </c>
      <c r="D348" s="57">
        <v>10.0</v>
      </c>
      <c r="E348" s="57">
        <v>30.0</v>
      </c>
      <c r="F348" s="57">
        <v>0.0</v>
      </c>
      <c r="G348" s="58">
        <f t="shared" si="56"/>
        <v>20</v>
      </c>
      <c r="H348" s="58"/>
      <c r="I348" s="58"/>
      <c r="J348" s="59"/>
      <c r="K348" s="58"/>
      <c r="L348" s="58"/>
      <c r="M348" s="58"/>
      <c r="N348" s="58"/>
      <c r="O348" s="58"/>
      <c r="P348" s="58"/>
      <c r="Q348" s="58"/>
      <c r="R348" s="58"/>
      <c r="S348" s="58"/>
      <c r="T348" s="58"/>
      <c r="U348" s="58"/>
      <c r="V348" s="58"/>
      <c r="W348" s="58"/>
      <c r="X348" s="58"/>
      <c r="Y348" s="58"/>
      <c r="Z348" s="58"/>
    </row>
    <row r="349">
      <c r="A349" s="31" t="s">
        <v>532</v>
      </c>
      <c r="B349" s="31" t="s">
        <v>1603</v>
      </c>
      <c r="C349" s="31" t="s">
        <v>57</v>
      </c>
      <c r="D349" s="31">
        <v>10.0</v>
      </c>
      <c r="E349" s="34"/>
      <c r="F349" s="31"/>
      <c r="G349" s="34"/>
      <c r="H349" s="37">
        <v>45696.0</v>
      </c>
      <c r="I349" s="34"/>
      <c r="J349" s="35"/>
      <c r="K349" s="34"/>
      <c r="L349" s="34"/>
      <c r="M349" s="34"/>
      <c r="N349" s="34"/>
      <c r="O349" s="34"/>
      <c r="P349" s="34"/>
      <c r="Q349" s="34"/>
      <c r="R349" s="34"/>
      <c r="S349" s="34"/>
      <c r="T349" s="34"/>
      <c r="U349" s="34"/>
      <c r="V349" s="34"/>
      <c r="W349" s="34"/>
      <c r="X349" s="34"/>
      <c r="Y349" s="34"/>
      <c r="Z349" s="34"/>
    </row>
    <row r="350">
      <c r="A350" s="31" t="s">
        <v>1604</v>
      </c>
      <c r="B350" s="31" t="s">
        <v>1313</v>
      </c>
      <c r="C350" s="31" t="s">
        <v>57</v>
      </c>
      <c r="D350" s="31">
        <f>18+14.95</f>
        <v>32.95</v>
      </c>
      <c r="E350" s="31">
        <v>150.0</v>
      </c>
      <c r="F350" s="31">
        <v>0.0</v>
      </c>
      <c r="G350" s="34">
        <f t="shared" ref="G350:G351" si="57">E350-F350-D350</f>
        <v>117.05</v>
      </c>
      <c r="H350" s="34"/>
      <c r="I350" s="34"/>
      <c r="J350" s="35"/>
      <c r="K350" s="34"/>
      <c r="L350" s="34"/>
      <c r="M350" s="34"/>
      <c r="N350" s="34"/>
      <c r="O350" s="34"/>
      <c r="P350" s="34"/>
      <c r="Q350" s="34"/>
      <c r="R350" s="34"/>
      <c r="S350" s="34"/>
      <c r="T350" s="34"/>
      <c r="U350" s="34"/>
      <c r="V350" s="34"/>
      <c r="W350" s="34"/>
      <c r="X350" s="34"/>
      <c r="Y350" s="34"/>
      <c r="Z350" s="34"/>
    </row>
    <row r="351">
      <c r="A351" s="31" t="s">
        <v>1604</v>
      </c>
      <c r="B351" s="31" t="s">
        <v>934</v>
      </c>
      <c r="C351" s="31" t="s">
        <v>120</v>
      </c>
      <c r="D351" s="31">
        <v>3.25</v>
      </c>
      <c r="E351" s="31">
        <v>100.0</v>
      </c>
      <c r="F351" s="31">
        <v>0.0</v>
      </c>
      <c r="G351" s="34">
        <f t="shared" si="57"/>
        <v>96.75</v>
      </c>
      <c r="H351" s="34"/>
      <c r="I351" s="34"/>
      <c r="J351" s="35"/>
      <c r="K351" s="34"/>
      <c r="L351" s="34"/>
      <c r="M351" s="34"/>
      <c r="N351" s="34"/>
      <c r="O351" s="34"/>
      <c r="P351" s="34"/>
      <c r="Q351" s="34"/>
      <c r="R351" s="34"/>
      <c r="S351" s="34"/>
      <c r="T351" s="34"/>
      <c r="U351" s="34"/>
      <c r="V351" s="34"/>
      <c r="W351" s="34"/>
      <c r="X351" s="34"/>
      <c r="Y351" s="34"/>
      <c r="Z351" s="34"/>
    </row>
    <row r="352">
      <c r="A352" s="31" t="s">
        <v>1605</v>
      </c>
      <c r="B352" s="31" t="s">
        <v>511</v>
      </c>
      <c r="C352" s="31" t="s">
        <v>95</v>
      </c>
      <c r="D352" s="31">
        <v>4.0</v>
      </c>
      <c r="E352" s="31">
        <v>15.0</v>
      </c>
      <c r="F352" s="31">
        <v>0.0</v>
      </c>
      <c r="G352" s="34">
        <f t="shared" ref="G352:G353" si="58">E352-D352</f>
        <v>11</v>
      </c>
      <c r="H352" s="36">
        <v>46131.0</v>
      </c>
      <c r="I352" s="34"/>
      <c r="J352" s="35"/>
      <c r="K352" s="34"/>
      <c r="L352" s="34"/>
      <c r="M352" s="34"/>
      <c r="N352" s="34"/>
      <c r="O352" s="34"/>
      <c r="P352" s="34"/>
      <c r="Q352" s="34"/>
      <c r="R352" s="34"/>
      <c r="S352" s="34"/>
      <c r="T352" s="34"/>
      <c r="U352" s="34"/>
      <c r="V352" s="34"/>
      <c r="W352" s="34"/>
      <c r="X352" s="34"/>
      <c r="Y352" s="34"/>
      <c r="Z352" s="34"/>
    </row>
    <row r="353">
      <c r="A353" s="45" t="s">
        <v>541</v>
      </c>
      <c r="B353" s="45" t="s">
        <v>1606</v>
      </c>
      <c r="C353" s="45" t="s">
        <v>51</v>
      </c>
      <c r="D353" s="45">
        <v>10.0</v>
      </c>
      <c r="E353" s="45">
        <v>25.0</v>
      </c>
      <c r="F353" s="45">
        <v>0.0</v>
      </c>
      <c r="G353" s="46">
        <f t="shared" si="58"/>
        <v>15</v>
      </c>
      <c r="H353" s="47">
        <v>46096.0</v>
      </c>
      <c r="I353" s="46"/>
      <c r="J353" s="48"/>
      <c r="K353" s="46"/>
      <c r="L353" s="46"/>
      <c r="M353" s="46"/>
      <c r="N353" s="46"/>
      <c r="O353" s="46"/>
      <c r="P353" s="46"/>
      <c r="Q353" s="46"/>
      <c r="R353" s="46"/>
      <c r="S353" s="46"/>
      <c r="T353" s="46"/>
      <c r="U353" s="46"/>
      <c r="V353" s="46"/>
      <c r="W353" s="46"/>
      <c r="X353" s="46"/>
      <c r="Y353" s="46"/>
      <c r="Z353" s="46"/>
    </row>
    <row r="354">
      <c r="A354" s="31" t="s">
        <v>546</v>
      </c>
      <c r="B354" s="31" t="s">
        <v>1607</v>
      </c>
      <c r="C354" s="31" t="s">
        <v>51</v>
      </c>
      <c r="D354" s="31">
        <v>8.6</v>
      </c>
      <c r="E354" s="31">
        <v>20.0</v>
      </c>
      <c r="F354" s="31">
        <v>2.5</v>
      </c>
      <c r="G354" s="34">
        <f t="shared" ref="G354:G355" si="59">E354-F354-D354</f>
        <v>8.9</v>
      </c>
      <c r="H354" s="34"/>
      <c r="I354" s="34"/>
      <c r="J354" s="35"/>
      <c r="K354" s="34"/>
      <c r="L354" s="34"/>
      <c r="M354" s="34"/>
      <c r="N354" s="34"/>
      <c r="O354" s="34"/>
      <c r="P354" s="34"/>
      <c r="Q354" s="34"/>
      <c r="R354" s="34"/>
      <c r="S354" s="34"/>
      <c r="T354" s="34"/>
      <c r="U354" s="34"/>
      <c r="V354" s="34"/>
      <c r="W354" s="34"/>
      <c r="X354" s="34"/>
      <c r="Y354" s="34"/>
      <c r="Z354" s="34"/>
    </row>
    <row r="355">
      <c r="A355" s="10" t="s">
        <v>557</v>
      </c>
      <c r="B355" s="10" t="s">
        <v>1608</v>
      </c>
      <c r="C355" s="10" t="s">
        <v>95</v>
      </c>
      <c r="D355" s="10">
        <v>7.3</v>
      </c>
      <c r="E355" s="10">
        <v>20.0</v>
      </c>
      <c r="F355" s="10">
        <v>0.0</v>
      </c>
      <c r="G355" s="11">
        <f t="shared" si="59"/>
        <v>12.7</v>
      </c>
      <c r="H355" s="49">
        <v>45976.0</v>
      </c>
      <c r="I355" s="11"/>
      <c r="J355" s="12"/>
      <c r="K355" s="11"/>
      <c r="L355" s="11"/>
      <c r="M355" s="11"/>
      <c r="N355" s="11"/>
      <c r="O355" s="11"/>
      <c r="P355" s="11"/>
      <c r="Q355" s="11"/>
      <c r="R355" s="11"/>
      <c r="S355" s="11"/>
      <c r="T355" s="11"/>
      <c r="U355" s="11"/>
      <c r="V355" s="11"/>
      <c r="W355" s="11"/>
      <c r="X355" s="11"/>
      <c r="Y355" s="11"/>
      <c r="Z355" s="11"/>
    </row>
    <row r="356">
      <c r="A356" s="31" t="s">
        <v>557</v>
      </c>
      <c r="B356" s="31" t="s">
        <v>1609</v>
      </c>
      <c r="C356" s="31" t="s">
        <v>51</v>
      </c>
      <c r="D356" s="31">
        <v>5.0</v>
      </c>
      <c r="E356" s="31">
        <v>25.0</v>
      </c>
      <c r="F356" s="31">
        <v>0.0</v>
      </c>
      <c r="G356" s="34">
        <f>E356-D356</f>
        <v>20</v>
      </c>
      <c r="H356" s="36">
        <v>46131.0</v>
      </c>
      <c r="I356" s="34"/>
      <c r="J356" s="35"/>
      <c r="K356" s="34"/>
      <c r="L356" s="34"/>
      <c r="M356" s="34"/>
      <c r="N356" s="34"/>
      <c r="O356" s="34"/>
      <c r="P356" s="34"/>
      <c r="Q356" s="34"/>
      <c r="R356" s="34"/>
      <c r="S356" s="34"/>
      <c r="T356" s="34"/>
      <c r="U356" s="34"/>
      <c r="V356" s="34"/>
      <c r="W356" s="34"/>
      <c r="X356" s="34"/>
      <c r="Y356" s="34"/>
      <c r="Z356" s="34"/>
    </row>
    <row r="357">
      <c r="A357" s="31" t="s">
        <v>1610</v>
      </c>
      <c r="B357" s="31" t="s">
        <v>1611</v>
      </c>
      <c r="C357" s="31" t="s">
        <v>51</v>
      </c>
      <c r="D357" s="31">
        <v>7.0</v>
      </c>
      <c r="E357" s="31">
        <v>20.0</v>
      </c>
      <c r="F357" s="31">
        <v>0.0</v>
      </c>
      <c r="G357" s="34">
        <f t="shared" ref="G357:G358" si="60">E357-F357-D357</f>
        <v>13</v>
      </c>
      <c r="H357" s="31" t="s">
        <v>1612</v>
      </c>
      <c r="I357" s="34"/>
      <c r="J357" s="35"/>
      <c r="K357" s="34"/>
      <c r="L357" s="34"/>
      <c r="M357" s="34"/>
      <c r="N357" s="34"/>
      <c r="O357" s="34"/>
      <c r="P357" s="34"/>
      <c r="Q357" s="34"/>
      <c r="R357" s="34"/>
      <c r="S357" s="34"/>
      <c r="T357" s="34"/>
      <c r="U357" s="34"/>
      <c r="V357" s="34"/>
      <c r="W357" s="34"/>
      <c r="X357" s="34"/>
      <c r="Y357" s="34"/>
      <c r="Z357" s="34"/>
    </row>
    <row r="358">
      <c r="A358" s="31" t="s">
        <v>563</v>
      </c>
      <c r="B358" s="31" t="s">
        <v>356</v>
      </c>
      <c r="C358" s="31" t="s">
        <v>1613</v>
      </c>
      <c r="D358" s="31">
        <v>7.0</v>
      </c>
      <c r="E358" s="31">
        <v>29.1</v>
      </c>
      <c r="F358" s="31">
        <v>7.22</v>
      </c>
      <c r="G358" s="34">
        <f t="shared" si="60"/>
        <v>14.88</v>
      </c>
      <c r="H358" s="34"/>
      <c r="I358" s="34"/>
      <c r="J358" s="35"/>
      <c r="K358" s="34"/>
      <c r="L358" s="34"/>
      <c r="M358" s="34"/>
      <c r="N358" s="34"/>
      <c r="O358" s="34"/>
      <c r="P358" s="34"/>
      <c r="Q358" s="34"/>
      <c r="R358" s="34"/>
      <c r="S358" s="34"/>
      <c r="T358" s="34"/>
      <c r="U358" s="34"/>
      <c r="V358" s="34"/>
      <c r="W358" s="34"/>
      <c r="X358" s="34"/>
      <c r="Y358" s="34"/>
      <c r="Z358" s="34"/>
    </row>
    <row r="359">
      <c r="A359" s="45" t="s">
        <v>582</v>
      </c>
      <c r="B359" s="45" t="s">
        <v>1614</v>
      </c>
      <c r="C359" s="45" t="s">
        <v>66</v>
      </c>
      <c r="D359" s="45"/>
      <c r="E359" s="45">
        <v>35.0</v>
      </c>
      <c r="F359" s="45">
        <v>0.0</v>
      </c>
      <c r="G359" s="46">
        <f>E359-D359</f>
        <v>35</v>
      </c>
      <c r="H359" s="47">
        <v>46047.0</v>
      </c>
      <c r="I359" s="46"/>
      <c r="J359" s="48"/>
      <c r="K359" s="46"/>
      <c r="L359" s="46"/>
      <c r="M359" s="46"/>
      <c r="N359" s="46"/>
      <c r="O359" s="46"/>
      <c r="P359" s="46"/>
      <c r="Q359" s="46"/>
      <c r="R359" s="46"/>
      <c r="S359" s="46"/>
      <c r="T359" s="46"/>
      <c r="U359" s="46"/>
      <c r="V359" s="46"/>
      <c r="W359" s="46"/>
      <c r="X359" s="46"/>
      <c r="Y359" s="46"/>
      <c r="Z359" s="46"/>
    </row>
    <row r="360">
      <c r="A360" s="31" t="s">
        <v>582</v>
      </c>
      <c r="B360" s="31" t="s">
        <v>1615</v>
      </c>
      <c r="C360" s="31">
        <v>38.0</v>
      </c>
      <c r="D360" s="31"/>
      <c r="E360" s="34"/>
      <c r="F360" s="34"/>
      <c r="G360" s="34"/>
      <c r="H360" s="36">
        <v>45767.0</v>
      </c>
      <c r="I360" s="34"/>
      <c r="J360" s="35"/>
      <c r="K360" s="34"/>
      <c r="L360" s="34"/>
      <c r="M360" s="34"/>
      <c r="N360" s="34"/>
      <c r="O360" s="34"/>
      <c r="P360" s="34"/>
      <c r="Q360" s="34"/>
      <c r="R360" s="34"/>
      <c r="S360" s="34"/>
      <c r="T360" s="34"/>
      <c r="U360" s="34"/>
      <c r="V360" s="34"/>
      <c r="W360" s="34"/>
      <c r="X360" s="34"/>
      <c r="Y360" s="34"/>
      <c r="Z360" s="34"/>
    </row>
    <row r="361">
      <c r="A361" s="31" t="s">
        <v>1616</v>
      </c>
      <c r="B361" s="31" t="s">
        <v>1617</v>
      </c>
      <c r="C361" s="31" t="s">
        <v>57</v>
      </c>
      <c r="D361" s="31">
        <v>10.0</v>
      </c>
      <c r="E361" s="34"/>
      <c r="F361" s="31"/>
      <c r="G361" s="34"/>
      <c r="H361" s="37">
        <v>45696.0</v>
      </c>
      <c r="I361" s="34"/>
      <c r="J361" s="61" t="s">
        <v>1618</v>
      </c>
      <c r="K361" s="34"/>
      <c r="L361" s="34"/>
      <c r="M361" s="34"/>
      <c r="N361" s="34"/>
      <c r="O361" s="34"/>
      <c r="P361" s="34"/>
      <c r="Q361" s="34"/>
      <c r="R361" s="34"/>
      <c r="S361" s="34"/>
      <c r="T361" s="34"/>
      <c r="U361" s="34"/>
      <c r="V361" s="34"/>
      <c r="W361" s="34"/>
      <c r="X361" s="34"/>
      <c r="Y361" s="34"/>
      <c r="Z361" s="34"/>
    </row>
    <row r="362">
      <c r="A362" s="10" t="s">
        <v>587</v>
      </c>
      <c r="B362" s="10" t="s">
        <v>1619</v>
      </c>
      <c r="C362" s="10" t="s">
        <v>66</v>
      </c>
      <c r="D362" s="10">
        <v>5.0</v>
      </c>
      <c r="E362" s="10">
        <v>30.0</v>
      </c>
      <c r="F362" s="10">
        <v>0.0</v>
      </c>
      <c r="G362" s="11">
        <f>E362-F362-D362</f>
        <v>25</v>
      </c>
      <c r="H362" s="49">
        <v>45976.0</v>
      </c>
      <c r="I362" s="10"/>
      <c r="J362" s="12"/>
      <c r="K362" s="11"/>
      <c r="L362" s="11"/>
      <c r="M362" s="11"/>
      <c r="N362" s="11"/>
      <c r="O362" s="11"/>
      <c r="P362" s="11"/>
      <c r="Q362" s="11"/>
      <c r="R362" s="11"/>
      <c r="S362" s="11"/>
      <c r="T362" s="11"/>
      <c r="U362" s="11"/>
      <c r="V362" s="11"/>
      <c r="W362" s="11"/>
      <c r="X362" s="11"/>
      <c r="Y362" s="11"/>
      <c r="Z362" s="11"/>
    </row>
    <row r="363">
      <c r="A363" s="31" t="s">
        <v>1620</v>
      </c>
      <c r="B363" s="31" t="s">
        <v>1621</v>
      </c>
      <c r="C363" s="31">
        <v>36.0</v>
      </c>
      <c r="D363" s="31">
        <v>20.0</v>
      </c>
      <c r="E363" s="31">
        <v>60.0</v>
      </c>
      <c r="F363" s="31">
        <v>0.0</v>
      </c>
      <c r="G363" s="34">
        <f>E363-D363</f>
        <v>40</v>
      </c>
      <c r="H363" s="36">
        <v>46131.0</v>
      </c>
      <c r="I363" s="34"/>
      <c r="J363" s="35"/>
      <c r="K363" s="34"/>
      <c r="L363" s="34"/>
      <c r="M363" s="34"/>
      <c r="N363" s="34"/>
      <c r="O363" s="34"/>
      <c r="P363" s="34"/>
      <c r="Q363" s="34"/>
      <c r="R363" s="34"/>
      <c r="S363" s="34"/>
      <c r="T363" s="34"/>
      <c r="U363" s="34"/>
      <c r="V363" s="34"/>
      <c r="W363" s="34"/>
      <c r="X363" s="34"/>
      <c r="Y363" s="34"/>
      <c r="Z363" s="34"/>
    </row>
    <row r="364">
      <c r="A364" s="42" t="s">
        <v>1622</v>
      </c>
      <c r="B364" s="42" t="s">
        <v>1623</v>
      </c>
      <c r="C364" s="42" t="s">
        <v>1220</v>
      </c>
      <c r="D364" s="42">
        <v>4.3</v>
      </c>
      <c r="E364" s="42">
        <v>47.22</v>
      </c>
      <c r="F364" s="42">
        <v>5.79</v>
      </c>
      <c r="G364" s="43">
        <f t="shared" ref="G364:G367" si="61">E364-F364-D364</f>
        <v>37.13</v>
      </c>
      <c r="H364" s="42" t="s">
        <v>1202</v>
      </c>
      <c r="I364" s="43"/>
      <c r="J364" s="44"/>
      <c r="K364" s="43"/>
      <c r="L364" s="43"/>
      <c r="M364" s="43"/>
      <c r="N364" s="43"/>
      <c r="O364" s="43"/>
      <c r="P364" s="43"/>
      <c r="Q364" s="43"/>
      <c r="R364" s="43"/>
      <c r="S364" s="43"/>
      <c r="T364" s="43"/>
      <c r="U364" s="43"/>
      <c r="V364" s="43"/>
      <c r="W364" s="43"/>
      <c r="X364" s="43"/>
      <c r="Y364" s="43"/>
      <c r="Z364" s="43"/>
    </row>
    <row r="365">
      <c r="A365" s="31" t="s">
        <v>1624</v>
      </c>
      <c r="B365" s="31" t="s">
        <v>63</v>
      </c>
      <c r="C365" s="31" t="s">
        <v>51</v>
      </c>
      <c r="D365" s="31">
        <v>12.5</v>
      </c>
      <c r="E365" s="31">
        <v>25.0</v>
      </c>
      <c r="F365" s="31">
        <v>6.07</v>
      </c>
      <c r="G365" s="34">
        <f t="shared" si="61"/>
        <v>6.43</v>
      </c>
      <c r="H365" s="34"/>
      <c r="I365" s="34"/>
      <c r="J365" s="35"/>
      <c r="K365" s="34"/>
      <c r="L365" s="34"/>
      <c r="M365" s="34"/>
      <c r="N365" s="34"/>
      <c r="O365" s="34"/>
      <c r="P365" s="34"/>
      <c r="Q365" s="34"/>
      <c r="R365" s="34"/>
      <c r="S365" s="34"/>
      <c r="T365" s="34"/>
      <c r="U365" s="34"/>
      <c r="V365" s="34"/>
      <c r="W365" s="34"/>
      <c r="X365" s="34"/>
      <c r="Y365" s="34"/>
      <c r="Z365" s="34"/>
    </row>
    <row r="366">
      <c r="A366" s="7" t="s">
        <v>1625</v>
      </c>
      <c r="B366" s="7" t="s">
        <v>1626</v>
      </c>
      <c r="C366" s="7" t="s">
        <v>51</v>
      </c>
      <c r="D366" s="7">
        <v>13.0</v>
      </c>
      <c r="E366" s="7">
        <v>24.0</v>
      </c>
      <c r="F366" s="7">
        <v>0.0</v>
      </c>
      <c r="G366" s="8">
        <f t="shared" si="61"/>
        <v>11</v>
      </c>
      <c r="H366" s="7"/>
      <c r="I366" s="7" t="s">
        <v>614</v>
      </c>
      <c r="J366" s="9"/>
      <c r="K366" s="8"/>
      <c r="L366" s="8"/>
      <c r="M366" s="8"/>
      <c r="N366" s="8"/>
      <c r="O366" s="8"/>
      <c r="P366" s="8"/>
      <c r="Q366" s="8"/>
      <c r="R366" s="8"/>
      <c r="S366" s="8"/>
      <c r="T366" s="8"/>
      <c r="U366" s="8"/>
      <c r="V366" s="8"/>
      <c r="W366" s="8"/>
      <c r="X366" s="8"/>
      <c r="Y366" s="8"/>
      <c r="Z366" s="8"/>
    </row>
    <row r="367">
      <c r="A367" s="31" t="s">
        <v>1625</v>
      </c>
      <c r="B367" s="31" t="s">
        <v>1627</v>
      </c>
      <c r="C367" s="31"/>
      <c r="D367" s="31">
        <v>2.5</v>
      </c>
      <c r="E367" s="31">
        <v>25.22</v>
      </c>
      <c r="F367" s="31">
        <v>5.24</v>
      </c>
      <c r="G367" s="34">
        <f t="shared" si="61"/>
        <v>17.48</v>
      </c>
      <c r="H367" s="34"/>
      <c r="I367" s="34"/>
      <c r="J367" s="35"/>
      <c r="K367" s="34"/>
      <c r="L367" s="34"/>
      <c r="M367" s="34"/>
      <c r="N367" s="34"/>
      <c r="O367" s="34"/>
      <c r="P367" s="34"/>
      <c r="Q367" s="34"/>
      <c r="R367" s="34"/>
      <c r="S367" s="34"/>
      <c r="T367" s="34"/>
      <c r="U367" s="34"/>
      <c r="V367" s="34"/>
      <c r="W367" s="34"/>
      <c r="X367" s="34"/>
      <c r="Y367" s="34"/>
      <c r="Z367" s="34"/>
    </row>
    <row r="368">
      <c r="A368" s="45" t="s">
        <v>1628</v>
      </c>
      <c r="B368" s="45" t="s">
        <v>1629</v>
      </c>
      <c r="C368" s="45"/>
      <c r="D368" s="45">
        <f>13.5+15</f>
        <v>28.5</v>
      </c>
      <c r="E368" s="45">
        <v>100.0</v>
      </c>
      <c r="F368" s="45">
        <v>0.0</v>
      </c>
      <c r="G368" s="46">
        <f>E368-D368</f>
        <v>71.5</v>
      </c>
      <c r="H368" s="47">
        <v>46047.0</v>
      </c>
      <c r="I368" s="46"/>
      <c r="J368" s="48"/>
      <c r="K368" s="46"/>
      <c r="L368" s="46"/>
      <c r="M368" s="46"/>
      <c r="N368" s="46"/>
      <c r="O368" s="46"/>
      <c r="P368" s="46"/>
      <c r="Q368" s="46"/>
      <c r="R368" s="46"/>
      <c r="S368" s="46"/>
      <c r="T368" s="46"/>
      <c r="U368" s="46"/>
      <c r="V368" s="46"/>
      <c r="W368" s="46"/>
      <c r="X368" s="46"/>
      <c r="Y368" s="46"/>
      <c r="Z368" s="46"/>
    </row>
    <row r="369">
      <c r="A369" s="31" t="s">
        <v>605</v>
      </c>
      <c r="B369" s="62" t="s">
        <v>1630</v>
      </c>
      <c r="C369" s="31" t="s">
        <v>51</v>
      </c>
      <c r="D369" s="31"/>
      <c r="E369" s="31">
        <v>60.0</v>
      </c>
      <c r="F369" s="31">
        <v>6.35</v>
      </c>
      <c r="G369" s="34">
        <f>E369-F369-D369</f>
        <v>53.65</v>
      </c>
      <c r="H369" s="50"/>
      <c r="I369" s="34"/>
      <c r="J369" s="35"/>
      <c r="K369" s="34"/>
      <c r="L369" s="34"/>
      <c r="M369" s="34"/>
      <c r="N369" s="34"/>
      <c r="O369" s="34"/>
      <c r="P369" s="34"/>
      <c r="Q369" s="34"/>
      <c r="R369" s="34"/>
      <c r="S369" s="34"/>
      <c r="T369" s="34"/>
      <c r="U369" s="34"/>
      <c r="V369" s="34"/>
      <c r="W369" s="34"/>
      <c r="X369" s="34"/>
      <c r="Y369" s="34"/>
      <c r="Z369" s="34"/>
    </row>
    <row r="370">
      <c r="A370" s="31" t="s">
        <v>607</v>
      </c>
      <c r="B370" s="31" t="s">
        <v>1631</v>
      </c>
      <c r="C370" s="31" t="s">
        <v>51</v>
      </c>
      <c r="D370" s="31"/>
      <c r="E370" s="34"/>
      <c r="F370" s="34"/>
      <c r="G370" s="34"/>
      <c r="H370" s="36">
        <v>45794.0</v>
      </c>
      <c r="I370" s="34"/>
      <c r="J370" s="35"/>
      <c r="K370" s="34"/>
      <c r="L370" s="34"/>
      <c r="M370" s="34"/>
      <c r="N370" s="34"/>
      <c r="O370" s="34"/>
      <c r="P370" s="34"/>
      <c r="Q370" s="34"/>
      <c r="R370" s="34"/>
      <c r="S370" s="34"/>
      <c r="T370" s="34"/>
      <c r="U370" s="34"/>
      <c r="V370" s="34"/>
      <c r="W370" s="34"/>
      <c r="X370" s="34"/>
      <c r="Y370" s="34"/>
      <c r="Z370" s="34"/>
    </row>
    <row r="371">
      <c r="A371" s="45" t="s">
        <v>610</v>
      </c>
      <c r="B371" s="45" t="s">
        <v>315</v>
      </c>
      <c r="C371" s="45" t="s">
        <v>57</v>
      </c>
      <c r="D371" s="45">
        <v>5.0</v>
      </c>
      <c r="E371" s="45">
        <v>25.0</v>
      </c>
      <c r="F371" s="45">
        <v>0.0</v>
      </c>
      <c r="G371" s="46">
        <f>E371-F371-D371</f>
        <v>20</v>
      </c>
      <c r="H371" s="47">
        <v>46096.0</v>
      </c>
      <c r="I371" s="46"/>
      <c r="J371" s="48"/>
      <c r="K371" s="46"/>
      <c r="L371" s="46"/>
      <c r="M371" s="46"/>
      <c r="N371" s="46"/>
      <c r="O371" s="46"/>
      <c r="P371" s="46"/>
      <c r="Q371" s="46"/>
      <c r="R371" s="46"/>
      <c r="S371" s="46"/>
      <c r="T371" s="46"/>
      <c r="U371" s="46"/>
      <c r="V371" s="46"/>
      <c r="W371" s="46"/>
      <c r="X371" s="46"/>
      <c r="Y371" s="46"/>
      <c r="Z371" s="46"/>
    </row>
    <row r="372">
      <c r="A372" s="10" t="s">
        <v>618</v>
      </c>
      <c r="B372" s="10" t="s">
        <v>1632</v>
      </c>
      <c r="C372" s="10" t="s">
        <v>66</v>
      </c>
      <c r="D372" s="10"/>
      <c r="E372" s="11"/>
      <c r="F372" s="11"/>
      <c r="G372" s="11"/>
      <c r="H372" s="68">
        <v>45935.0</v>
      </c>
      <c r="I372" s="11"/>
      <c r="J372" s="12"/>
      <c r="K372" s="11"/>
      <c r="L372" s="11"/>
      <c r="M372" s="11"/>
      <c r="N372" s="11"/>
      <c r="O372" s="11"/>
      <c r="P372" s="11"/>
      <c r="Q372" s="11"/>
      <c r="R372" s="11"/>
      <c r="S372" s="11"/>
      <c r="T372" s="11"/>
      <c r="U372" s="11"/>
      <c r="V372" s="11"/>
      <c r="W372" s="11"/>
      <c r="X372" s="11"/>
      <c r="Y372" s="11"/>
      <c r="Z372" s="11"/>
    </row>
    <row r="373">
      <c r="A373" s="10" t="s">
        <v>615</v>
      </c>
      <c r="B373" s="10" t="s">
        <v>1633</v>
      </c>
      <c r="C373" s="10" t="s">
        <v>51</v>
      </c>
      <c r="D373" s="10">
        <v>10.0</v>
      </c>
      <c r="E373" s="11"/>
      <c r="F373" s="11"/>
      <c r="G373" s="11"/>
      <c r="H373" s="68">
        <v>45935.0</v>
      </c>
      <c r="I373" s="11"/>
      <c r="J373" s="12"/>
      <c r="K373" s="11"/>
      <c r="L373" s="11"/>
      <c r="M373" s="11"/>
      <c r="N373" s="11"/>
      <c r="O373" s="11"/>
      <c r="P373" s="11"/>
      <c r="Q373" s="11"/>
      <c r="R373" s="11"/>
      <c r="S373" s="11"/>
      <c r="T373" s="11"/>
      <c r="U373" s="11"/>
      <c r="V373" s="11"/>
      <c r="W373" s="11"/>
      <c r="X373" s="11"/>
      <c r="Y373" s="11"/>
      <c r="Z373" s="11"/>
    </row>
    <row r="374">
      <c r="A374" s="10" t="s">
        <v>615</v>
      </c>
      <c r="B374" s="10" t="s">
        <v>1634</v>
      </c>
      <c r="C374" s="10" t="s">
        <v>51</v>
      </c>
      <c r="D374" s="10">
        <v>7.0</v>
      </c>
      <c r="E374" s="11"/>
      <c r="F374" s="11"/>
      <c r="G374" s="11"/>
      <c r="H374" s="68">
        <v>45935.0</v>
      </c>
      <c r="I374" s="11"/>
      <c r="J374" s="12"/>
      <c r="K374" s="11"/>
      <c r="L374" s="11"/>
      <c r="M374" s="11"/>
      <c r="N374" s="11"/>
      <c r="O374" s="11"/>
      <c r="P374" s="11"/>
      <c r="Q374" s="11"/>
      <c r="R374" s="11"/>
      <c r="S374" s="11"/>
      <c r="T374" s="11"/>
      <c r="U374" s="11"/>
      <c r="V374" s="11"/>
      <c r="W374" s="11"/>
      <c r="X374" s="11"/>
      <c r="Y374" s="11"/>
      <c r="Z374" s="11"/>
    </row>
    <row r="375">
      <c r="A375" s="57" t="s">
        <v>615</v>
      </c>
      <c r="B375" s="57" t="s">
        <v>1635</v>
      </c>
      <c r="C375" s="57" t="s">
        <v>95</v>
      </c>
      <c r="D375" s="57">
        <v>7.0</v>
      </c>
      <c r="E375" s="57">
        <v>25.0</v>
      </c>
      <c r="F375" s="57">
        <v>0.0</v>
      </c>
      <c r="G375" s="58">
        <f>E375-F375-D375</f>
        <v>18</v>
      </c>
      <c r="H375" s="58"/>
      <c r="I375" s="58"/>
      <c r="J375" s="59"/>
      <c r="K375" s="58"/>
      <c r="L375" s="58"/>
      <c r="M375" s="58"/>
      <c r="N375" s="58"/>
      <c r="O375" s="58"/>
      <c r="P375" s="58"/>
      <c r="Q375" s="58"/>
      <c r="R375" s="58"/>
      <c r="S375" s="58"/>
      <c r="T375" s="58"/>
      <c r="U375" s="58"/>
      <c r="V375" s="58"/>
      <c r="W375" s="58"/>
      <c r="X375" s="58"/>
      <c r="Y375" s="58"/>
      <c r="Z375" s="58"/>
    </row>
    <row r="376">
      <c r="A376" s="38" t="s">
        <v>615</v>
      </c>
      <c r="B376" s="38" t="s">
        <v>1636</v>
      </c>
      <c r="C376" s="38" t="s">
        <v>57</v>
      </c>
      <c r="D376" s="38">
        <v>4.3</v>
      </c>
      <c r="E376" s="39"/>
      <c r="F376" s="39"/>
      <c r="G376" s="39"/>
      <c r="H376" s="40">
        <v>45893.0</v>
      </c>
      <c r="I376" s="39"/>
      <c r="J376" s="41"/>
      <c r="K376" s="39"/>
      <c r="L376" s="39"/>
      <c r="M376" s="39"/>
      <c r="N376" s="39"/>
      <c r="O376" s="39"/>
      <c r="P376" s="39"/>
      <c r="Q376" s="39"/>
      <c r="R376" s="39"/>
      <c r="S376" s="39"/>
      <c r="T376" s="39"/>
      <c r="U376" s="39"/>
      <c r="V376" s="39"/>
      <c r="W376" s="39"/>
      <c r="X376" s="39"/>
      <c r="Y376" s="39"/>
      <c r="Z376" s="39"/>
    </row>
    <row r="377">
      <c r="A377" s="31" t="s">
        <v>1637</v>
      </c>
      <c r="B377" s="31" t="s">
        <v>1638</v>
      </c>
      <c r="C377" s="31" t="s">
        <v>57</v>
      </c>
      <c r="D377" s="31">
        <v>6.0</v>
      </c>
      <c r="E377" s="31">
        <v>15.0</v>
      </c>
      <c r="F377" s="31">
        <v>0.0</v>
      </c>
      <c r="G377" s="34">
        <f t="shared" ref="G377:G378" si="62">E377-F377-D377</f>
        <v>9</v>
      </c>
      <c r="H377" s="34"/>
      <c r="I377" s="34"/>
      <c r="J377" s="35"/>
      <c r="K377" s="34"/>
      <c r="L377" s="34"/>
      <c r="M377" s="34"/>
      <c r="N377" s="34"/>
      <c r="O377" s="34"/>
      <c r="P377" s="34"/>
      <c r="Q377" s="34"/>
      <c r="R377" s="34"/>
      <c r="S377" s="34"/>
      <c r="T377" s="34"/>
      <c r="U377" s="34"/>
      <c r="V377" s="34"/>
      <c r="W377" s="34"/>
      <c r="X377" s="34"/>
      <c r="Y377" s="34"/>
      <c r="Z377" s="34"/>
    </row>
    <row r="378">
      <c r="A378" s="31" t="s">
        <v>618</v>
      </c>
      <c r="B378" s="31" t="s">
        <v>103</v>
      </c>
      <c r="C378" s="31" t="s">
        <v>51</v>
      </c>
      <c r="D378" s="31">
        <v>12.0</v>
      </c>
      <c r="E378" s="31">
        <v>30.0</v>
      </c>
      <c r="F378" s="31">
        <v>0.0</v>
      </c>
      <c r="G378" s="34">
        <f t="shared" si="62"/>
        <v>18</v>
      </c>
      <c r="H378" s="31" t="s">
        <v>1190</v>
      </c>
      <c r="I378" s="34"/>
      <c r="J378" s="35"/>
      <c r="K378" s="34"/>
      <c r="L378" s="34"/>
      <c r="M378" s="34"/>
      <c r="N378" s="34"/>
      <c r="O378" s="34"/>
      <c r="P378" s="34"/>
      <c r="Q378" s="34"/>
      <c r="R378" s="34"/>
      <c r="S378" s="34"/>
      <c r="T378" s="34"/>
      <c r="U378" s="34"/>
      <c r="V378" s="34"/>
      <c r="W378" s="34"/>
      <c r="X378" s="34"/>
      <c r="Y378" s="34"/>
      <c r="Z378" s="34"/>
    </row>
    <row r="379">
      <c r="A379" s="31" t="s">
        <v>615</v>
      </c>
      <c r="B379" s="31" t="s">
        <v>1639</v>
      </c>
      <c r="C379" s="31">
        <v>10.0</v>
      </c>
      <c r="D379" s="31"/>
      <c r="E379" s="34"/>
      <c r="F379" s="34"/>
      <c r="G379" s="34"/>
      <c r="H379" s="31" t="s">
        <v>1195</v>
      </c>
      <c r="I379" s="34"/>
      <c r="J379" s="35"/>
      <c r="K379" s="34"/>
      <c r="L379" s="34"/>
      <c r="M379" s="34"/>
      <c r="N379" s="34"/>
      <c r="O379" s="34"/>
      <c r="P379" s="34"/>
      <c r="Q379" s="34"/>
      <c r="R379" s="34"/>
      <c r="S379" s="34"/>
      <c r="T379" s="34"/>
      <c r="U379" s="34"/>
      <c r="V379" s="34"/>
      <c r="W379" s="34"/>
      <c r="X379" s="34"/>
      <c r="Y379" s="34"/>
      <c r="Z379" s="34"/>
    </row>
    <row r="380">
      <c r="A380" s="45" t="s">
        <v>615</v>
      </c>
      <c r="B380" s="45" t="s">
        <v>1640</v>
      </c>
      <c r="C380" s="45" t="s">
        <v>51</v>
      </c>
      <c r="D380" s="45">
        <v>10.0</v>
      </c>
      <c r="E380" s="45">
        <v>30.0</v>
      </c>
      <c r="F380" s="45">
        <v>0.0</v>
      </c>
      <c r="G380" s="46">
        <f>E380-F380-D380</f>
        <v>20</v>
      </c>
      <c r="H380" s="47">
        <v>46047.0</v>
      </c>
      <c r="I380" s="46"/>
      <c r="J380" s="48"/>
      <c r="K380" s="46"/>
      <c r="L380" s="46"/>
      <c r="M380" s="46"/>
      <c r="N380" s="46"/>
      <c r="O380" s="46"/>
      <c r="P380" s="46"/>
      <c r="Q380" s="46"/>
      <c r="R380" s="46"/>
      <c r="S380" s="46"/>
      <c r="T380" s="46"/>
      <c r="U380" s="46"/>
      <c r="V380" s="46"/>
      <c r="W380" s="46"/>
      <c r="X380" s="46"/>
      <c r="Y380" s="46"/>
      <c r="Z380" s="46"/>
    </row>
    <row r="381">
      <c r="A381" s="31" t="s">
        <v>615</v>
      </c>
      <c r="B381" s="31" t="s">
        <v>1641</v>
      </c>
      <c r="C381" s="31" t="s">
        <v>57</v>
      </c>
      <c r="D381" s="31">
        <v>10.0</v>
      </c>
      <c r="E381" s="34"/>
      <c r="F381" s="34"/>
      <c r="G381" s="34"/>
      <c r="H381" s="36">
        <v>45767.0</v>
      </c>
      <c r="I381" s="34"/>
      <c r="J381" s="35"/>
      <c r="K381" s="34"/>
      <c r="L381" s="34"/>
      <c r="M381" s="34"/>
      <c r="N381" s="34"/>
      <c r="O381" s="34"/>
      <c r="P381" s="34"/>
      <c r="Q381" s="34"/>
      <c r="R381" s="34"/>
      <c r="S381" s="34"/>
      <c r="T381" s="34"/>
      <c r="U381" s="34"/>
      <c r="V381" s="34"/>
      <c r="W381" s="34"/>
      <c r="X381" s="34"/>
      <c r="Y381" s="34"/>
      <c r="Z381" s="34"/>
    </row>
    <row r="382">
      <c r="A382" s="45" t="s">
        <v>1642</v>
      </c>
      <c r="B382" s="45" t="s">
        <v>1643</v>
      </c>
      <c r="C382" s="45" t="s">
        <v>51</v>
      </c>
      <c r="D382" s="45">
        <v>7.3</v>
      </c>
      <c r="E382" s="45">
        <v>25.0</v>
      </c>
      <c r="F382" s="45">
        <v>0.0</v>
      </c>
      <c r="G382" s="46">
        <f t="shared" ref="G382:G383" si="63">E382-F382-D382</f>
        <v>17.7</v>
      </c>
      <c r="H382" s="47">
        <v>46047.0</v>
      </c>
      <c r="I382" s="46"/>
      <c r="J382" s="48"/>
      <c r="K382" s="46"/>
      <c r="L382" s="46"/>
      <c r="M382" s="46"/>
      <c r="N382" s="46"/>
      <c r="O382" s="46"/>
      <c r="P382" s="46"/>
      <c r="Q382" s="46"/>
      <c r="R382" s="46"/>
      <c r="S382" s="46"/>
      <c r="T382" s="46"/>
      <c r="U382" s="46"/>
      <c r="V382" s="46"/>
      <c r="W382" s="46"/>
      <c r="X382" s="46"/>
      <c r="Y382" s="46"/>
      <c r="Z382" s="46"/>
    </row>
    <row r="383">
      <c r="A383" s="31" t="s">
        <v>626</v>
      </c>
      <c r="B383" s="31" t="s">
        <v>1644</v>
      </c>
      <c r="C383" s="31" t="s">
        <v>57</v>
      </c>
      <c r="D383" s="31">
        <v>8.0</v>
      </c>
      <c r="E383" s="31">
        <v>30.0</v>
      </c>
      <c r="F383" s="31">
        <v>2.62</v>
      </c>
      <c r="G383" s="34">
        <f t="shared" si="63"/>
        <v>19.38</v>
      </c>
      <c r="H383" s="34"/>
      <c r="I383" s="34"/>
      <c r="J383" s="35"/>
      <c r="K383" s="34"/>
      <c r="L383" s="34"/>
      <c r="M383" s="34"/>
      <c r="N383" s="34"/>
      <c r="O383" s="34"/>
      <c r="P383" s="34"/>
      <c r="Q383" s="34"/>
      <c r="R383" s="34"/>
      <c r="S383" s="34"/>
      <c r="T383" s="34"/>
      <c r="U383" s="34"/>
      <c r="V383" s="34"/>
      <c r="W383" s="34"/>
      <c r="X383" s="34"/>
      <c r="Y383" s="34"/>
      <c r="Z383" s="34"/>
    </row>
    <row r="384">
      <c r="A384" s="31" t="s">
        <v>1645</v>
      </c>
      <c r="B384" s="31" t="s">
        <v>1646</v>
      </c>
      <c r="C384" s="31" t="s">
        <v>51</v>
      </c>
      <c r="D384" s="31"/>
      <c r="E384" s="34"/>
      <c r="F384" s="34"/>
      <c r="G384" s="34"/>
      <c r="H384" s="31" t="s">
        <v>1195</v>
      </c>
      <c r="I384" s="34"/>
      <c r="J384" s="35"/>
      <c r="K384" s="34"/>
      <c r="L384" s="34"/>
      <c r="M384" s="34"/>
      <c r="N384" s="34"/>
      <c r="O384" s="34"/>
      <c r="P384" s="34"/>
      <c r="Q384" s="34"/>
      <c r="R384" s="34"/>
      <c r="S384" s="34"/>
      <c r="T384" s="34"/>
      <c r="U384" s="34"/>
      <c r="V384" s="34"/>
      <c r="W384" s="34"/>
      <c r="X384" s="34"/>
      <c r="Y384" s="34"/>
      <c r="Z384" s="34"/>
    </row>
    <row r="385">
      <c r="A385" s="45" t="s">
        <v>631</v>
      </c>
      <c r="B385" s="45" t="s">
        <v>1647</v>
      </c>
      <c r="C385" s="45" t="s">
        <v>57</v>
      </c>
      <c r="D385" s="45">
        <v>6.0</v>
      </c>
      <c r="E385" s="45">
        <v>20.0</v>
      </c>
      <c r="F385" s="45">
        <v>0.0</v>
      </c>
      <c r="G385" s="46">
        <f t="shared" ref="G385:G386" si="64">E385-D385</f>
        <v>14</v>
      </c>
      <c r="H385" s="47">
        <v>46096.0</v>
      </c>
      <c r="I385" s="46"/>
      <c r="J385" s="48"/>
      <c r="K385" s="46"/>
      <c r="L385" s="46"/>
      <c r="M385" s="46"/>
      <c r="N385" s="46"/>
      <c r="O385" s="46"/>
      <c r="P385" s="46"/>
      <c r="Q385" s="46"/>
      <c r="R385" s="46"/>
      <c r="S385" s="46"/>
      <c r="T385" s="46"/>
      <c r="U385" s="46"/>
      <c r="V385" s="46"/>
      <c r="W385" s="46"/>
      <c r="X385" s="46"/>
      <c r="Y385" s="46"/>
      <c r="Z385" s="46"/>
    </row>
    <row r="386">
      <c r="A386" s="31" t="s">
        <v>631</v>
      </c>
      <c r="B386" s="31" t="s">
        <v>1648</v>
      </c>
      <c r="C386" s="31" t="s">
        <v>51</v>
      </c>
      <c r="D386" s="31">
        <v>5.0</v>
      </c>
      <c r="E386" s="31">
        <v>10.0</v>
      </c>
      <c r="F386" s="31">
        <v>0.0</v>
      </c>
      <c r="G386" s="34">
        <f t="shared" si="64"/>
        <v>5</v>
      </c>
      <c r="H386" s="34"/>
      <c r="I386" s="34"/>
      <c r="J386" s="35"/>
      <c r="K386" s="34"/>
      <c r="L386" s="34"/>
      <c r="M386" s="34"/>
      <c r="N386" s="34"/>
      <c r="O386" s="34"/>
      <c r="P386" s="34"/>
      <c r="Q386" s="34"/>
      <c r="R386" s="34"/>
      <c r="S386" s="34"/>
      <c r="T386" s="34"/>
      <c r="U386" s="34"/>
      <c r="V386" s="34"/>
      <c r="W386" s="34"/>
      <c r="X386" s="34"/>
      <c r="Y386" s="34"/>
      <c r="Z386" s="34"/>
    </row>
    <row r="387">
      <c r="A387" s="31" t="s">
        <v>631</v>
      </c>
      <c r="B387" s="31" t="s">
        <v>1649</v>
      </c>
      <c r="C387" s="31" t="s">
        <v>57</v>
      </c>
      <c r="D387" s="31">
        <v>7.0</v>
      </c>
      <c r="E387" s="31">
        <v>20.0</v>
      </c>
      <c r="F387" s="31">
        <v>0.0</v>
      </c>
      <c r="G387" s="34">
        <f t="shared" ref="G387:G394" si="65">E387-F387-D387</f>
        <v>13</v>
      </c>
      <c r="H387" s="31" t="s">
        <v>1190</v>
      </c>
      <c r="I387" s="34"/>
      <c r="J387" s="35"/>
      <c r="K387" s="34"/>
      <c r="L387" s="34"/>
      <c r="M387" s="34"/>
      <c r="N387" s="34"/>
      <c r="O387" s="34"/>
      <c r="P387" s="34"/>
      <c r="Q387" s="34"/>
      <c r="R387" s="34"/>
      <c r="S387" s="34"/>
      <c r="T387" s="34"/>
      <c r="U387" s="34"/>
      <c r="V387" s="34"/>
      <c r="W387" s="34"/>
      <c r="X387" s="34"/>
      <c r="Y387" s="34"/>
      <c r="Z387" s="34"/>
    </row>
    <row r="388">
      <c r="A388" s="31" t="s">
        <v>631</v>
      </c>
      <c r="B388" s="31" t="s">
        <v>1650</v>
      </c>
      <c r="C388" s="31" t="s">
        <v>51</v>
      </c>
      <c r="D388" s="31">
        <v>10.0</v>
      </c>
      <c r="E388" s="31">
        <v>35.0</v>
      </c>
      <c r="F388" s="31">
        <v>0.0</v>
      </c>
      <c r="G388" s="34">
        <f t="shared" si="65"/>
        <v>25</v>
      </c>
      <c r="H388" s="31" t="s">
        <v>1190</v>
      </c>
      <c r="I388" s="34"/>
      <c r="J388" s="35"/>
      <c r="K388" s="34"/>
      <c r="L388" s="34"/>
      <c r="M388" s="34"/>
      <c r="N388" s="34"/>
      <c r="O388" s="34"/>
      <c r="P388" s="34"/>
      <c r="Q388" s="34"/>
      <c r="R388" s="34"/>
      <c r="S388" s="34"/>
      <c r="T388" s="34"/>
      <c r="U388" s="34"/>
      <c r="V388" s="34"/>
      <c r="W388" s="34"/>
      <c r="X388" s="34"/>
      <c r="Y388" s="34"/>
      <c r="Z388" s="34"/>
    </row>
    <row r="389">
      <c r="A389" s="31" t="s">
        <v>631</v>
      </c>
      <c r="B389" s="31" t="s">
        <v>1651</v>
      </c>
      <c r="C389" s="31" t="s">
        <v>66</v>
      </c>
      <c r="D389" s="31">
        <v>9.0</v>
      </c>
      <c r="E389" s="31">
        <v>15.0</v>
      </c>
      <c r="F389" s="31">
        <v>0.0</v>
      </c>
      <c r="G389" s="34">
        <f t="shared" si="65"/>
        <v>6</v>
      </c>
      <c r="H389" s="31" t="s">
        <v>1190</v>
      </c>
      <c r="I389" s="34"/>
      <c r="J389" s="35"/>
      <c r="K389" s="34"/>
      <c r="L389" s="34"/>
      <c r="M389" s="34"/>
      <c r="N389" s="34"/>
      <c r="O389" s="34"/>
      <c r="P389" s="34"/>
      <c r="Q389" s="34"/>
      <c r="R389" s="34"/>
      <c r="S389" s="34"/>
      <c r="T389" s="34"/>
      <c r="U389" s="34"/>
      <c r="V389" s="34"/>
      <c r="W389" s="34"/>
      <c r="X389" s="34"/>
      <c r="Y389" s="34"/>
      <c r="Z389" s="34"/>
    </row>
    <row r="390">
      <c r="A390" s="31" t="s">
        <v>631</v>
      </c>
      <c r="B390" s="31" t="s">
        <v>1652</v>
      </c>
      <c r="C390" s="31" t="s">
        <v>51</v>
      </c>
      <c r="D390" s="31">
        <v>2.5</v>
      </c>
      <c r="E390" s="31">
        <v>20.0</v>
      </c>
      <c r="F390" s="31">
        <v>0.0</v>
      </c>
      <c r="G390" s="34">
        <f t="shared" si="65"/>
        <v>17.5</v>
      </c>
      <c r="H390" s="31" t="s">
        <v>1190</v>
      </c>
      <c r="I390" s="34"/>
      <c r="J390" s="35"/>
      <c r="K390" s="34"/>
      <c r="L390" s="34"/>
      <c r="M390" s="34"/>
      <c r="N390" s="34"/>
      <c r="O390" s="34"/>
      <c r="P390" s="34"/>
      <c r="Q390" s="34"/>
      <c r="R390" s="34"/>
      <c r="S390" s="34"/>
      <c r="T390" s="34"/>
      <c r="U390" s="34"/>
      <c r="V390" s="34"/>
      <c r="W390" s="34"/>
      <c r="X390" s="34"/>
      <c r="Y390" s="34"/>
      <c r="Z390" s="34"/>
    </row>
    <row r="391">
      <c r="A391" s="31" t="s">
        <v>631</v>
      </c>
      <c r="B391" s="31" t="s">
        <v>1653</v>
      </c>
      <c r="C391" s="31" t="s">
        <v>51</v>
      </c>
      <c r="D391" s="31">
        <v>7.3</v>
      </c>
      <c r="E391" s="31">
        <v>25.0</v>
      </c>
      <c r="F391" s="31">
        <v>0.0</v>
      </c>
      <c r="G391" s="34">
        <f t="shared" si="65"/>
        <v>17.7</v>
      </c>
      <c r="H391" s="34"/>
      <c r="I391" s="34"/>
      <c r="J391" s="35"/>
      <c r="K391" s="34"/>
      <c r="L391" s="34"/>
      <c r="M391" s="34"/>
      <c r="N391" s="34"/>
      <c r="O391" s="34"/>
      <c r="P391" s="34"/>
      <c r="Q391" s="34"/>
      <c r="R391" s="34"/>
      <c r="S391" s="34"/>
      <c r="T391" s="34"/>
      <c r="U391" s="34"/>
      <c r="V391" s="34"/>
      <c r="W391" s="34"/>
      <c r="X391" s="34"/>
      <c r="Y391" s="34"/>
      <c r="Z391" s="34"/>
    </row>
    <row r="392">
      <c r="A392" s="57" t="s">
        <v>631</v>
      </c>
      <c r="B392" s="57" t="s">
        <v>1654</v>
      </c>
      <c r="C392" s="57" t="s">
        <v>57</v>
      </c>
      <c r="D392" s="57">
        <v>13.0</v>
      </c>
      <c r="E392" s="57">
        <v>60.0</v>
      </c>
      <c r="F392" s="57">
        <v>9.37</v>
      </c>
      <c r="G392" s="58">
        <f t="shared" si="65"/>
        <v>37.63</v>
      </c>
      <c r="H392" s="58"/>
      <c r="I392" s="57" t="s">
        <v>1655</v>
      </c>
      <c r="J392" s="59"/>
      <c r="K392" s="58"/>
      <c r="L392" s="58"/>
      <c r="M392" s="58"/>
      <c r="N392" s="58"/>
      <c r="O392" s="58"/>
      <c r="P392" s="58"/>
      <c r="Q392" s="58"/>
      <c r="R392" s="58"/>
      <c r="S392" s="58"/>
      <c r="T392" s="58"/>
      <c r="U392" s="58"/>
      <c r="V392" s="58"/>
      <c r="W392" s="58"/>
      <c r="X392" s="58"/>
      <c r="Y392" s="58"/>
      <c r="Z392" s="58"/>
    </row>
    <row r="393">
      <c r="A393" s="31" t="s">
        <v>631</v>
      </c>
      <c r="B393" s="31" t="s">
        <v>1656</v>
      </c>
      <c r="C393" s="31" t="s">
        <v>57</v>
      </c>
      <c r="D393" s="31">
        <v>7.0</v>
      </c>
      <c r="E393" s="31">
        <v>48.51</v>
      </c>
      <c r="F393" s="31">
        <v>9.27</v>
      </c>
      <c r="G393" s="34">
        <f t="shared" si="65"/>
        <v>32.24</v>
      </c>
      <c r="H393" s="34"/>
      <c r="I393" s="34"/>
      <c r="J393" s="35"/>
      <c r="K393" s="34"/>
      <c r="L393" s="34"/>
      <c r="M393" s="34"/>
      <c r="N393" s="34"/>
      <c r="O393" s="34"/>
      <c r="P393" s="34"/>
      <c r="Q393" s="34"/>
      <c r="R393" s="34"/>
      <c r="S393" s="34"/>
      <c r="T393" s="34"/>
      <c r="U393" s="34"/>
      <c r="V393" s="34"/>
      <c r="W393" s="34"/>
      <c r="X393" s="34"/>
      <c r="Y393" s="34"/>
      <c r="Z393" s="34"/>
    </row>
    <row r="394">
      <c r="A394" s="57" t="s">
        <v>1657</v>
      </c>
      <c r="B394" s="57" t="s">
        <v>1658</v>
      </c>
      <c r="C394" s="57" t="s">
        <v>51</v>
      </c>
      <c r="D394" s="57">
        <v>0.0</v>
      </c>
      <c r="E394" s="57">
        <v>20.0</v>
      </c>
      <c r="F394" s="57">
        <v>0.0</v>
      </c>
      <c r="G394" s="58">
        <f t="shared" si="65"/>
        <v>20</v>
      </c>
      <c r="H394" s="58"/>
      <c r="I394" s="58"/>
      <c r="J394" s="59"/>
      <c r="K394" s="58"/>
      <c r="L394" s="58"/>
      <c r="M394" s="58"/>
      <c r="N394" s="58"/>
      <c r="O394" s="58"/>
      <c r="P394" s="58"/>
      <c r="Q394" s="58"/>
      <c r="R394" s="58"/>
      <c r="S394" s="58"/>
      <c r="T394" s="58"/>
      <c r="U394" s="58"/>
      <c r="V394" s="58"/>
      <c r="W394" s="58"/>
      <c r="X394" s="58"/>
      <c r="Y394" s="58"/>
      <c r="Z394" s="58"/>
    </row>
    <row r="395">
      <c r="A395" s="10" t="s">
        <v>640</v>
      </c>
      <c r="B395" s="10" t="s">
        <v>1659</v>
      </c>
      <c r="C395" s="10" t="s">
        <v>51</v>
      </c>
      <c r="D395" s="10">
        <v>9.0</v>
      </c>
      <c r="E395" s="10">
        <v>20.0</v>
      </c>
      <c r="F395" s="10">
        <v>0.0</v>
      </c>
      <c r="G395" s="11">
        <f>E395-D395</f>
        <v>11</v>
      </c>
      <c r="H395" s="49">
        <v>45976.0</v>
      </c>
      <c r="I395" s="11"/>
      <c r="J395" s="12"/>
      <c r="K395" s="11"/>
      <c r="L395" s="11"/>
      <c r="M395" s="11"/>
      <c r="N395" s="11"/>
      <c r="O395" s="11"/>
      <c r="P395" s="11"/>
      <c r="Q395" s="11"/>
      <c r="R395" s="11"/>
      <c r="S395" s="11"/>
      <c r="T395" s="11"/>
      <c r="U395" s="11"/>
      <c r="V395" s="11"/>
      <c r="W395" s="11"/>
      <c r="X395" s="11"/>
      <c r="Y395" s="11"/>
      <c r="Z395" s="11"/>
    </row>
    <row r="396">
      <c r="A396" s="31" t="s">
        <v>640</v>
      </c>
      <c r="B396" s="31" t="s">
        <v>1660</v>
      </c>
      <c r="C396" s="31" t="s">
        <v>51</v>
      </c>
      <c r="D396" s="31"/>
      <c r="E396" s="34"/>
      <c r="F396" s="34"/>
      <c r="G396" s="34"/>
      <c r="H396" s="31" t="s">
        <v>1195</v>
      </c>
      <c r="I396" s="34"/>
      <c r="J396" s="35"/>
      <c r="K396" s="34"/>
      <c r="L396" s="34"/>
      <c r="M396" s="34"/>
      <c r="N396" s="34"/>
      <c r="O396" s="34"/>
      <c r="P396" s="34"/>
      <c r="Q396" s="34"/>
      <c r="R396" s="34"/>
      <c r="S396" s="34"/>
      <c r="T396" s="34"/>
      <c r="U396" s="34"/>
      <c r="V396" s="34"/>
      <c r="W396" s="34"/>
      <c r="X396" s="34"/>
      <c r="Y396" s="34"/>
      <c r="Z396" s="34"/>
    </row>
    <row r="397">
      <c r="A397" s="31" t="s">
        <v>640</v>
      </c>
      <c r="B397" s="31" t="s">
        <v>1661</v>
      </c>
      <c r="C397" s="31" t="s">
        <v>57</v>
      </c>
      <c r="D397" s="31"/>
      <c r="E397" s="34"/>
      <c r="F397" s="34"/>
      <c r="G397" s="34"/>
      <c r="H397" s="31" t="s">
        <v>1195</v>
      </c>
      <c r="I397" s="34"/>
      <c r="J397" s="35"/>
      <c r="K397" s="34"/>
      <c r="L397" s="34"/>
      <c r="M397" s="34"/>
      <c r="N397" s="34"/>
      <c r="O397" s="34"/>
      <c r="P397" s="34"/>
      <c r="Q397" s="34"/>
      <c r="R397" s="34"/>
      <c r="S397" s="34"/>
      <c r="T397" s="34"/>
      <c r="U397" s="34"/>
      <c r="V397" s="34"/>
      <c r="W397" s="34"/>
      <c r="X397" s="34"/>
      <c r="Y397" s="34"/>
      <c r="Z397" s="34"/>
    </row>
    <row r="398">
      <c r="A398" s="31" t="s">
        <v>1662</v>
      </c>
      <c r="B398" s="31" t="s">
        <v>1663</v>
      </c>
      <c r="C398" s="31" t="s">
        <v>66</v>
      </c>
      <c r="D398" s="31">
        <v>6.0</v>
      </c>
      <c r="E398" s="31">
        <v>15.0</v>
      </c>
      <c r="F398" s="31">
        <v>0.0</v>
      </c>
      <c r="G398" s="34">
        <f t="shared" ref="G398:G400" si="66">E398-F398-D398</f>
        <v>9</v>
      </c>
      <c r="H398" s="36">
        <v>46131.0</v>
      </c>
      <c r="I398" s="34"/>
      <c r="J398" s="35"/>
      <c r="K398" s="34"/>
      <c r="L398" s="34"/>
      <c r="M398" s="34"/>
      <c r="N398" s="34"/>
      <c r="O398" s="34"/>
      <c r="P398" s="34"/>
      <c r="Q398" s="34"/>
      <c r="R398" s="34"/>
      <c r="S398" s="34"/>
      <c r="T398" s="34"/>
      <c r="U398" s="34"/>
      <c r="V398" s="34"/>
      <c r="W398" s="34"/>
      <c r="X398" s="34"/>
      <c r="Y398" s="34"/>
      <c r="Z398" s="34"/>
    </row>
    <row r="399">
      <c r="A399" s="31" t="s">
        <v>1664</v>
      </c>
      <c r="B399" s="31" t="s">
        <v>1665</v>
      </c>
      <c r="C399" s="31" t="s">
        <v>1666</v>
      </c>
      <c r="D399" s="31">
        <v>13.0</v>
      </c>
      <c r="E399" s="31">
        <v>40.0</v>
      </c>
      <c r="F399" s="31">
        <v>0.0</v>
      </c>
      <c r="G399" s="34">
        <f t="shared" si="66"/>
        <v>27</v>
      </c>
      <c r="H399" s="31" t="s">
        <v>1190</v>
      </c>
      <c r="I399" s="34"/>
      <c r="J399" s="35"/>
      <c r="K399" s="34"/>
      <c r="L399" s="34"/>
      <c r="M399" s="34"/>
      <c r="N399" s="34"/>
      <c r="O399" s="34"/>
      <c r="P399" s="34"/>
      <c r="Q399" s="34"/>
      <c r="R399" s="34"/>
      <c r="S399" s="34"/>
      <c r="T399" s="34"/>
      <c r="U399" s="34"/>
      <c r="V399" s="34"/>
      <c r="W399" s="34"/>
      <c r="X399" s="34"/>
      <c r="Y399" s="34"/>
      <c r="Z399" s="34"/>
    </row>
    <row r="400">
      <c r="A400" s="10" t="s">
        <v>647</v>
      </c>
      <c r="B400" s="10" t="s">
        <v>1667</v>
      </c>
      <c r="C400" s="10" t="s">
        <v>51</v>
      </c>
      <c r="D400" s="10">
        <v>6.0</v>
      </c>
      <c r="E400" s="10">
        <v>35.0</v>
      </c>
      <c r="F400" s="10">
        <v>0.0</v>
      </c>
      <c r="G400" s="11">
        <f t="shared" si="66"/>
        <v>29</v>
      </c>
      <c r="H400" s="49">
        <v>45976.0</v>
      </c>
      <c r="I400" s="11"/>
      <c r="J400" s="12"/>
      <c r="K400" s="11"/>
      <c r="L400" s="11"/>
      <c r="M400" s="11"/>
      <c r="N400" s="11"/>
      <c r="O400" s="11"/>
      <c r="P400" s="11"/>
      <c r="Q400" s="11"/>
      <c r="R400" s="11"/>
      <c r="S400" s="11"/>
      <c r="T400" s="11"/>
      <c r="U400" s="11"/>
      <c r="V400" s="11"/>
      <c r="W400" s="11"/>
      <c r="X400" s="11"/>
      <c r="Y400" s="11"/>
      <c r="Z400" s="11"/>
    </row>
    <row r="401">
      <c r="A401" s="10" t="s">
        <v>1668</v>
      </c>
      <c r="B401" s="10" t="s">
        <v>1669</v>
      </c>
      <c r="C401" s="10" t="s">
        <v>57</v>
      </c>
      <c r="D401" s="10"/>
      <c r="E401" s="10" t="s">
        <v>1670</v>
      </c>
      <c r="F401" s="11"/>
      <c r="G401" s="11"/>
      <c r="H401" s="68">
        <v>45935.0</v>
      </c>
      <c r="I401" s="11"/>
      <c r="J401" s="12"/>
      <c r="K401" s="11"/>
      <c r="L401" s="11"/>
      <c r="M401" s="11"/>
      <c r="N401" s="11"/>
      <c r="O401" s="11"/>
      <c r="P401" s="11"/>
      <c r="Q401" s="11"/>
      <c r="R401" s="11"/>
      <c r="S401" s="11"/>
      <c r="T401" s="11"/>
      <c r="U401" s="11"/>
      <c r="V401" s="11"/>
      <c r="W401" s="11"/>
      <c r="X401" s="11"/>
      <c r="Y401" s="11"/>
      <c r="Z401" s="11"/>
    </row>
    <row r="402">
      <c r="A402" s="31" t="s">
        <v>648</v>
      </c>
      <c r="B402" s="31" t="s">
        <v>1671</v>
      </c>
      <c r="C402" s="31">
        <v>4.0</v>
      </c>
      <c r="D402" s="31">
        <v>7.0</v>
      </c>
      <c r="E402" s="34"/>
      <c r="F402" s="34"/>
      <c r="G402" s="34"/>
      <c r="H402" s="36">
        <v>45767.0</v>
      </c>
      <c r="I402" s="34"/>
      <c r="J402" s="35"/>
      <c r="K402" s="34"/>
      <c r="L402" s="34"/>
      <c r="M402" s="34"/>
      <c r="N402" s="34"/>
      <c r="O402" s="34"/>
      <c r="P402" s="34"/>
      <c r="Q402" s="34"/>
      <c r="R402" s="34"/>
      <c r="S402" s="34"/>
      <c r="T402" s="34"/>
      <c r="U402" s="34"/>
      <c r="V402" s="34"/>
      <c r="W402" s="34"/>
      <c r="X402" s="34"/>
      <c r="Y402" s="34"/>
      <c r="Z402" s="34"/>
    </row>
    <row r="403">
      <c r="A403" s="31" t="s">
        <v>648</v>
      </c>
      <c r="B403" s="31" t="s">
        <v>1672</v>
      </c>
      <c r="C403" s="31">
        <v>4.0</v>
      </c>
      <c r="D403" s="31">
        <v>6.3</v>
      </c>
      <c r="E403" s="34"/>
      <c r="F403" s="34"/>
      <c r="G403" s="34"/>
      <c r="H403" s="36">
        <v>45767.0</v>
      </c>
      <c r="I403" s="34"/>
      <c r="J403" s="35"/>
      <c r="K403" s="34"/>
      <c r="L403" s="34"/>
      <c r="M403" s="34"/>
      <c r="N403" s="34"/>
      <c r="O403" s="34"/>
      <c r="P403" s="34"/>
      <c r="Q403" s="34"/>
      <c r="R403" s="34"/>
      <c r="S403" s="34"/>
      <c r="T403" s="34"/>
      <c r="U403" s="34"/>
      <c r="V403" s="34"/>
      <c r="W403" s="34"/>
      <c r="X403" s="34"/>
      <c r="Y403" s="34"/>
      <c r="Z403" s="34"/>
    </row>
    <row r="404">
      <c r="A404" s="45" t="s">
        <v>652</v>
      </c>
      <c r="B404" s="45" t="s">
        <v>1673</v>
      </c>
      <c r="C404" s="45" t="s">
        <v>51</v>
      </c>
      <c r="D404" s="45">
        <v>7.0</v>
      </c>
      <c r="E404" s="45">
        <v>15.0</v>
      </c>
      <c r="F404" s="45">
        <v>0.0</v>
      </c>
      <c r="G404" s="46">
        <f t="shared" ref="G404:G420" si="67">E404-F404-D404</f>
        <v>8</v>
      </c>
      <c r="H404" s="47">
        <v>46096.0</v>
      </c>
      <c r="I404" s="46"/>
      <c r="J404" s="48"/>
      <c r="K404" s="46"/>
      <c r="L404" s="46"/>
      <c r="M404" s="46"/>
      <c r="N404" s="46"/>
      <c r="O404" s="46"/>
      <c r="P404" s="46"/>
      <c r="Q404" s="46"/>
      <c r="R404" s="46"/>
      <c r="S404" s="46"/>
      <c r="T404" s="46"/>
      <c r="U404" s="46"/>
      <c r="V404" s="46"/>
      <c r="W404" s="46"/>
      <c r="X404" s="46"/>
      <c r="Y404" s="46"/>
      <c r="Z404" s="46"/>
    </row>
    <row r="405">
      <c r="A405" s="45" t="s">
        <v>652</v>
      </c>
      <c r="B405" s="45" t="s">
        <v>1674</v>
      </c>
      <c r="C405" s="45" t="s">
        <v>66</v>
      </c>
      <c r="D405" s="45">
        <v>15.0</v>
      </c>
      <c r="E405" s="45">
        <v>30.0</v>
      </c>
      <c r="F405" s="45">
        <v>0.0</v>
      </c>
      <c r="G405" s="46">
        <f t="shared" si="67"/>
        <v>15</v>
      </c>
      <c r="H405" s="47">
        <v>46096.0</v>
      </c>
      <c r="I405" s="46"/>
      <c r="J405" s="48"/>
      <c r="K405" s="46"/>
      <c r="L405" s="46"/>
      <c r="M405" s="46"/>
      <c r="N405" s="46"/>
      <c r="O405" s="46"/>
      <c r="P405" s="46"/>
      <c r="Q405" s="46"/>
      <c r="R405" s="46"/>
      <c r="S405" s="46"/>
      <c r="T405" s="46"/>
      <c r="U405" s="46"/>
      <c r="V405" s="46"/>
      <c r="W405" s="46"/>
      <c r="X405" s="46"/>
      <c r="Y405" s="46"/>
      <c r="Z405" s="46"/>
    </row>
    <row r="406">
      <c r="A406" s="45" t="s">
        <v>652</v>
      </c>
      <c r="B406" s="45" t="s">
        <v>1675</v>
      </c>
      <c r="C406" s="45" t="s">
        <v>95</v>
      </c>
      <c r="D406" s="45">
        <v>6.0</v>
      </c>
      <c r="E406" s="45">
        <v>25.0</v>
      </c>
      <c r="F406" s="45">
        <v>0.0</v>
      </c>
      <c r="G406" s="46">
        <f t="shared" si="67"/>
        <v>19</v>
      </c>
      <c r="H406" s="47">
        <v>46096.0</v>
      </c>
      <c r="I406" s="46"/>
      <c r="J406" s="48"/>
      <c r="K406" s="46"/>
      <c r="L406" s="46"/>
      <c r="M406" s="46"/>
      <c r="N406" s="46"/>
      <c r="O406" s="46"/>
      <c r="P406" s="46"/>
      <c r="Q406" s="46"/>
      <c r="R406" s="46"/>
      <c r="S406" s="46"/>
      <c r="T406" s="46"/>
      <c r="U406" s="46"/>
      <c r="V406" s="46"/>
      <c r="W406" s="46"/>
      <c r="X406" s="46"/>
      <c r="Y406" s="46"/>
      <c r="Z406" s="46"/>
    </row>
    <row r="407">
      <c r="A407" s="45" t="s">
        <v>652</v>
      </c>
      <c r="B407" s="45" t="s">
        <v>1676</v>
      </c>
      <c r="C407" s="45" t="s">
        <v>57</v>
      </c>
      <c r="D407" s="45">
        <v>16.0</v>
      </c>
      <c r="E407" s="45">
        <v>40.0</v>
      </c>
      <c r="F407" s="45">
        <v>0.0</v>
      </c>
      <c r="G407" s="46">
        <f t="shared" si="67"/>
        <v>24</v>
      </c>
      <c r="H407" s="47">
        <v>46096.0</v>
      </c>
      <c r="I407" s="45" t="s">
        <v>1677</v>
      </c>
      <c r="J407" s="48"/>
      <c r="K407" s="46"/>
      <c r="L407" s="46"/>
      <c r="M407" s="46"/>
      <c r="N407" s="46"/>
      <c r="O407" s="46"/>
      <c r="P407" s="46"/>
      <c r="Q407" s="46"/>
      <c r="R407" s="46"/>
      <c r="S407" s="46"/>
      <c r="T407" s="46"/>
      <c r="U407" s="46"/>
      <c r="V407" s="46"/>
      <c r="W407" s="46"/>
      <c r="X407" s="46"/>
      <c r="Y407" s="46"/>
      <c r="Z407" s="46"/>
    </row>
    <row r="408">
      <c r="A408" s="45" t="s">
        <v>652</v>
      </c>
      <c r="B408" s="45" t="s">
        <v>1678</v>
      </c>
      <c r="C408" s="45">
        <v>2.0</v>
      </c>
      <c r="D408" s="45">
        <v>6.0</v>
      </c>
      <c r="E408" s="45">
        <v>30.0</v>
      </c>
      <c r="F408" s="45">
        <v>0.0</v>
      </c>
      <c r="G408" s="46">
        <f t="shared" si="67"/>
        <v>24</v>
      </c>
      <c r="H408" s="47">
        <v>46096.0</v>
      </c>
      <c r="I408" s="45"/>
      <c r="J408" s="48"/>
      <c r="K408" s="46"/>
      <c r="L408" s="46"/>
      <c r="M408" s="46"/>
      <c r="N408" s="46"/>
      <c r="O408" s="46"/>
      <c r="P408" s="46"/>
      <c r="Q408" s="46"/>
      <c r="R408" s="46"/>
      <c r="S408" s="46"/>
      <c r="T408" s="46"/>
      <c r="U408" s="46"/>
      <c r="V408" s="46"/>
      <c r="W408" s="46"/>
      <c r="X408" s="46"/>
      <c r="Y408" s="46"/>
      <c r="Z408" s="46"/>
    </row>
    <row r="409">
      <c r="A409" s="45" t="s">
        <v>652</v>
      </c>
      <c r="B409" s="45" t="s">
        <v>1679</v>
      </c>
      <c r="C409" s="45" t="s">
        <v>57</v>
      </c>
      <c r="D409" s="45">
        <v>4.5</v>
      </c>
      <c r="E409" s="45">
        <v>30.0</v>
      </c>
      <c r="F409" s="45">
        <v>0.0</v>
      </c>
      <c r="G409" s="46">
        <f t="shared" si="67"/>
        <v>25.5</v>
      </c>
      <c r="H409" s="47">
        <v>46096.0</v>
      </c>
      <c r="I409" s="45"/>
      <c r="J409" s="48"/>
      <c r="K409" s="46"/>
      <c r="L409" s="46"/>
      <c r="M409" s="46"/>
      <c r="N409" s="46"/>
      <c r="O409" s="46"/>
      <c r="P409" s="46"/>
      <c r="Q409" s="46"/>
      <c r="R409" s="46"/>
      <c r="S409" s="46"/>
      <c r="T409" s="46"/>
      <c r="U409" s="46"/>
      <c r="V409" s="46"/>
      <c r="W409" s="46"/>
      <c r="X409" s="46"/>
      <c r="Y409" s="46"/>
      <c r="Z409" s="46"/>
    </row>
    <row r="410">
      <c r="A410" s="45" t="s">
        <v>652</v>
      </c>
      <c r="B410" s="45" t="s">
        <v>1680</v>
      </c>
      <c r="C410" s="45" t="s">
        <v>51</v>
      </c>
      <c r="D410" s="45">
        <v>8.0</v>
      </c>
      <c r="E410" s="45">
        <v>25.0</v>
      </c>
      <c r="F410" s="45">
        <v>0.0</v>
      </c>
      <c r="G410" s="46">
        <f t="shared" si="67"/>
        <v>17</v>
      </c>
      <c r="H410" s="47">
        <v>46096.0</v>
      </c>
      <c r="I410" s="45"/>
      <c r="J410" s="48"/>
      <c r="K410" s="46"/>
      <c r="L410" s="46"/>
      <c r="M410" s="46"/>
      <c r="N410" s="46"/>
      <c r="O410" s="46"/>
      <c r="P410" s="46"/>
      <c r="Q410" s="46"/>
      <c r="R410" s="46"/>
      <c r="S410" s="46"/>
      <c r="T410" s="46"/>
      <c r="U410" s="46"/>
      <c r="V410" s="46"/>
      <c r="W410" s="46"/>
      <c r="X410" s="46"/>
      <c r="Y410" s="46"/>
      <c r="Z410" s="46"/>
    </row>
    <row r="411">
      <c r="A411" s="45" t="s">
        <v>652</v>
      </c>
      <c r="B411" s="45" t="s">
        <v>1681</v>
      </c>
      <c r="C411" s="45" t="s">
        <v>51</v>
      </c>
      <c r="D411" s="45">
        <v>7.0</v>
      </c>
      <c r="E411" s="45">
        <v>25.0</v>
      </c>
      <c r="F411" s="45">
        <v>0.0</v>
      </c>
      <c r="G411" s="46">
        <f t="shared" si="67"/>
        <v>18</v>
      </c>
      <c r="H411" s="47">
        <v>46047.0</v>
      </c>
      <c r="I411" s="46"/>
      <c r="J411" s="48"/>
      <c r="K411" s="46"/>
      <c r="L411" s="46"/>
      <c r="M411" s="46"/>
      <c r="N411" s="46"/>
      <c r="O411" s="46"/>
      <c r="P411" s="46"/>
      <c r="Q411" s="46"/>
      <c r="R411" s="46"/>
      <c r="S411" s="46"/>
      <c r="T411" s="46"/>
      <c r="U411" s="46"/>
      <c r="V411" s="46"/>
      <c r="W411" s="46"/>
      <c r="X411" s="46"/>
      <c r="Y411" s="46"/>
      <c r="Z411" s="46"/>
    </row>
    <row r="412">
      <c r="A412" s="45" t="s">
        <v>652</v>
      </c>
      <c r="B412" s="45" t="s">
        <v>1682</v>
      </c>
      <c r="C412" s="45" t="s">
        <v>51</v>
      </c>
      <c r="D412" s="45">
        <v>7.3</v>
      </c>
      <c r="E412" s="45">
        <v>30.0</v>
      </c>
      <c r="F412" s="45">
        <v>0.0</v>
      </c>
      <c r="G412" s="46">
        <f t="shared" si="67"/>
        <v>22.7</v>
      </c>
      <c r="H412" s="47">
        <v>46047.0</v>
      </c>
      <c r="I412" s="46"/>
      <c r="J412" s="48"/>
      <c r="K412" s="46"/>
      <c r="L412" s="46"/>
      <c r="M412" s="46"/>
      <c r="N412" s="46"/>
      <c r="O412" s="46"/>
      <c r="P412" s="46"/>
      <c r="Q412" s="46"/>
      <c r="R412" s="46"/>
      <c r="S412" s="46"/>
      <c r="T412" s="46"/>
      <c r="U412" s="46"/>
      <c r="V412" s="46"/>
      <c r="W412" s="46"/>
      <c r="X412" s="46"/>
      <c r="Y412" s="46"/>
      <c r="Z412" s="46"/>
    </row>
    <row r="413">
      <c r="A413" s="45" t="s">
        <v>652</v>
      </c>
      <c r="B413" s="45" t="s">
        <v>1683</v>
      </c>
      <c r="C413" s="45" t="s">
        <v>51</v>
      </c>
      <c r="D413" s="45">
        <v>10.0</v>
      </c>
      <c r="E413" s="45">
        <v>30.0</v>
      </c>
      <c r="F413" s="45">
        <v>0.0</v>
      </c>
      <c r="G413" s="46">
        <f t="shared" si="67"/>
        <v>20</v>
      </c>
      <c r="H413" s="47">
        <v>46047.0</v>
      </c>
      <c r="I413" s="46"/>
      <c r="J413" s="48"/>
      <c r="K413" s="46"/>
      <c r="L413" s="46"/>
      <c r="M413" s="46"/>
      <c r="N413" s="46"/>
      <c r="O413" s="46"/>
      <c r="P413" s="46"/>
      <c r="Q413" s="46"/>
      <c r="R413" s="46"/>
      <c r="S413" s="46"/>
      <c r="T413" s="46"/>
      <c r="U413" s="46"/>
      <c r="V413" s="46"/>
      <c r="W413" s="46"/>
      <c r="X413" s="46"/>
      <c r="Y413" s="46"/>
      <c r="Z413" s="46"/>
    </row>
    <row r="414">
      <c r="A414" s="45" t="s">
        <v>652</v>
      </c>
      <c r="B414" s="45" t="s">
        <v>1684</v>
      </c>
      <c r="C414" s="45" t="s">
        <v>51</v>
      </c>
      <c r="D414" s="45">
        <v>7.3</v>
      </c>
      <c r="E414" s="45">
        <v>40.0</v>
      </c>
      <c r="F414" s="45">
        <v>0.0</v>
      </c>
      <c r="G414" s="46">
        <f t="shared" si="67"/>
        <v>32.7</v>
      </c>
      <c r="H414" s="47">
        <v>46047.0</v>
      </c>
      <c r="I414" s="46"/>
      <c r="J414" s="48"/>
      <c r="K414" s="46"/>
      <c r="L414" s="46"/>
      <c r="M414" s="46"/>
      <c r="N414" s="46"/>
      <c r="O414" s="46"/>
      <c r="P414" s="46"/>
      <c r="Q414" s="46"/>
      <c r="R414" s="46"/>
      <c r="S414" s="46"/>
      <c r="T414" s="46"/>
      <c r="U414" s="46"/>
      <c r="V414" s="46"/>
      <c r="W414" s="46"/>
      <c r="X414" s="46"/>
      <c r="Y414" s="46"/>
      <c r="Z414" s="46"/>
    </row>
    <row r="415">
      <c r="A415" s="45" t="s">
        <v>652</v>
      </c>
      <c r="B415" s="45" t="s">
        <v>1685</v>
      </c>
      <c r="C415" s="45" t="s">
        <v>95</v>
      </c>
      <c r="D415" s="45">
        <v>6.5</v>
      </c>
      <c r="E415" s="45">
        <v>25.0</v>
      </c>
      <c r="F415" s="45">
        <v>0.0</v>
      </c>
      <c r="G415" s="46">
        <f t="shared" si="67"/>
        <v>18.5</v>
      </c>
      <c r="H415" s="47">
        <v>46047.0</v>
      </c>
      <c r="I415" s="46"/>
      <c r="J415" s="48"/>
      <c r="K415" s="46"/>
      <c r="L415" s="46"/>
      <c r="M415" s="46"/>
      <c r="N415" s="46"/>
      <c r="O415" s="46"/>
      <c r="P415" s="46"/>
      <c r="Q415" s="46"/>
      <c r="R415" s="46"/>
      <c r="S415" s="46"/>
      <c r="T415" s="46"/>
      <c r="U415" s="46"/>
      <c r="V415" s="46"/>
      <c r="W415" s="46"/>
      <c r="X415" s="46"/>
      <c r="Y415" s="46"/>
      <c r="Z415" s="46"/>
    </row>
    <row r="416">
      <c r="A416" s="45" t="s">
        <v>652</v>
      </c>
      <c r="B416" s="45" t="s">
        <v>930</v>
      </c>
      <c r="C416" s="45" t="s">
        <v>51</v>
      </c>
      <c r="D416" s="45">
        <v>3.5</v>
      </c>
      <c r="E416" s="45">
        <v>25.0</v>
      </c>
      <c r="F416" s="45">
        <v>0.0</v>
      </c>
      <c r="G416" s="46">
        <f t="shared" si="67"/>
        <v>21.5</v>
      </c>
      <c r="H416" s="47">
        <v>46047.0</v>
      </c>
      <c r="I416" s="46"/>
      <c r="J416" s="48"/>
      <c r="K416" s="46"/>
      <c r="L416" s="46"/>
      <c r="M416" s="46"/>
      <c r="N416" s="46"/>
      <c r="O416" s="46"/>
      <c r="P416" s="46"/>
      <c r="Q416" s="46"/>
      <c r="R416" s="46"/>
      <c r="S416" s="46"/>
      <c r="T416" s="46"/>
      <c r="U416" s="46"/>
      <c r="V416" s="46"/>
      <c r="W416" s="46"/>
      <c r="X416" s="46"/>
      <c r="Y416" s="46"/>
      <c r="Z416" s="46"/>
    </row>
    <row r="417">
      <c r="A417" s="45" t="s">
        <v>652</v>
      </c>
      <c r="B417" s="45" t="s">
        <v>1686</v>
      </c>
      <c r="C417" s="45" t="s">
        <v>51</v>
      </c>
      <c r="D417" s="45">
        <v>4.8</v>
      </c>
      <c r="E417" s="45">
        <v>30.0</v>
      </c>
      <c r="F417" s="45">
        <v>0.0</v>
      </c>
      <c r="G417" s="46">
        <f t="shared" si="67"/>
        <v>25.2</v>
      </c>
      <c r="H417" s="47">
        <v>46047.0</v>
      </c>
      <c r="I417" s="46"/>
      <c r="J417" s="48"/>
      <c r="K417" s="46"/>
      <c r="L417" s="46"/>
      <c r="M417" s="46"/>
      <c r="N417" s="46"/>
      <c r="O417" s="46"/>
      <c r="P417" s="46"/>
      <c r="Q417" s="46"/>
      <c r="R417" s="46"/>
      <c r="S417" s="46"/>
      <c r="T417" s="46"/>
      <c r="U417" s="46"/>
      <c r="V417" s="46"/>
      <c r="W417" s="46"/>
      <c r="X417" s="46"/>
      <c r="Y417" s="46"/>
      <c r="Z417" s="46"/>
    </row>
    <row r="418">
      <c r="A418" s="45" t="s">
        <v>652</v>
      </c>
      <c r="B418" s="45" t="s">
        <v>1687</v>
      </c>
      <c r="C418" s="45" t="s">
        <v>66</v>
      </c>
      <c r="D418" s="45">
        <v>6.0</v>
      </c>
      <c r="E418" s="45">
        <v>20.0</v>
      </c>
      <c r="F418" s="45">
        <v>0.0</v>
      </c>
      <c r="G418" s="46">
        <f t="shared" si="67"/>
        <v>14</v>
      </c>
      <c r="H418" s="47">
        <v>46047.0</v>
      </c>
      <c r="I418" s="46"/>
      <c r="J418" s="48"/>
      <c r="K418" s="46"/>
      <c r="L418" s="46"/>
      <c r="M418" s="46"/>
      <c r="N418" s="46"/>
      <c r="O418" s="46"/>
      <c r="P418" s="46"/>
      <c r="Q418" s="46"/>
      <c r="R418" s="46"/>
      <c r="S418" s="46"/>
      <c r="T418" s="46"/>
      <c r="U418" s="46"/>
      <c r="V418" s="46"/>
      <c r="W418" s="46"/>
      <c r="X418" s="46"/>
      <c r="Y418" s="46"/>
      <c r="Z418" s="46"/>
    </row>
    <row r="419">
      <c r="A419" s="45" t="s">
        <v>706</v>
      </c>
      <c r="B419" s="45" t="s">
        <v>1688</v>
      </c>
      <c r="C419" s="45" t="s">
        <v>51</v>
      </c>
      <c r="D419" s="45">
        <v>7.0</v>
      </c>
      <c r="E419" s="45">
        <v>15.0</v>
      </c>
      <c r="F419" s="45">
        <v>0.0</v>
      </c>
      <c r="G419" s="46">
        <f t="shared" si="67"/>
        <v>8</v>
      </c>
      <c r="H419" s="47">
        <v>46047.0</v>
      </c>
      <c r="I419" s="46"/>
      <c r="J419" s="48"/>
      <c r="K419" s="46"/>
      <c r="L419" s="46"/>
      <c r="M419" s="46"/>
      <c r="N419" s="46"/>
      <c r="O419" s="46"/>
      <c r="P419" s="46"/>
      <c r="Q419" s="46"/>
      <c r="R419" s="46"/>
      <c r="S419" s="46"/>
      <c r="T419" s="46"/>
      <c r="U419" s="46"/>
      <c r="V419" s="46"/>
      <c r="W419" s="46"/>
      <c r="X419" s="46"/>
      <c r="Y419" s="46"/>
      <c r="Z419" s="46"/>
    </row>
    <row r="420">
      <c r="A420" s="10" t="s">
        <v>652</v>
      </c>
      <c r="B420" s="10" t="s">
        <v>1689</v>
      </c>
      <c r="C420" s="10"/>
      <c r="D420" s="10">
        <v>7.0</v>
      </c>
      <c r="E420" s="10">
        <v>20.0</v>
      </c>
      <c r="F420" s="10">
        <v>0.0</v>
      </c>
      <c r="G420" s="11">
        <f t="shared" si="67"/>
        <v>13</v>
      </c>
      <c r="H420" s="68">
        <v>45976.0</v>
      </c>
      <c r="I420" s="11"/>
      <c r="J420" s="12"/>
      <c r="K420" s="11"/>
      <c r="L420" s="11"/>
      <c r="M420" s="11"/>
      <c r="N420" s="11"/>
      <c r="O420" s="11"/>
      <c r="P420" s="11"/>
      <c r="Q420" s="11"/>
      <c r="R420" s="11"/>
      <c r="S420" s="11"/>
      <c r="T420" s="11"/>
      <c r="U420" s="11"/>
      <c r="V420" s="11"/>
      <c r="W420" s="11"/>
      <c r="X420" s="11"/>
      <c r="Y420" s="11"/>
      <c r="Z420" s="11"/>
    </row>
    <row r="421">
      <c r="A421" s="10" t="s">
        <v>652</v>
      </c>
      <c r="B421" s="10" t="s">
        <v>1690</v>
      </c>
      <c r="C421" s="10" t="s">
        <v>66</v>
      </c>
      <c r="D421" s="10">
        <v>14.0</v>
      </c>
      <c r="E421" s="11"/>
      <c r="F421" s="11"/>
      <c r="G421" s="11"/>
      <c r="H421" s="68">
        <v>45935.0</v>
      </c>
      <c r="I421" s="11"/>
      <c r="J421" s="12"/>
      <c r="K421" s="11"/>
      <c r="L421" s="11"/>
      <c r="M421" s="11"/>
      <c r="N421" s="11"/>
      <c r="O421" s="11"/>
      <c r="P421" s="11"/>
      <c r="Q421" s="11"/>
      <c r="R421" s="11"/>
      <c r="S421" s="11"/>
      <c r="T421" s="11"/>
      <c r="U421" s="11"/>
      <c r="V421" s="11"/>
      <c r="W421" s="11"/>
      <c r="X421" s="11"/>
      <c r="Y421" s="11"/>
      <c r="Z421" s="11"/>
    </row>
    <row r="422">
      <c r="A422" s="10" t="s">
        <v>652</v>
      </c>
      <c r="B422" s="10" t="s">
        <v>1691</v>
      </c>
      <c r="C422" s="10" t="s">
        <v>57</v>
      </c>
      <c r="D422" s="10">
        <v>3.0</v>
      </c>
      <c r="E422" s="11"/>
      <c r="F422" s="11"/>
      <c r="G422" s="11"/>
      <c r="H422" s="68">
        <v>45935.0</v>
      </c>
      <c r="I422" s="11"/>
      <c r="J422" s="12"/>
      <c r="K422" s="11"/>
      <c r="L422" s="11"/>
      <c r="M422" s="11"/>
      <c r="N422" s="11"/>
      <c r="O422" s="11"/>
      <c r="P422" s="11"/>
      <c r="Q422" s="11"/>
      <c r="R422" s="11"/>
      <c r="S422" s="11"/>
      <c r="T422" s="11"/>
      <c r="U422" s="11"/>
      <c r="V422" s="11"/>
      <c r="W422" s="11"/>
      <c r="X422" s="11"/>
      <c r="Y422" s="11"/>
      <c r="Z422" s="11"/>
    </row>
    <row r="423">
      <c r="A423" s="10" t="s">
        <v>652</v>
      </c>
      <c r="B423" s="10" t="s">
        <v>713</v>
      </c>
      <c r="C423" s="10" t="s">
        <v>57</v>
      </c>
      <c r="D423" s="10"/>
      <c r="E423" s="11"/>
      <c r="F423" s="11"/>
      <c r="G423" s="11"/>
      <c r="H423" s="68">
        <v>45935.0</v>
      </c>
      <c r="I423" s="11"/>
      <c r="J423" s="12"/>
      <c r="K423" s="11"/>
      <c r="L423" s="11"/>
      <c r="M423" s="11"/>
      <c r="N423" s="11"/>
      <c r="O423" s="11"/>
      <c r="P423" s="11"/>
      <c r="Q423" s="11"/>
      <c r="R423" s="11"/>
      <c r="S423" s="11"/>
      <c r="T423" s="11"/>
      <c r="U423" s="11"/>
      <c r="V423" s="11"/>
      <c r="W423" s="11"/>
      <c r="X423" s="11"/>
      <c r="Y423" s="11"/>
      <c r="Z423" s="11"/>
    </row>
    <row r="424">
      <c r="A424" s="42" t="s">
        <v>652</v>
      </c>
      <c r="B424" s="42" t="s">
        <v>1692</v>
      </c>
      <c r="C424" s="42" t="s">
        <v>120</v>
      </c>
      <c r="D424" s="42">
        <v>3.5</v>
      </c>
      <c r="E424" s="42">
        <v>35.0</v>
      </c>
      <c r="F424" s="42">
        <v>4.84</v>
      </c>
      <c r="G424" s="43">
        <f>E424-F424-D424</f>
        <v>26.66</v>
      </c>
      <c r="H424" s="42" t="s">
        <v>1202</v>
      </c>
      <c r="I424" s="43"/>
      <c r="J424" s="44"/>
      <c r="K424" s="43"/>
      <c r="L424" s="43"/>
      <c r="M424" s="43"/>
      <c r="N424" s="43"/>
      <c r="O424" s="43"/>
      <c r="P424" s="43"/>
      <c r="Q424" s="43"/>
      <c r="R424" s="43"/>
      <c r="S424" s="43"/>
      <c r="T424" s="43"/>
      <c r="U424" s="43"/>
      <c r="V424" s="43"/>
      <c r="W424" s="43"/>
      <c r="X424" s="43"/>
      <c r="Y424" s="43"/>
      <c r="Z424" s="43"/>
    </row>
    <row r="425">
      <c r="A425" s="38" t="s">
        <v>706</v>
      </c>
      <c r="B425" s="38" t="s">
        <v>1693</v>
      </c>
      <c r="C425" s="38" t="s">
        <v>1694</v>
      </c>
      <c r="D425" s="38">
        <v>7.5</v>
      </c>
      <c r="E425" s="39"/>
      <c r="F425" s="39"/>
      <c r="G425" s="39"/>
      <c r="H425" s="40">
        <v>45893.0</v>
      </c>
      <c r="I425" s="39"/>
      <c r="J425" s="41"/>
      <c r="K425" s="39"/>
      <c r="L425" s="39"/>
      <c r="M425" s="39"/>
      <c r="N425" s="39"/>
      <c r="O425" s="39"/>
      <c r="P425" s="39"/>
      <c r="Q425" s="39"/>
      <c r="R425" s="39"/>
      <c r="S425" s="39"/>
      <c r="T425" s="39"/>
      <c r="U425" s="39"/>
      <c r="V425" s="39"/>
      <c r="W425" s="39"/>
      <c r="X425" s="39"/>
      <c r="Y425" s="39"/>
      <c r="Z425" s="39"/>
    </row>
    <row r="426">
      <c r="A426" s="38" t="s">
        <v>706</v>
      </c>
      <c r="B426" s="38" t="s">
        <v>1695</v>
      </c>
      <c r="C426" s="38" t="s">
        <v>51</v>
      </c>
      <c r="D426" s="38">
        <v>3.5</v>
      </c>
      <c r="E426" s="39"/>
      <c r="F426" s="39"/>
      <c r="G426" s="39"/>
      <c r="H426" s="40">
        <v>45893.0</v>
      </c>
      <c r="I426" s="39"/>
      <c r="J426" s="41"/>
      <c r="K426" s="39"/>
      <c r="L426" s="39"/>
      <c r="M426" s="39"/>
      <c r="N426" s="39"/>
      <c r="O426" s="39"/>
      <c r="P426" s="39"/>
      <c r="Q426" s="39"/>
      <c r="R426" s="39"/>
      <c r="S426" s="39"/>
      <c r="T426" s="39"/>
      <c r="U426" s="39"/>
      <c r="V426" s="39"/>
      <c r="W426" s="39"/>
      <c r="X426" s="39"/>
      <c r="Y426" s="39"/>
      <c r="Z426" s="39"/>
    </row>
    <row r="427">
      <c r="A427" s="38" t="s">
        <v>652</v>
      </c>
      <c r="B427" s="38" t="s">
        <v>1696</v>
      </c>
      <c r="C427" s="38" t="s">
        <v>120</v>
      </c>
      <c r="D427" s="38">
        <v>4.0</v>
      </c>
      <c r="E427" s="39"/>
      <c r="F427" s="39"/>
      <c r="G427" s="39"/>
      <c r="H427" s="40">
        <v>45893.0</v>
      </c>
      <c r="I427" s="39"/>
      <c r="J427" s="41"/>
      <c r="K427" s="39"/>
      <c r="L427" s="39"/>
      <c r="M427" s="39"/>
      <c r="N427" s="39"/>
      <c r="O427" s="39"/>
      <c r="P427" s="39"/>
      <c r="Q427" s="39"/>
      <c r="R427" s="39"/>
      <c r="S427" s="39"/>
      <c r="T427" s="39"/>
      <c r="U427" s="39"/>
      <c r="V427" s="39"/>
      <c r="W427" s="39"/>
      <c r="X427" s="39"/>
      <c r="Y427" s="39"/>
      <c r="Z427" s="39"/>
    </row>
    <row r="428">
      <c r="A428" s="38" t="s">
        <v>652</v>
      </c>
      <c r="B428" s="38" t="s">
        <v>1697</v>
      </c>
      <c r="C428" s="38" t="s">
        <v>51</v>
      </c>
      <c r="D428" s="38">
        <v>7.0</v>
      </c>
      <c r="E428" s="39"/>
      <c r="F428" s="39"/>
      <c r="G428" s="39"/>
      <c r="H428" s="40">
        <v>45893.0</v>
      </c>
      <c r="I428" s="39"/>
      <c r="J428" s="41"/>
      <c r="K428" s="39"/>
      <c r="L428" s="39"/>
      <c r="M428" s="39"/>
      <c r="N428" s="39"/>
      <c r="O428" s="39"/>
      <c r="P428" s="39"/>
      <c r="Q428" s="39"/>
      <c r="R428" s="39"/>
      <c r="S428" s="39"/>
      <c r="T428" s="39"/>
      <c r="U428" s="39"/>
      <c r="V428" s="39"/>
      <c r="W428" s="39"/>
      <c r="X428" s="39"/>
      <c r="Y428" s="39"/>
      <c r="Z428" s="39"/>
    </row>
    <row r="429">
      <c r="A429" s="31" t="s">
        <v>652</v>
      </c>
      <c r="B429" s="31" t="s">
        <v>1698</v>
      </c>
      <c r="C429" s="31" t="s">
        <v>95</v>
      </c>
      <c r="D429" s="31">
        <v>4.5</v>
      </c>
      <c r="E429" s="31">
        <v>20.0</v>
      </c>
      <c r="F429" s="31">
        <v>0.0</v>
      </c>
      <c r="G429" s="34">
        <f t="shared" ref="G429:G450" si="68">E429-F429-D429</f>
        <v>15.5</v>
      </c>
      <c r="H429" s="31"/>
      <c r="I429" s="34"/>
      <c r="J429" s="35"/>
      <c r="K429" s="34"/>
      <c r="L429" s="34"/>
      <c r="M429" s="34"/>
      <c r="N429" s="34"/>
      <c r="O429" s="34"/>
      <c r="P429" s="34"/>
      <c r="Q429" s="34"/>
      <c r="R429" s="34"/>
      <c r="S429" s="34"/>
      <c r="T429" s="34"/>
      <c r="U429" s="34"/>
      <c r="V429" s="34"/>
      <c r="W429" s="34"/>
      <c r="X429" s="34"/>
      <c r="Y429" s="34"/>
      <c r="Z429" s="34"/>
    </row>
    <row r="430">
      <c r="A430" s="31" t="s">
        <v>652</v>
      </c>
      <c r="B430" s="31" t="s">
        <v>1699</v>
      </c>
      <c r="C430" s="31" t="s">
        <v>57</v>
      </c>
      <c r="D430" s="31">
        <v>2.5</v>
      </c>
      <c r="E430" s="31">
        <v>10.0</v>
      </c>
      <c r="F430" s="31">
        <v>0.0</v>
      </c>
      <c r="G430" s="34">
        <f t="shared" si="68"/>
        <v>7.5</v>
      </c>
      <c r="H430" s="31"/>
      <c r="I430" s="31"/>
      <c r="J430" s="35"/>
      <c r="K430" s="34"/>
      <c r="L430" s="34"/>
      <c r="M430" s="34"/>
      <c r="N430" s="34"/>
      <c r="O430" s="34"/>
      <c r="P430" s="34"/>
      <c r="Q430" s="34"/>
      <c r="R430" s="34"/>
      <c r="S430" s="34"/>
      <c r="T430" s="34"/>
      <c r="U430" s="34"/>
      <c r="V430" s="34"/>
      <c r="W430" s="34"/>
      <c r="X430" s="34"/>
      <c r="Y430" s="34"/>
      <c r="Z430" s="34"/>
    </row>
    <row r="431">
      <c r="A431" s="31" t="s">
        <v>652</v>
      </c>
      <c r="B431" s="31" t="s">
        <v>1700</v>
      </c>
      <c r="C431" s="31">
        <v>8.5</v>
      </c>
      <c r="D431" s="31">
        <v>8.0</v>
      </c>
      <c r="E431" s="31">
        <v>50.0</v>
      </c>
      <c r="F431" s="31">
        <v>0.0</v>
      </c>
      <c r="G431" s="34">
        <f t="shared" si="68"/>
        <v>42</v>
      </c>
      <c r="H431" s="31"/>
      <c r="I431" s="31"/>
      <c r="J431" s="35"/>
      <c r="K431" s="34"/>
      <c r="L431" s="34"/>
      <c r="M431" s="34"/>
      <c r="N431" s="34"/>
      <c r="O431" s="34"/>
      <c r="P431" s="34"/>
      <c r="Q431" s="34"/>
      <c r="R431" s="34"/>
      <c r="S431" s="34"/>
      <c r="T431" s="34"/>
      <c r="U431" s="34"/>
      <c r="V431" s="34"/>
      <c r="W431" s="34"/>
      <c r="X431" s="34"/>
      <c r="Y431" s="34"/>
      <c r="Z431" s="34"/>
    </row>
    <row r="432">
      <c r="A432" s="31" t="s">
        <v>652</v>
      </c>
      <c r="B432" s="31" t="s">
        <v>1701</v>
      </c>
      <c r="C432" s="31" t="s">
        <v>66</v>
      </c>
      <c r="D432" s="31">
        <v>5.0</v>
      </c>
      <c r="E432" s="31">
        <v>15.0</v>
      </c>
      <c r="F432" s="31">
        <v>0.0</v>
      </c>
      <c r="G432" s="34">
        <f t="shared" si="68"/>
        <v>10</v>
      </c>
      <c r="H432" s="36">
        <v>46131.0</v>
      </c>
      <c r="I432" s="31"/>
      <c r="J432" s="35"/>
      <c r="K432" s="34"/>
      <c r="L432" s="34"/>
      <c r="M432" s="34"/>
      <c r="N432" s="34"/>
      <c r="O432" s="34"/>
      <c r="P432" s="34"/>
      <c r="Q432" s="34"/>
      <c r="R432" s="34"/>
      <c r="S432" s="34"/>
      <c r="T432" s="34"/>
      <c r="U432" s="34"/>
      <c r="V432" s="34"/>
      <c r="W432" s="34"/>
      <c r="X432" s="34"/>
      <c r="Y432" s="34"/>
      <c r="Z432" s="34"/>
    </row>
    <row r="433">
      <c r="A433" s="31" t="s">
        <v>652</v>
      </c>
      <c r="B433" s="31" t="s">
        <v>108</v>
      </c>
      <c r="C433" s="31"/>
      <c r="D433" s="31">
        <v>8.0</v>
      </c>
      <c r="E433" s="31">
        <v>30.0</v>
      </c>
      <c r="F433" s="31">
        <v>0.0</v>
      </c>
      <c r="G433" s="34">
        <f t="shared" si="68"/>
        <v>22</v>
      </c>
      <c r="H433" s="36">
        <v>46131.0</v>
      </c>
      <c r="I433" s="31"/>
      <c r="J433" s="35"/>
      <c r="K433" s="34"/>
      <c r="L433" s="34"/>
      <c r="M433" s="34"/>
      <c r="N433" s="34"/>
      <c r="O433" s="34"/>
      <c r="P433" s="34"/>
      <c r="Q433" s="34"/>
      <c r="R433" s="34"/>
      <c r="S433" s="34"/>
      <c r="T433" s="34"/>
      <c r="U433" s="34"/>
      <c r="V433" s="34"/>
      <c r="W433" s="34"/>
      <c r="X433" s="34"/>
      <c r="Y433" s="34"/>
      <c r="Z433" s="34"/>
    </row>
    <row r="434">
      <c r="A434" s="31" t="s">
        <v>652</v>
      </c>
      <c r="B434" s="31" t="s">
        <v>1702</v>
      </c>
      <c r="C434" s="31" t="s">
        <v>51</v>
      </c>
      <c r="D434" s="31">
        <v>9.0</v>
      </c>
      <c r="E434" s="31">
        <v>20.0</v>
      </c>
      <c r="F434" s="31">
        <v>0.0</v>
      </c>
      <c r="G434" s="34">
        <f t="shared" si="68"/>
        <v>11</v>
      </c>
      <c r="H434" s="36">
        <v>46131.0</v>
      </c>
      <c r="I434" s="31"/>
      <c r="J434" s="35"/>
      <c r="K434" s="34"/>
      <c r="L434" s="34"/>
      <c r="M434" s="34"/>
      <c r="N434" s="34"/>
      <c r="O434" s="34"/>
      <c r="P434" s="34"/>
      <c r="Q434" s="34"/>
      <c r="R434" s="34"/>
      <c r="S434" s="34"/>
      <c r="T434" s="34"/>
      <c r="U434" s="34"/>
      <c r="V434" s="34"/>
      <c r="W434" s="34"/>
      <c r="X434" s="34"/>
      <c r="Y434" s="34"/>
      <c r="Z434" s="34"/>
    </row>
    <row r="435">
      <c r="A435" s="31" t="s">
        <v>652</v>
      </c>
      <c r="B435" s="31" t="s">
        <v>1703</v>
      </c>
      <c r="C435" s="31" t="s">
        <v>66</v>
      </c>
      <c r="D435" s="31">
        <v>8.0</v>
      </c>
      <c r="E435" s="31">
        <v>25.0</v>
      </c>
      <c r="F435" s="31">
        <v>0.0</v>
      </c>
      <c r="G435" s="34">
        <f t="shared" si="68"/>
        <v>17</v>
      </c>
      <c r="H435" s="36">
        <v>46131.0</v>
      </c>
      <c r="I435" s="31"/>
      <c r="J435" s="35"/>
      <c r="K435" s="34"/>
      <c r="L435" s="34"/>
      <c r="M435" s="34"/>
      <c r="N435" s="34"/>
      <c r="O435" s="34"/>
      <c r="P435" s="34"/>
      <c r="Q435" s="34"/>
      <c r="R435" s="34"/>
      <c r="S435" s="34"/>
      <c r="T435" s="34"/>
      <c r="U435" s="34"/>
      <c r="V435" s="34"/>
      <c r="W435" s="34"/>
      <c r="X435" s="34"/>
      <c r="Y435" s="34"/>
      <c r="Z435" s="34"/>
    </row>
    <row r="436">
      <c r="A436" s="31" t="s">
        <v>652</v>
      </c>
      <c r="B436" s="31" t="s">
        <v>1704</v>
      </c>
      <c r="C436" s="31" t="s">
        <v>51</v>
      </c>
      <c r="D436" s="31">
        <v>5.0</v>
      </c>
      <c r="E436" s="31">
        <v>25.0</v>
      </c>
      <c r="F436" s="31">
        <v>0.0</v>
      </c>
      <c r="G436" s="34">
        <f t="shared" si="68"/>
        <v>20</v>
      </c>
      <c r="H436" s="36">
        <v>46131.0</v>
      </c>
      <c r="I436" s="31"/>
      <c r="J436" s="35"/>
      <c r="K436" s="34"/>
      <c r="L436" s="34"/>
      <c r="M436" s="34"/>
      <c r="N436" s="34"/>
      <c r="O436" s="34"/>
      <c r="P436" s="34"/>
      <c r="Q436" s="34"/>
      <c r="R436" s="34"/>
      <c r="S436" s="34"/>
      <c r="T436" s="34"/>
      <c r="U436" s="34"/>
      <c r="V436" s="34"/>
      <c r="W436" s="34"/>
      <c r="X436" s="34"/>
      <c r="Y436" s="34"/>
      <c r="Z436" s="34"/>
    </row>
    <row r="437">
      <c r="A437" s="31" t="s">
        <v>652</v>
      </c>
      <c r="B437" s="31" t="s">
        <v>1705</v>
      </c>
      <c r="C437" s="31" t="s">
        <v>57</v>
      </c>
      <c r="D437" s="31">
        <v>5.0</v>
      </c>
      <c r="E437" s="31">
        <v>30.0</v>
      </c>
      <c r="F437" s="31">
        <v>0.0</v>
      </c>
      <c r="G437" s="34">
        <f t="shared" si="68"/>
        <v>25</v>
      </c>
      <c r="H437" s="36">
        <v>46131.0</v>
      </c>
      <c r="I437" s="31"/>
      <c r="J437" s="35"/>
      <c r="K437" s="34"/>
      <c r="L437" s="34"/>
      <c r="M437" s="34"/>
      <c r="N437" s="34"/>
      <c r="O437" s="34"/>
      <c r="P437" s="34"/>
      <c r="Q437" s="34"/>
      <c r="R437" s="34"/>
      <c r="S437" s="34"/>
      <c r="T437" s="34"/>
      <c r="U437" s="34"/>
      <c r="V437" s="34"/>
      <c r="W437" s="34"/>
      <c r="X437" s="34"/>
      <c r="Y437" s="34"/>
      <c r="Z437" s="34"/>
    </row>
    <row r="438">
      <c r="A438" s="31" t="s">
        <v>652</v>
      </c>
      <c r="B438" s="31" t="s">
        <v>1706</v>
      </c>
      <c r="C438" s="31" t="s">
        <v>51</v>
      </c>
      <c r="D438" s="31">
        <v>6.0</v>
      </c>
      <c r="E438" s="31">
        <v>20.0</v>
      </c>
      <c r="F438" s="31">
        <v>0.0</v>
      </c>
      <c r="G438" s="34">
        <f t="shared" si="68"/>
        <v>14</v>
      </c>
      <c r="H438" s="36">
        <v>46131.0</v>
      </c>
      <c r="I438" s="34"/>
      <c r="J438" s="61"/>
      <c r="K438" s="34"/>
      <c r="L438" s="34"/>
      <c r="M438" s="34"/>
      <c r="N438" s="34"/>
      <c r="O438" s="34"/>
      <c r="P438" s="34"/>
      <c r="Q438" s="34"/>
      <c r="R438" s="34"/>
      <c r="S438" s="34"/>
      <c r="T438" s="34"/>
      <c r="U438" s="34"/>
      <c r="V438" s="34"/>
      <c r="W438" s="34"/>
      <c r="X438" s="34"/>
      <c r="Y438" s="34"/>
      <c r="Z438" s="34"/>
    </row>
    <row r="439">
      <c r="A439" s="31" t="s">
        <v>652</v>
      </c>
      <c r="B439" s="31" t="s">
        <v>1707</v>
      </c>
      <c r="C439" s="31" t="s">
        <v>66</v>
      </c>
      <c r="D439" s="31">
        <v>0.0</v>
      </c>
      <c r="E439" s="31">
        <v>10.0</v>
      </c>
      <c r="F439" s="31">
        <v>0.0</v>
      </c>
      <c r="G439" s="34">
        <f t="shared" si="68"/>
        <v>10</v>
      </c>
      <c r="H439" s="36">
        <v>46131.0</v>
      </c>
      <c r="I439" s="31"/>
      <c r="J439" s="35"/>
      <c r="K439" s="34"/>
      <c r="L439" s="34"/>
      <c r="M439" s="34"/>
      <c r="N439" s="34"/>
      <c r="O439" s="34"/>
      <c r="P439" s="34"/>
      <c r="Q439" s="34"/>
      <c r="R439" s="34"/>
      <c r="S439" s="34"/>
      <c r="T439" s="34"/>
      <c r="U439" s="34"/>
      <c r="V439" s="34"/>
      <c r="W439" s="34"/>
      <c r="X439" s="34"/>
      <c r="Y439" s="34"/>
      <c r="Z439" s="34"/>
    </row>
    <row r="440">
      <c r="A440" s="31" t="s">
        <v>652</v>
      </c>
      <c r="B440" s="31" t="s">
        <v>1708</v>
      </c>
      <c r="C440" s="31" t="s">
        <v>66</v>
      </c>
      <c r="D440" s="31">
        <v>4.5</v>
      </c>
      <c r="E440" s="31">
        <v>20.0</v>
      </c>
      <c r="F440" s="31">
        <v>2.51</v>
      </c>
      <c r="G440" s="34">
        <f t="shared" si="68"/>
        <v>12.99</v>
      </c>
      <c r="H440" s="31"/>
      <c r="I440" s="31"/>
      <c r="J440" s="35"/>
      <c r="K440" s="34"/>
      <c r="L440" s="34"/>
      <c r="M440" s="34"/>
      <c r="N440" s="34"/>
      <c r="O440" s="34"/>
      <c r="P440" s="34"/>
      <c r="Q440" s="34"/>
      <c r="R440" s="34"/>
      <c r="S440" s="34"/>
      <c r="T440" s="34"/>
      <c r="U440" s="34"/>
      <c r="V440" s="34"/>
      <c r="W440" s="34"/>
      <c r="X440" s="34"/>
      <c r="Y440" s="34"/>
      <c r="Z440" s="34"/>
    </row>
    <row r="441">
      <c r="A441" s="31" t="s">
        <v>652</v>
      </c>
      <c r="B441" s="31" t="s">
        <v>1709</v>
      </c>
      <c r="C441" s="31" t="s">
        <v>51</v>
      </c>
      <c r="D441" s="31">
        <v>6.0</v>
      </c>
      <c r="E441" s="31">
        <v>20.0</v>
      </c>
      <c r="F441" s="31">
        <v>2.51</v>
      </c>
      <c r="G441" s="34">
        <f t="shared" si="68"/>
        <v>11.49</v>
      </c>
      <c r="H441" s="31"/>
      <c r="I441" s="31"/>
      <c r="J441" s="35"/>
      <c r="K441" s="34"/>
      <c r="L441" s="34"/>
      <c r="M441" s="34"/>
      <c r="N441" s="34"/>
      <c r="O441" s="34"/>
      <c r="P441" s="34"/>
      <c r="Q441" s="34"/>
      <c r="R441" s="34"/>
      <c r="S441" s="34"/>
      <c r="T441" s="34"/>
      <c r="U441" s="34"/>
      <c r="V441" s="34"/>
      <c r="W441" s="34"/>
      <c r="X441" s="34"/>
      <c r="Y441" s="34"/>
      <c r="Z441" s="34"/>
    </row>
    <row r="442">
      <c r="A442" s="31" t="s">
        <v>652</v>
      </c>
      <c r="B442" s="31" t="s">
        <v>1710</v>
      </c>
      <c r="C442" s="31">
        <v>6.0</v>
      </c>
      <c r="D442" s="31">
        <v>7.5</v>
      </c>
      <c r="E442" s="31">
        <v>30.0</v>
      </c>
      <c r="F442" s="31">
        <v>4.02</v>
      </c>
      <c r="G442" s="34">
        <f t="shared" si="68"/>
        <v>18.48</v>
      </c>
      <c r="H442" s="31"/>
      <c r="I442" s="31"/>
      <c r="J442" s="35"/>
      <c r="K442" s="34"/>
      <c r="L442" s="34"/>
      <c r="M442" s="34"/>
      <c r="N442" s="34"/>
      <c r="O442" s="34"/>
      <c r="P442" s="34"/>
      <c r="Q442" s="34"/>
      <c r="R442" s="34"/>
      <c r="S442" s="34"/>
      <c r="T442" s="34"/>
      <c r="U442" s="34"/>
      <c r="V442" s="34"/>
      <c r="W442" s="34"/>
      <c r="X442" s="34"/>
      <c r="Y442" s="34"/>
      <c r="Z442" s="34"/>
    </row>
    <row r="443">
      <c r="A443" s="31" t="s">
        <v>652</v>
      </c>
      <c r="B443" s="31" t="s">
        <v>1711</v>
      </c>
      <c r="C443" s="31" t="s">
        <v>57</v>
      </c>
      <c r="D443" s="31">
        <v>7.5</v>
      </c>
      <c r="E443" s="31">
        <v>30.0</v>
      </c>
      <c r="F443" s="31">
        <v>4.02</v>
      </c>
      <c r="G443" s="34">
        <f t="shared" si="68"/>
        <v>18.48</v>
      </c>
      <c r="H443" s="31"/>
      <c r="I443" s="31"/>
      <c r="J443" s="35"/>
      <c r="K443" s="34"/>
      <c r="L443" s="34"/>
      <c r="M443" s="34"/>
      <c r="N443" s="34"/>
      <c r="O443" s="34"/>
      <c r="P443" s="34"/>
      <c r="Q443" s="34"/>
      <c r="R443" s="34"/>
      <c r="S443" s="34"/>
      <c r="T443" s="34"/>
      <c r="U443" s="34"/>
      <c r="V443" s="34"/>
      <c r="W443" s="34"/>
      <c r="X443" s="34"/>
      <c r="Y443" s="34"/>
      <c r="Z443" s="34"/>
    </row>
    <row r="444">
      <c r="A444" s="31" t="s">
        <v>652</v>
      </c>
      <c r="B444" s="31" t="s">
        <v>1712</v>
      </c>
      <c r="C444" s="31" t="s">
        <v>120</v>
      </c>
      <c r="D444" s="31">
        <v>10.0</v>
      </c>
      <c r="E444" s="31">
        <v>20.0</v>
      </c>
      <c r="F444" s="31">
        <v>4.03</v>
      </c>
      <c r="G444" s="34">
        <f t="shared" si="68"/>
        <v>5.97</v>
      </c>
      <c r="H444" s="31"/>
      <c r="I444" s="34"/>
      <c r="J444" s="35"/>
      <c r="K444" s="34"/>
      <c r="L444" s="34"/>
      <c r="M444" s="34"/>
      <c r="N444" s="34"/>
      <c r="O444" s="34"/>
      <c r="P444" s="34"/>
      <c r="Q444" s="34"/>
      <c r="R444" s="34"/>
      <c r="S444" s="34"/>
      <c r="T444" s="34"/>
      <c r="U444" s="34"/>
      <c r="V444" s="34"/>
      <c r="W444" s="34"/>
      <c r="X444" s="34"/>
      <c r="Y444" s="34"/>
      <c r="Z444" s="34"/>
    </row>
    <row r="445">
      <c r="A445" s="31" t="s">
        <v>652</v>
      </c>
      <c r="B445" s="31" t="s">
        <v>1713</v>
      </c>
      <c r="C445" s="31" t="s">
        <v>66</v>
      </c>
      <c r="D445" s="31">
        <v>8.0</v>
      </c>
      <c r="E445" s="31">
        <v>30.0</v>
      </c>
      <c r="F445" s="31">
        <v>4.6</v>
      </c>
      <c r="G445" s="34">
        <f t="shared" si="68"/>
        <v>17.4</v>
      </c>
      <c r="H445" s="31"/>
      <c r="I445" s="34"/>
      <c r="J445" s="35"/>
      <c r="K445" s="34"/>
      <c r="L445" s="34"/>
      <c r="M445" s="34"/>
      <c r="N445" s="34"/>
      <c r="O445" s="34"/>
      <c r="P445" s="34"/>
      <c r="Q445" s="34"/>
      <c r="R445" s="34"/>
      <c r="S445" s="34"/>
      <c r="T445" s="34"/>
      <c r="U445" s="34"/>
      <c r="V445" s="34"/>
      <c r="W445" s="34"/>
      <c r="X445" s="34"/>
      <c r="Y445" s="34"/>
      <c r="Z445" s="34"/>
    </row>
    <row r="446">
      <c r="A446" s="31" t="s">
        <v>652</v>
      </c>
      <c r="B446" s="31" t="s">
        <v>1714</v>
      </c>
      <c r="C446" s="31" t="s">
        <v>51</v>
      </c>
      <c r="D446" s="31">
        <v>3.65</v>
      </c>
      <c r="E446" s="31">
        <v>20.0</v>
      </c>
      <c r="F446" s="31">
        <v>0.0</v>
      </c>
      <c r="G446" s="34">
        <f t="shared" si="68"/>
        <v>16.35</v>
      </c>
      <c r="H446" s="31"/>
      <c r="I446" s="31"/>
      <c r="J446" s="35"/>
      <c r="K446" s="34"/>
      <c r="L446" s="34"/>
      <c r="M446" s="34"/>
      <c r="N446" s="34"/>
      <c r="O446" s="34"/>
      <c r="P446" s="34"/>
      <c r="Q446" s="34"/>
      <c r="R446" s="34"/>
      <c r="S446" s="34"/>
      <c r="T446" s="34"/>
      <c r="U446" s="34"/>
      <c r="V446" s="34"/>
      <c r="W446" s="34"/>
      <c r="X446" s="34"/>
      <c r="Y446" s="34"/>
      <c r="Z446" s="34"/>
    </row>
    <row r="447">
      <c r="A447" s="31" t="s">
        <v>706</v>
      </c>
      <c r="B447" s="31" t="s">
        <v>1715</v>
      </c>
      <c r="C447" s="31" t="s">
        <v>66</v>
      </c>
      <c r="D447" s="31">
        <v>12.2</v>
      </c>
      <c r="E447" s="31">
        <v>30.61</v>
      </c>
      <c r="F447" s="31">
        <v>5.61</v>
      </c>
      <c r="G447" s="34">
        <f t="shared" si="68"/>
        <v>12.8</v>
      </c>
      <c r="H447" s="31"/>
      <c r="I447" s="60" t="s">
        <v>1716</v>
      </c>
      <c r="J447" s="35"/>
      <c r="K447" s="34"/>
      <c r="L447" s="34"/>
      <c r="M447" s="34"/>
      <c r="N447" s="34"/>
      <c r="O447" s="34"/>
      <c r="P447" s="34"/>
      <c r="Q447" s="34"/>
      <c r="R447" s="34"/>
      <c r="S447" s="34"/>
      <c r="T447" s="34"/>
      <c r="U447" s="34"/>
      <c r="V447" s="34"/>
      <c r="W447" s="34"/>
      <c r="X447" s="34"/>
      <c r="Y447" s="34"/>
      <c r="Z447" s="34"/>
    </row>
    <row r="448">
      <c r="A448" s="31" t="s">
        <v>706</v>
      </c>
      <c r="B448" s="31" t="s">
        <v>1717</v>
      </c>
      <c r="C448" s="31" t="s">
        <v>51</v>
      </c>
      <c r="D448" s="31">
        <v>7.3</v>
      </c>
      <c r="E448" s="31">
        <v>25.0</v>
      </c>
      <c r="F448" s="31">
        <v>0.0</v>
      </c>
      <c r="G448" s="34">
        <f t="shared" si="68"/>
        <v>17.7</v>
      </c>
      <c r="H448" s="31" t="s">
        <v>1190</v>
      </c>
      <c r="I448" s="34"/>
      <c r="J448" s="35"/>
      <c r="K448" s="34"/>
      <c r="L448" s="34"/>
      <c r="M448" s="34"/>
      <c r="N448" s="34"/>
      <c r="O448" s="34"/>
      <c r="P448" s="34"/>
      <c r="Q448" s="34"/>
      <c r="R448" s="34"/>
      <c r="S448" s="34"/>
      <c r="T448" s="34"/>
      <c r="U448" s="34"/>
      <c r="V448" s="34"/>
      <c r="W448" s="34"/>
      <c r="X448" s="34"/>
      <c r="Y448" s="34"/>
      <c r="Z448" s="34"/>
    </row>
    <row r="449">
      <c r="A449" s="31" t="s">
        <v>706</v>
      </c>
      <c r="B449" s="31" t="s">
        <v>1718</v>
      </c>
      <c r="C449" s="31" t="s">
        <v>66</v>
      </c>
      <c r="D449" s="31">
        <v>10.0</v>
      </c>
      <c r="E449" s="31">
        <v>50.0</v>
      </c>
      <c r="F449" s="31">
        <v>0.0</v>
      </c>
      <c r="G449" s="34">
        <f t="shared" si="68"/>
        <v>40</v>
      </c>
      <c r="H449" s="31" t="s">
        <v>1190</v>
      </c>
      <c r="I449" s="34"/>
      <c r="J449" s="35"/>
      <c r="K449" s="34"/>
      <c r="L449" s="34"/>
      <c r="M449" s="34"/>
      <c r="N449" s="34"/>
      <c r="O449" s="34"/>
      <c r="P449" s="34"/>
      <c r="Q449" s="34"/>
      <c r="R449" s="34"/>
      <c r="S449" s="34"/>
      <c r="T449" s="34"/>
      <c r="U449" s="34"/>
      <c r="V449" s="34"/>
      <c r="W449" s="34"/>
      <c r="X449" s="34"/>
      <c r="Y449" s="34"/>
      <c r="Z449" s="34"/>
    </row>
    <row r="450">
      <c r="A450" s="31" t="s">
        <v>652</v>
      </c>
      <c r="B450" s="31" t="s">
        <v>1719</v>
      </c>
      <c r="C450" s="31" t="s">
        <v>66</v>
      </c>
      <c r="D450" s="31">
        <v>6.3</v>
      </c>
      <c r="E450" s="31">
        <v>30.0</v>
      </c>
      <c r="F450" s="31">
        <v>0.0</v>
      </c>
      <c r="G450" s="34">
        <f t="shared" si="68"/>
        <v>23.7</v>
      </c>
      <c r="H450" s="31"/>
      <c r="I450" s="34"/>
      <c r="J450" s="35"/>
      <c r="K450" s="34"/>
      <c r="L450" s="34"/>
      <c r="M450" s="34"/>
      <c r="N450" s="34"/>
      <c r="O450" s="34"/>
      <c r="P450" s="34"/>
      <c r="Q450" s="34"/>
      <c r="R450" s="34"/>
      <c r="S450" s="34"/>
      <c r="T450" s="34"/>
      <c r="U450" s="34"/>
      <c r="V450" s="34"/>
      <c r="W450" s="34"/>
      <c r="X450" s="34"/>
      <c r="Y450" s="34"/>
      <c r="Z450" s="34"/>
    </row>
    <row r="451">
      <c r="A451" s="31" t="s">
        <v>706</v>
      </c>
      <c r="B451" s="31" t="s">
        <v>1720</v>
      </c>
      <c r="C451" s="31" t="s">
        <v>66</v>
      </c>
      <c r="D451" s="31">
        <v>7.5</v>
      </c>
      <c r="E451" s="34"/>
      <c r="F451" s="34"/>
      <c r="G451" s="34"/>
      <c r="H451" s="36">
        <v>45767.0</v>
      </c>
      <c r="I451" s="34"/>
      <c r="J451" s="35"/>
      <c r="K451" s="34"/>
      <c r="L451" s="34"/>
      <c r="M451" s="34"/>
      <c r="N451" s="34"/>
      <c r="O451" s="34"/>
      <c r="P451" s="34"/>
      <c r="Q451" s="34"/>
      <c r="R451" s="34"/>
      <c r="S451" s="34"/>
      <c r="T451" s="34"/>
      <c r="U451" s="34"/>
      <c r="V451" s="34"/>
      <c r="W451" s="34"/>
      <c r="X451" s="34"/>
      <c r="Y451" s="34"/>
      <c r="Z451" s="34"/>
    </row>
    <row r="452">
      <c r="A452" s="31" t="s">
        <v>652</v>
      </c>
      <c r="B452" s="31" t="s">
        <v>1721</v>
      </c>
      <c r="C452" s="31" t="s">
        <v>51</v>
      </c>
      <c r="D452" s="31">
        <v>7.0</v>
      </c>
      <c r="E452" s="31">
        <v>17.4</v>
      </c>
      <c r="F452" s="31">
        <v>0.0</v>
      </c>
      <c r="G452" s="34">
        <f t="shared" ref="G452:G459" si="69">E452-F452-D452</f>
        <v>10.4</v>
      </c>
      <c r="H452" s="31"/>
      <c r="I452" s="34"/>
      <c r="J452" s="35"/>
      <c r="K452" s="34"/>
      <c r="L452" s="34"/>
      <c r="M452" s="34"/>
      <c r="N452" s="34"/>
      <c r="O452" s="34"/>
      <c r="P452" s="34"/>
      <c r="Q452" s="34"/>
      <c r="R452" s="34"/>
      <c r="S452" s="34"/>
      <c r="T452" s="34"/>
      <c r="U452" s="34"/>
      <c r="V452" s="34"/>
      <c r="W452" s="34"/>
      <c r="X452" s="34"/>
      <c r="Y452" s="34"/>
      <c r="Z452" s="34"/>
    </row>
    <row r="453">
      <c r="A453" s="31" t="s">
        <v>652</v>
      </c>
      <c r="B453" s="31" t="s">
        <v>1722</v>
      </c>
      <c r="C453" s="31" t="s">
        <v>51</v>
      </c>
      <c r="D453" s="31">
        <v>8.0</v>
      </c>
      <c r="E453" s="31">
        <v>17.4</v>
      </c>
      <c r="F453" s="31">
        <v>0.0</v>
      </c>
      <c r="G453" s="34">
        <f t="shared" si="69"/>
        <v>9.4</v>
      </c>
      <c r="H453" s="31"/>
      <c r="I453" s="34"/>
      <c r="J453" s="35"/>
      <c r="K453" s="34"/>
      <c r="L453" s="34"/>
      <c r="M453" s="34"/>
      <c r="N453" s="34"/>
      <c r="O453" s="34"/>
      <c r="P453" s="34"/>
      <c r="Q453" s="34"/>
      <c r="R453" s="34"/>
      <c r="S453" s="34"/>
      <c r="T453" s="34"/>
      <c r="U453" s="34"/>
      <c r="V453" s="34"/>
      <c r="W453" s="34"/>
      <c r="X453" s="34"/>
      <c r="Y453" s="34"/>
      <c r="Z453" s="34"/>
    </row>
    <row r="454">
      <c r="A454" s="31" t="s">
        <v>652</v>
      </c>
      <c r="B454" s="31" t="s">
        <v>1723</v>
      </c>
      <c r="C454" s="31" t="s">
        <v>51</v>
      </c>
      <c r="D454" s="31">
        <v>7.0</v>
      </c>
      <c r="E454" s="31">
        <v>17.4</v>
      </c>
      <c r="F454" s="31">
        <v>0.0</v>
      </c>
      <c r="G454" s="34">
        <f t="shared" si="69"/>
        <v>10.4</v>
      </c>
      <c r="H454" s="34"/>
      <c r="I454" s="34"/>
      <c r="J454" s="35"/>
      <c r="K454" s="34"/>
      <c r="L454" s="34"/>
      <c r="M454" s="34"/>
      <c r="N454" s="34"/>
      <c r="O454" s="34"/>
      <c r="P454" s="34"/>
      <c r="Q454" s="34"/>
      <c r="R454" s="34"/>
      <c r="S454" s="34"/>
      <c r="T454" s="34"/>
      <c r="U454" s="34"/>
      <c r="V454" s="34"/>
      <c r="W454" s="34"/>
      <c r="X454" s="34"/>
      <c r="Y454" s="34"/>
      <c r="Z454" s="34"/>
    </row>
    <row r="455">
      <c r="A455" s="31" t="s">
        <v>652</v>
      </c>
      <c r="B455" s="31" t="s">
        <v>1724</v>
      </c>
      <c r="C455" s="31" t="s">
        <v>66</v>
      </c>
      <c r="D455" s="31">
        <v>7.0</v>
      </c>
      <c r="E455" s="31">
        <v>20.0</v>
      </c>
      <c r="F455" s="31">
        <v>0.0</v>
      </c>
      <c r="G455" s="34">
        <f t="shared" si="69"/>
        <v>13</v>
      </c>
      <c r="H455" s="34"/>
      <c r="I455" s="34"/>
      <c r="J455" s="35"/>
      <c r="K455" s="34"/>
      <c r="L455" s="34"/>
      <c r="M455" s="34"/>
      <c r="N455" s="34"/>
      <c r="O455" s="34"/>
      <c r="P455" s="34"/>
      <c r="Q455" s="34"/>
      <c r="R455" s="34"/>
      <c r="S455" s="34"/>
      <c r="T455" s="34"/>
      <c r="U455" s="34"/>
      <c r="V455" s="34"/>
      <c r="W455" s="34"/>
      <c r="X455" s="34"/>
      <c r="Y455" s="34"/>
      <c r="Z455" s="34"/>
    </row>
    <row r="456">
      <c r="A456" s="31" t="s">
        <v>706</v>
      </c>
      <c r="B456" s="31" t="s">
        <v>1725</v>
      </c>
      <c r="C456" s="31" t="s">
        <v>57</v>
      </c>
      <c r="D456" s="31">
        <v>7.0</v>
      </c>
      <c r="E456" s="31">
        <v>20.0</v>
      </c>
      <c r="F456" s="31">
        <v>5.83</v>
      </c>
      <c r="G456" s="34">
        <f t="shared" si="69"/>
        <v>7.17</v>
      </c>
      <c r="H456" s="34"/>
      <c r="I456" s="34"/>
      <c r="J456" s="35"/>
      <c r="K456" s="34"/>
      <c r="L456" s="34"/>
      <c r="M456" s="34"/>
      <c r="N456" s="34"/>
      <c r="O456" s="34"/>
      <c r="P456" s="34"/>
      <c r="Q456" s="34"/>
      <c r="R456" s="34"/>
      <c r="S456" s="34"/>
      <c r="T456" s="34"/>
      <c r="U456" s="34"/>
      <c r="V456" s="34"/>
      <c r="W456" s="34"/>
      <c r="X456" s="34"/>
      <c r="Y456" s="34"/>
      <c r="Z456" s="34"/>
    </row>
    <row r="457">
      <c r="A457" s="31" t="s">
        <v>652</v>
      </c>
      <c r="B457" s="31" t="s">
        <v>1726</v>
      </c>
      <c r="C457" s="31" t="s">
        <v>66</v>
      </c>
      <c r="D457" s="31">
        <v>10.0</v>
      </c>
      <c r="E457" s="31">
        <v>25.0</v>
      </c>
      <c r="F457" s="31">
        <v>0.0</v>
      </c>
      <c r="G457" s="34">
        <f t="shared" si="69"/>
        <v>15</v>
      </c>
      <c r="H457" s="31"/>
      <c r="I457" s="34"/>
      <c r="J457" s="35"/>
      <c r="K457" s="34"/>
      <c r="L457" s="34"/>
      <c r="M457" s="34"/>
      <c r="N457" s="34"/>
      <c r="O457" s="34"/>
      <c r="P457" s="34"/>
      <c r="Q457" s="34"/>
      <c r="R457" s="34"/>
      <c r="S457" s="34"/>
      <c r="T457" s="34"/>
      <c r="U457" s="34"/>
      <c r="V457" s="34"/>
      <c r="W457" s="34"/>
      <c r="X457" s="34"/>
      <c r="Y457" s="34"/>
      <c r="Z457" s="34"/>
    </row>
    <row r="458">
      <c r="A458" s="31" t="s">
        <v>652</v>
      </c>
      <c r="B458" s="31" t="s">
        <v>1727</v>
      </c>
      <c r="C458" s="31" t="s">
        <v>95</v>
      </c>
      <c r="D458" s="31">
        <v>8.0</v>
      </c>
      <c r="E458" s="31">
        <v>30.0</v>
      </c>
      <c r="F458" s="31">
        <v>4.08</v>
      </c>
      <c r="G458" s="34">
        <f t="shared" si="69"/>
        <v>17.92</v>
      </c>
      <c r="H458" s="31"/>
      <c r="I458" s="34"/>
      <c r="J458" s="35"/>
      <c r="K458" s="34"/>
      <c r="L458" s="34"/>
      <c r="M458" s="34"/>
      <c r="N458" s="34"/>
      <c r="O458" s="34"/>
      <c r="P458" s="34"/>
      <c r="Q458" s="34"/>
      <c r="R458" s="34"/>
      <c r="S458" s="34"/>
      <c r="T458" s="34"/>
      <c r="U458" s="34"/>
      <c r="V458" s="34"/>
      <c r="W458" s="34"/>
      <c r="X458" s="34"/>
      <c r="Y458" s="34"/>
      <c r="Z458" s="34"/>
    </row>
    <row r="459">
      <c r="A459" s="31" t="s">
        <v>652</v>
      </c>
      <c r="B459" s="31" t="s">
        <v>1646</v>
      </c>
      <c r="C459" s="31">
        <v>12.0</v>
      </c>
      <c r="D459" s="31">
        <v>4.0</v>
      </c>
      <c r="E459" s="31">
        <v>15.0</v>
      </c>
      <c r="F459" s="31">
        <v>0.0</v>
      </c>
      <c r="G459" s="34">
        <f t="shared" si="69"/>
        <v>11</v>
      </c>
      <c r="H459" s="37">
        <v>45822.0</v>
      </c>
      <c r="I459" s="34"/>
      <c r="J459" s="35"/>
      <c r="K459" s="34"/>
      <c r="L459" s="34"/>
      <c r="M459" s="34"/>
      <c r="N459" s="34"/>
      <c r="O459" s="34"/>
      <c r="P459" s="34"/>
      <c r="Q459" s="34"/>
      <c r="R459" s="34"/>
      <c r="S459" s="34"/>
      <c r="T459" s="34"/>
      <c r="U459" s="34"/>
      <c r="V459" s="34"/>
      <c r="W459" s="34"/>
      <c r="X459" s="34"/>
      <c r="Y459" s="34"/>
      <c r="Z459" s="34"/>
    </row>
    <row r="460">
      <c r="A460" s="31" t="s">
        <v>706</v>
      </c>
      <c r="B460" s="31" t="s">
        <v>1728</v>
      </c>
      <c r="C460" s="31" t="s">
        <v>51</v>
      </c>
      <c r="D460" s="31">
        <v>7.0</v>
      </c>
      <c r="E460" s="34"/>
      <c r="F460" s="34"/>
      <c r="G460" s="34"/>
      <c r="H460" s="36">
        <v>45794.0</v>
      </c>
      <c r="I460" s="34"/>
      <c r="J460" s="35"/>
      <c r="K460" s="34"/>
      <c r="L460" s="34"/>
      <c r="M460" s="34"/>
      <c r="N460" s="34"/>
      <c r="O460" s="34"/>
      <c r="P460" s="34"/>
      <c r="Q460" s="34"/>
      <c r="R460" s="34"/>
      <c r="S460" s="34"/>
      <c r="T460" s="34"/>
      <c r="U460" s="34"/>
      <c r="V460" s="34"/>
      <c r="W460" s="34"/>
      <c r="X460" s="34"/>
      <c r="Y460" s="34"/>
      <c r="Z460" s="34"/>
    </row>
    <row r="461">
      <c r="A461" s="31" t="s">
        <v>706</v>
      </c>
      <c r="B461" s="31" t="s">
        <v>1729</v>
      </c>
      <c r="C461" s="31" t="s">
        <v>57</v>
      </c>
      <c r="D461" s="31">
        <v>4.0</v>
      </c>
      <c r="E461" s="34"/>
      <c r="F461" s="34"/>
      <c r="G461" s="34"/>
      <c r="H461" s="36">
        <v>45794.0</v>
      </c>
      <c r="I461" s="34"/>
      <c r="J461" s="35"/>
      <c r="K461" s="34"/>
      <c r="L461" s="34"/>
      <c r="M461" s="34"/>
      <c r="N461" s="34"/>
      <c r="O461" s="34"/>
      <c r="P461" s="34"/>
      <c r="Q461" s="34"/>
      <c r="R461" s="34"/>
      <c r="S461" s="34"/>
      <c r="T461" s="34"/>
      <c r="U461" s="34"/>
      <c r="V461" s="34"/>
      <c r="W461" s="34"/>
      <c r="X461" s="34"/>
      <c r="Y461" s="34"/>
      <c r="Z461" s="34"/>
    </row>
    <row r="462">
      <c r="A462" s="31" t="s">
        <v>652</v>
      </c>
      <c r="B462" s="31" t="s">
        <v>141</v>
      </c>
      <c r="C462" s="31" t="s">
        <v>66</v>
      </c>
      <c r="D462" s="31">
        <v>7.0</v>
      </c>
      <c r="E462" s="34"/>
      <c r="F462" s="34"/>
      <c r="G462" s="34"/>
      <c r="H462" s="36">
        <v>45767.0</v>
      </c>
      <c r="I462" s="34"/>
      <c r="J462" s="35"/>
      <c r="K462" s="34"/>
      <c r="L462" s="34"/>
      <c r="M462" s="34"/>
      <c r="N462" s="34"/>
      <c r="O462" s="34"/>
      <c r="P462" s="34"/>
      <c r="Q462" s="34"/>
      <c r="R462" s="34"/>
      <c r="S462" s="34"/>
      <c r="T462" s="34"/>
      <c r="U462" s="34"/>
      <c r="V462" s="34"/>
      <c r="W462" s="34"/>
      <c r="X462" s="34"/>
      <c r="Y462" s="34"/>
      <c r="Z462" s="34"/>
    </row>
    <row r="463">
      <c r="A463" s="31" t="s">
        <v>706</v>
      </c>
      <c r="B463" s="31" t="s">
        <v>1730</v>
      </c>
      <c r="C463" s="31" t="s">
        <v>57</v>
      </c>
      <c r="D463" s="31">
        <v>10.0</v>
      </c>
      <c r="E463" s="31">
        <v>20.0</v>
      </c>
      <c r="F463" s="31">
        <v>0.0</v>
      </c>
      <c r="G463" s="34">
        <f t="shared" ref="G463:G470" si="70">E463-F463-D463</f>
        <v>10</v>
      </c>
      <c r="H463" s="34"/>
      <c r="I463" s="34"/>
      <c r="J463" s="35"/>
      <c r="K463" s="34"/>
      <c r="L463" s="34"/>
      <c r="M463" s="34"/>
      <c r="N463" s="34"/>
      <c r="O463" s="34"/>
      <c r="P463" s="34"/>
      <c r="Q463" s="34"/>
      <c r="R463" s="34"/>
      <c r="S463" s="34"/>
      <c r="T463" s="34"/>
      <c r="U463" s="34"/>
      <c r="V463" s="34"/>
      <c r="W463" s="34"/>
      <c r="X463" s="34"/>
      <c r="Y463" s="34"/>
      <c r="Z463" s="34"/>
    </row>
    <row r="464">
      <c r="A464" s="42" t="s">
        <v>652</v>
      </c>
      <c r="B464" s="42" t="s">
        <v>1731</v>
      </c>
      <c r="C464" s="42" t="s">
        <v>66</v>
      </c>
      <c r="D464" s="42">
        <v>8.3</v>
      </c>
      <c r="E464" s="42">
        <v>28.43</v>
      </c>
      <c r="F464" s="42">
        <v>5.62</v>
      </c>
      <c r="G464" s="43">
        <f t="shared" si="70"/>
        <v>14.51</v>
      </c>
      <c r="H464" s="42" t="s">
        <v>1202</v>
      </c>
      <c r="I464" s="75" t="s">
        <v>1732</v>
      </c>
      <c r="J464" s="44"/>
      <c r="K464" s="43"/>
      <c r="L464" s="43"/>
      <c r="M464" s="43"/>
      <c r="N464" s="43"/>
      <c r="O464" s="43"/>
      <c r="P464" s="43"/>
      <c r="Q464" s="43"/>
      <c r="R464" s="43"/>
      <c r="S464" s="43"/>
      <c r="T464" s="43"/>
      <c r="U464" s="43"/>
      <c r="V464" s="43"/>
      <c r="W464" s="43"/>
      <c r="X464" s="43"/>
      <c r="Y464" s="43"/>
      <c r="Z464" s="43"/>
    </row>
    <row r="465">
      <c r="A465" s="31" t="s">
        <v>652</v>
      </c>
      <c r="B465" s="31" t="s">
        <v>1733</v>
      </c>
      <c r="C465" s="31" t="s">
        <v>57</v>
      </c>
      <c r="D465" s="31">
        <v>8.3</v>
      </c>
      <c r="E465" s="31">
        <v>22.5</v>
      </c>
      <c r="F465" s="31">
        <v>0.0</v>
      </c>
      <c r="G465" s="34">
        <f t="shared" si="70"/>
        <v>14.2</v>
      </c>
      <c r="H465" s="34"/>
      <c r="I465" s="34"/>
      <c r="J465" s="35"/>
      <c r="K465" s="34"/>
      <c r="L465" s="34"/>
      <c r="M465" s="34"/>
      <c r="N465" s="34"/>
      <c r="O465" s="34"/>
      <c r="P465" s="34"/>
      <c r="Q465" s="34"/>
      <c r="R465" s="34"/>
      <c r="S465" s="34"/>
      <c r="T465" s="34"/>
      <c r="U465" s="34"/>
      <c r="V465" s="34"/>
      <c r="W465" s="34"/>
      <c r="X465" s="34"/>
      <c r="Y465" s="34"/>
      <c r="Z465" s="34"/>
    </row>
    <row r="466">
      <c r="A466" s="31" t="s">
        <v>652</v>
      </c>
      <c r="B466" s="31" t="s">
        <v>1734</v>
      </c>
      <c r="C466" s="31" t="s">
        <v>57</v>
      </c>
      <c r="D466" s="31">
        <v>8.3</v>
      </c>
      <c r="E466" s="31">
        <v>22.5</v>
      </c>
      <c r="F466" s="31">
        <v>0.0</v>
      </c>
      <c r="G466" s="34">
        <f t="shared" si="70"/>
        <v>14.2</v>
      </c>
      <c r="H466" s="34"/>
      <c r="I466" s="34"/>
      <c r="J466" s="35"/>
      <c r="K466" s="34"/>
      <c r="L466" s="34"/>
      <c r="M466" s="34"/>
      <c r="N466" s="34"/>
      <c r="O466" s="34"/>
      <c r="P466" s="34"/>
      <c r="Q466" s="34"/>
      <c r="R466" s="34"/>
      <c r="S466" s="34"/>
      <c r="T466" s="34"/>
      <c r="U466" s="34"/>
      <c r="V466" s="34"/>
      <c r="W466" s="34"/>
      <c r="X466" s="34"/>
      <c r="Y466" s="34"/>
      <c r="Z466" s="34"/>
    </row>
    <row r="467">
      <c r="A467" s="31" t="s">
        <v>652</v>
      </c>
      <c r="B467" s="31" t="s">
        <v>1735</v>
      </c>
      <c r="C467" s="31" t="s">
        <v>66</v>
      </c>
      <c r="D467" s="31">
        <v>6.3</v>
      </c>
      <c r="E467" s="31">
        <v>20.0</v>
      </c>
      <c r="F467" s="31">
        <v>3.5</v>
      </c>
      <c r="G467" s="34">
        <f t="shared" si="70"/>
        <v>10.2</v>
      </c>
      <c r="H467" s="31"/>
      <c r="I467" s="34"/>
      <c r="J467" s="35"/>
      <c r="K467" s="34"/>
      <c r="L467" s="34"/>
      <c r="M467" s="34"/>
      <c r="N467" s="34"/>
      <c r="O467" s="34"/>
      <c r="P467" s="34"/>
      <c r="Q467" s="34"/>
      <c r="R467" s="34"/>
      <c r="S467" s="34"/>
      <c r="T467" s="34"/>
      <c r="U467" s="34"/>
      <c r="V467" s="34"/>
      <c r="W467" s="34"/>
      <c r="X467" s="34"/>
      <c r="Y467" s="34"/>
      <c r="Z467" s="34"/>
    </row>
    <row r="468">
      <c r="A468" s="42" t="s">
        <v>652</v>
      </c>
      <c r="B468" s="42" t="s">
        <v>1736</v>
      </c>
      <c r="C468" s="42" t="s">
        <v>120</v>
      </c>
      <c r="D468" s="42">
        <v>8.0</v>
      </c>
      <c r="E468" s="42">
        <v>32.51</v>
      </c>
      <c r="F468" s="42">
        <v>5.79</v>
      </c>
      <c r="G468" s="43">
        <f t="shared" si="70"/>
        <v>18.72</v>
      </c>
      <c r="H468" s="42" t="s">
        <v>1202</v>
      </c>
      <c r="I468" s="43"/>
      <c r="J468" s="44"/>
      <c r="K468" s="43"/>
      <c r="L468" s="43"/>
      <c r="M468" s="43"/>
      <c r="N468" s="43"/>
      <c r="O468" s="43"/>
      <c r="P468" s="43"/>
      <c r="Q468" s="43"/>
      <c r="R468" s="43"/>
      <c r="S468" s="43"/>
      <c r="T468" s="43"/>
      <c r="U468" s="43"/>
      <c r="V468" s="43"/>
      <c r="W468" s="43"/>
      <c r="X468" s="43"/>
      <c r="Y468" s="43"/>
      <c r="Z468" s="43"/>
    </row>
    <row r="469">
      <c r="A469" s="31" t="s">
        <v>652</v>
      </c>
      <c r="B469" s="31" t="s">
        <v>1737</v>
      </c>
      <c r="C469" s="31" t="s">
        <v>120</v>
      </c>
      <c r="D469" s="31">
        <v>7.5</v>
      </c>
      <c r="E469" s="31">
        <v>30.0</v>
      </c>
      <c r="F469" s="31">
        <v>0.0</v>
      </c>
      <c r="G469" s="34">
        <f t="shared" si="70"/>
        <v>22.5</v>
      </c>
      <c r="H469" s="31"/>
      <c r="I469" s="34"/>
      <c r="J469" s="35"/>
      <c r="K469" s="34"/>
      <c r="L469" s="34"/>
      <c r="M469" s="34"/>
      <c r="N469" s="34"/>
      <c r="O469" s="34"/>
      <c r="P469" s="34"/>
      <c r="Q469" s="34"/>
      <c r="R469" s="34"/>
      <c r="S469" s="34"/>
      <c r="T469" s="34"/>
      <c r="U469" s="34"/>
      <c r="V469" s="34"/>
      <c r="W469" s="34"/>
      <c r="X469" s="34"/>
      <c r="Y469" s="34"/>
      <c r="Z469" s="34"/>
    </row>
    <row r="470">
      <c r="A470" s="31" t="s">
        <v>652</v>
      </c>
      <c r="B470" s="31" t="s">
        <v>1738</v>
      </c>
      <c r="C470" s="31" t="s">
        <v>57</v>
      </c>
      <c r="D470" s="31">
        <v>8.0</v>
      </c>
      <c r="E470" s="31">
        <v>35.8</v>
      </c>
      <c r="F470" s="31">
        <v>5.8</v>
      </c>
      <c r="G470" s="34">
        <f t="shared" si="70"/>
        <v>22</v>
      </c>
      <c r="H470" s="34"/>
      <c r="I470" s="34"/>
      <c r="J470" s="35"/>
      <c r="K470" s="34"/>
      <c r="L470" s="34"/>
      <c r="M470" s="34"/>
      <c r="N470" s="34"/>
      <c r="O470" s="34"/>
      <c r="P470" s="34"/>
      <c r="Q470" s="34"/>
      <c r="R470" s="34"/>
      <c r="S470" s="34"/>
      <c r="T470" s="34"/>
      <c r="U470" s="34"/>
      <c r="V470" s="34"/>
      <c r="W470" s="34"/>
      <c r="X470" s="34"/>
      <c r="Y470" s="34"/>
      <c r="Z470" s="34"/>
    </row>
    <row r="471">
      <c r="A471" s="31" t="s">
        <v>706</v>
      </c>
      <c r="B471" s="31" t="s">
        <v>1739</v>
      </c>
      <c r="C471" s="31" t="s">
        <v>51</v>
      </c>
      <c r="D471" s="31">
        <v>6.3</v>
      </c>
      <c r="E471" s="34"/>
      <c r="F471" s="31"/>
      <c r="G471" s="34"/>
      <c r="H471" s="37">
        <v>45696.0</v>
      </c>
      <c r="I471" s="34"/>
      <c r="J471" s="35"/>
      <c r="K471" s="34"/>
      <c r="L471" s="34"/>
      <c r="M471" s="34"/>
      <c r="N471" s="34"/>
      <c r="O471" s="34"/>
      <c r="P471" s="34"/>
      <c r="Q471" s="34"/>
      <c r="R471" s="34"/>
      <c r="S471" s="34"/>
      <c r="T471" s="34"/>
      <c r="U471" s="34"/>
      <c r="V471" s="34"/>
      <c r="W471" s="34"/>
      <c r="X471" s="34"/>
      <c r="Y471" s="34"/>
      <c r="Z471" s="34"/>
    </row>
    <row r="472">
      <c r="A472" s="31" t="s">
        <v>706</v>
      </c>
      <c r="B472" s="31" t="s">
        <v>1740</v>
      </c>
      <c r="C472" s="31" t="s">
        <v>66</v>
      </c>
      <c r="D472" s="31">
        <v>10.0</v>
      </c>
      <c r="E472" s="31">
        <v>27.5</v>
      </c>
      <c r="F472" s="31">
        <v>6.1</v>
      </c>
      <c r="G472" s="34">
        <f>E472-F472-D472</f>
        <v>11.4</v>
      </c>
      <c r="H472" s="34"/>
      <c r="I472" s="34"/>
      <c r="J472" s="35"/>
      <c r="K472" s="34"/>
      <c r="L472" s="34"/>
      <c r="M472" s="34"/>
      <c r="N472" s="34"/>
      <c r="O472" s="34"/>
      <c r="P472" s="34"/>
      <c r="Q472" s="34"/>
      <c r="R472" s="34"/>
      <c r="S472" s="34"/>
      <c r="T472" s="34"/>
      <c r="U472" s="34"/>
      <c r="V472" s="34"/>
      <c r="W472" s="34"/>
      <c r="X472" s="34"/>
      <c r="Y472" s="34"/>
      <c r="Z472" s="34"/>
    </row>
    <row r="473">
      <c r="A473" s="31" t="s">
        <v>706</v>
      </c>
      <c r="B473" s="31" t="s">
        <v>1741</v>
      </c>
      <c r="C473" s="31">
        <v>24.0</v>
      </c>
      <c r="D473" s="31">
        <v>5.0</v>
      </c>
      <c r="E473" s="31"/>
      <c r="F473" s="31"/>
      <c r="G473" s="34"/>
      <c r="H473" s="37">
        <v>45696.0</v>
      </c>
      <c r="I473" s="34"/>
      <c r="J473" s="35"/>
      <c r="K473" s="34"/>
      <c r="L473" s="34"/>
      <c r="M473" s="34"/>
      <c r="N473" s="34"/>
      <c r="O473" s="34"/>
      <c r="P473" s="34"/>
      <c r="Q473" s="34"/>
      <c r="R473" s="34"/>
      <c r="S473" s="34"/>
      <c r="T473" s="34"/>
      <c r="U473" s="34"/>
      <c r="V473" s="34"/>
      <c r="W473" s="34"/>
      <c r="X473" s="34"/>
      <c r="Y473" s="34"/>
      <c r="Z473" s="34"/>
    </row>
    <row r="474">
      <c r="A474" s="31" t="s">
        <v>652</v>
      </c>
      <c r="B474" s="31" t="s">
        <v>1742</v>
      </c>
      <c r="C474" s="31" t="s">
        <v>51</v>
      </c>
      <c r="D474" s="31">
        <v>3.5</v>
      </c>
      <c r="E474" s="31">
        <v>20.0</v>
      </c>
      <c r="F474" s="31">
        <v>0.0</v>
      </c>
      <c r="G474" s="34">
        <f t="shared" ref="G474:G478" si="71">E474-F474-D474</f>
        <v>16.5</v>
      </c>
      <c r="H474" s="34"/>
      <c r="I474" s="34"/>
      <c r="J474" s="35"/>
      <c r="K474" s="34"/>
      <c r="L474" s="34"/>
      <c r="M474" s="34"/>
      <c r="N474" s="34"/>
      <c r="O474" s="34"/>
      <c r="P474" s="34"/>
      <c r="Q474" s="34"/>
      <c r="R474" s="34"/>
      <c r="S474" s="34"/>
      <c r="T474" s="34"/>
      <c r="U474" s="34"/>
      <c r="V474" s="34"/>
      <c r="W474" s="34"/>
      <c r="X474" s="34"/>
      <c r="Y474" s="34"/>
      <c r="Z474" s="34"/>
    </row>
    <row r="475">
      <c r="A475" s="31" t="s">
        <v>652</v>
      </c>
      <c r="B475" s="31" t="s">
        <v>1743</v>
      </c>
      <c r="C475" s="31" t="s">
        <v>51</v>
      </c>
      <c r="D475" s="31">
        <v>3.5</v>
      </c>
      <c r="E475" s="31">
        <v>20.0</v>
      </c>
      <c r="F475" s="31">
        <v>0.0</v>
      </c>
      <c r="G475" s="34">
        <f t="shared" si="71"/>
        <v>16.5</v>
      </c>
      <c r="H475" s="34"/>
      <c r="I475" s="34"/>
      <c r="J475" s="35"/>
      <c r="K475" s="34"/>
      <c r="L475" s="34"/>
      <c r="M475" s="34"/>
      <c r="N475" s="34"/>
      <c r="O475" s="34"/>
      <c r="P475" s="34"/>
      <c r="Q475" s="34"/>
      <c r="R475" s="34"/>
      <c r="S475" s="34"/>
      <c r="T475" s="34"/>
      <c r="U475" s="34"/>
      <c r="V475" s="34"/>
      <c r="W475" s="34"/>
      <c r="X475" s="34"/>
      <c r="Y475" s="34"/>
      <c r="Z475" s="34"/>
    </row>
    <row r="476">
      <c r="A476" s="57" t="s">
        <v>706</v>
      </c>
      <c r="B476" s="57" t="s">
        <v>1744</v>
      </c>
      <c r="C476" s="57" t="s">
        <v>51</v>
      </c>
      <c r="D476" s="57">
        <v>7.0</v>
      </c>
      <c r="E476" s="57">
        <v>20.0</v>
      </c>
      <c r="F476" s="57">
        <v>0.0</v>
      </c>
      <c r="G476" s="58">
        <f t="shared" si="71"/>
        <v>13</v>
      </c>
      <c r="H476" s="58"/>
      <c r="I476" s="58"/>
      <c r="J476" s="59"/>
      <c r="K476" s="58"/>
      <c r="L476" s="58"/>
      <c r="M476" s="58"/>
      <c r="N476" s="58"/>
      <c r="O476" s="58"/>
      <c r="P476" s="58"/>
      <c r="Q476" s="58"/>
      <c r="R476" s="58"/>
      <c r="S476" s="58"/>
      <c r="T476" s="58"/>
      <c r="U476" s="58"/>
      <c r="V476" s="58"/>
      <c r="W476" s="58"/>
      <c r="X476" s="58"/>
      <c r="Y476" s="58"/>
      <c r="Z476" s="58"/>
    </row>
    <row r="477">
      <c r="A477" s="31" t="s">
        <v>706</v>
      </c>
      <c r="B477" s="31" t="s">
        <v>1745</v>
      </c>
      <c r="C477" s="31" t="s">
        <v>66</v>
      </c>
      <c r="D477" s="31">
        <v>0.0</v>
      </c>
      <c r="E477" s="31">
        <v>30.0</v>
      </c>
      <c r="F477" s="31">
        <v>0.0</v>
      </c>
      <c r="G477" s="34">
        <f t="shared" si="71"/>
        <v>30</v>
      </c>
      <c r="H477" s="34"/>
      <c r="I477" s="34"/>
      <c r="J477" s="35"/>
      <c r="K477" s="34"/>
      <c r="L477" s="34"/>
      <c r="M477" s="34"/>
      <c r="N477" s="34"/>
      <c r="O477" s="34"/>
      <c r="P477" s="34"/>
      <c r="Q477" s="34"/>
      <c r="R477" s="34"/>
      <c r="S477" s="34"/>
      <c r="T477" s="34"/>
      <c r="U477" s="34"/>
      <c r="V477" s="34"/>
      <c r="W477" s="34"/>
      <c r="X477" s="34"/>
      <c r="Y477" s="34"/>
      <c r="Z477" s="34"/>
    </row>
    <row r="478">
      <c r="A478" s="31" t="s">
        <v>652</v>
      </c>
      <c r="B478" s="31" t="s">
        <v>1746</v>
      </c>
      <c r="C478" s="31" t="s">
        <v>51</v>
      </c>
      <c r="D478" s="31">
        <v>7.0</v>
      </c>
      <c r="E478" s="31">
        <v>34.0</v>
      </c>
      <c r="F478" s="31">
        <v>7.27</v>
      </c>
      <c r="G478" s="34">
        <f t="shared" si="71"/>
        <v>19.73</v>
      </c>
      <c r="H478" s="34"/>
      <c r="I478" s="34"/>
      <c r="J478" s="35"/>
      <c r="K478" s="34"/>
      <c r="L478" s="34"/>
      <c r="M478" s="34"/>
      <c r="N478" s="34"/>
      <c r="O478" s="34"/>
      <c r="P478" s="34"/>
      <c r="Q478" s="34"/>
      <c r="R478" s="34"/>
      <c r="S478" s="34"/>
      <c r="T478" s="34"/>
      <c r="U478" s="34"/>
      <c r="V478" s="34"/>
      <c r="W478" s="34"/>
      <c r="X478" s="34"/>
      <c r="Y478" s="34"/>
      <c r="Z478" s="34"/>
    </row>
    <row r="479">
      <c r="A479" s="31" t="s">
        <v>652</v>
      </c>
      <c r="B479" s="31" t="s">
        <v>1747</v>
      </c>
      <c r="C479" s="31" t="s">
        <v>57</v>
      </c>
      <c r="D479" s="31">
        <v>4.0</v>
      </c>
      <c r="E479" s="34"/>
      <c r="F479" s="34"/>
      <c r="G479" s="34"/>
      <c r="H479" s="37">
        <v>45696.0</v>
      </c>
      <c r="I479" s="34"/>
      <c r="J479" s="35"/>
      <c r="K479" s="34"/>
      <c r="L479" s="34"/>
      <c r="M479" s="34"/>
      <c r="N479" s="34"/>
      <c r="O479" s="34"/>
      <c r="P479" s="34"/>
      <c r="Q479" s="34"/>
      <c r="R479" s="34"/>
      <c r="S479" s="34"/>
      <c r="T479" s="34"/>
      <c r="U479" s="34"/>
      <c r="V479" s="34"/>
      <c r="W479" s="34"/>
      <c r="X479" s="34"/>
      <c r="Y479" s="34"/>
      <c r="Z479" s="34"/>
    </row>
    <row r="480">
      <c r="A480" s="31" t="s">
        <v>652</v>
      </c>
      <c r="B480" s="31" t="s">
        <v>1748</v>
      </c>
      <c r="C480" s="31" t="s">
        <v>57</v>
      </c>
      <c r="D480" s="31">
        <v>10.0</v>
      </c>
      <c r="E480" s="34"/>
      <c r="F480" s="34"/>
      <c r="G480" s="34"/>
      <c r="H480" s="37">
        <v>45696.0</v>
      </c>
      <c r="I480" s="34"/>
      <c r="J480" s="35"/>
      <c r="K480" s="34"/>
      <c r="L480" s="34"/>
      <c r="M480" s="34"/>
      <c r="N480" s="34"/>
      <c r="O480" s="34"/>
      <c r="P480" s="34"/>
      <c r="Q480" s="34"/>
      <c r="R480" s="34"/>
      <c r="S480" s="34"/>
      <c r="T480" s="34"/>
      <c r="U480" s="34"/>
      <c r="V480" s="34"/>
      <c r="W480" s="34"/>
      <c r="X480" s="34"/>
      <c r="Y480" s="34"/>
      <c r="Z480" s="34"/>
    </row>
    <row r="481">
      <c r="A481" s="31" t="s">
        <v>652</v>
      </c>
      <c r="B481" s="31" t="s">
        <v>1749</v>
      </c>
      <c r="C481" s="31">
        <v>28.0</v>
      </c>
      <c r="D481" s="31"/>
      <c r="E481" s="34"/>
      <c r="F481" s="34"/>
      <c r="G481" s="34"/>
      <c r="H481" s="37">
        <v>45696.0</v>
      </c>
      <c r="I481" s="34"/>
      <c r="J481" s="35"/>
      <c r="K481" s="34"/>
      <c r="L481" s="34"/>
      <c r="M481" s="34"/>
      <c r="N481" s="34"/>
      <c r="O481" s="34"/>
      <c r="P481" s="34"/>
      <c r="Q481" s="34"/>
      <c r="R481" s="34"/>
      <c r="S481" s="34"/>
      <c r="T481" s="34"/>
      <c r="U481" s="34"/>
      <c r="V481" s="34"/>
      <c r="W481" s="34"/>
      <c r="X481" s="34"/>
      <c r="Y481" s="34"/>
      <c r="Z481" s="34"/>
    </row>
    <row r="482">
      <c r="A482" s="31" t="s">
        <v>706</v>
      </c>
      <c r="B482" s="31" t="s">
        <v>1750</v>
      </c>
      <c r="C482" s="31" t="s">
        <v>51</v>
      </c>
      <c r="D482" s="31">
        <v>12.2</v>
      </c>
      <c r="E482" s="34"/>
      <c r="F482" s="34"/>
      <c r="G482" s="34"/>
      <c r="H482" s="31" t="s">
        <v>1195</v>
      </c>
      <c r="I482" s="34"/>
      <c r="J482" s="35"/>
      <c r="K482" s="34"/>
      <c r="L482" s="34"/>
      <c r="M482" s="34"/>
      <c r="N482" s="34"/>
      <c r="O482" s="34"/>
      <c r="P482" s="34"/>
      <c r="Q482" s="34"/>
      <c r="R482" s="34"/>
      <c r="S482" s="34"/>
      <c r="T482" s="34"/>
      <c r="U482" s="34"/>
      <c r="V482" s="34"/>
      <c r="W482" s="34"/>
      <c r="X482" s="34"/>
      <c r="Y482" s="34"/>
      <c r="Z482" s="34"/>
    </row>
    <row r="483">
      <c r="A483" s="31" t="s">
        <v>652</v>
      </c>
      <c r="B483" s="31" t="s">
        <v>1751</v>
      </c>
      <c r="C483" s="31" t="s">
        <v>51</v>
      </c>
      <c r="D483" s="31">
        <v>7.0</v>
      </c>
      <c r="E483" s="34"/>
      <c r="F483" s="34"/>
      <c r="G483" s="34"/>
      <c r="H483" s="31" t="s">
        <v>1195</v>
      </c>
      <c r="I483" s="34"/>
      <c r="J483" s="35"/>
      <c r="K483" s="34"/>
      <c r="L483" s="34"/>
      <c r="M483" s="34"/>
      <c r="N483" s="34"/>
      <c r="O483" s="34"/>
      <c r="P483" s="34"/>
      <c r="Q483" s="34"/>
      <c r="R483" s="34"/>
      <c r="S483" s="34"/>
      <c r="T483" s="34"/>
      <c r="U483" s="34"/>
      <c r="V483" s="34"/>
      <c r="W483" s="34"/>
      <c r="X483" s="34"/>
      <c r="Y483" s="34"/>
      <c r="Z483" s="34"/>
    </row>
    <row r="484">
      <c r="A484" s="31" t="s">
        <v>652</v>
      </c>
      <c r="B484" s="31" t="s">
        <v>1752</v>
      </c>
      <c r="C484" s="31" t="s">
        <v>120</v>
      </c>
      <c r="D484" s="31">
        <v>6.3</v>
      </c>
      <c r="E484" s="34"/>
      <c r="F484" s="34"/>
      <c r="G484" s="34"/>
      <c r="H484" s="31" t="s">
        <v>1195</v>
      </c>
      <c r="I484" s="34"/>
      <c r="J484" s="35"/>
      <c r="K484" s="34"/>
      <c r="L484" s="34"/>
      <c r="M484" s="34"/>
      <c r="N484" s="34"/>
      <c r="O484" s="34"/>
      <c r="P484" s="34"/>
      <c r="Q484" s="34"/>
      <c r="R484" s="34"/>
      <c r="S484" s="34"/>
      <c r="T484" s="34"/>
      <c r="U484" s="34"/>
      <c r="V484" s="34"/>
      <c r="W484" s="34"/>
      <c r="X484" s="34"/>
      <c r="Y484" s="34"/>
      <c r="Z484" s="34"/>
    </row>
    <row r="485">
      <c r="A485" s="31" t="s">
        <v>652</v>
      </c>
      <c r="B485" s="31" t="s">
        <v>1753</v>
      </c>
      <c r="C485" s="31" t="s">
        <v>57</v>
      </c>
      <c r="D485" s="31">
        <v>3.5</v>
      </c>
      <c r="E485" s="34"/>
      <c r="F485" s="34"/>
      <c r="G485" s="34"/>
      <c r="H485" s="31" t="s">
        <v>1195</v>
      </c>
      <c r="I485" s="34"/>
      <c r="J485" s="35"/>
      <c r="K485" s="34"/>
      <c r="L485" s="34"/>
      <c r="M485" s="34"/>
      <c r="N485" s="34"/>
      <c r="O485" s="34"/>
      <c r="P485" s="34"/>
      <c r="Q485" s="34"/>
      <c r="R485" s="34"/>
      <c r="S485" s="34"/>
      <c r="T485" s="34"/>
      <c r="U485" s="34"/>
      <c r="V485" s="34"/>
      <c r="W485" s="34"/>
      <c r="X485" s="34"/>
      <c r="Y485" s="34"/>
      <c r="Z485" s="34"/>
    </row>
    <row r="486">
      <c r="A486" s="31" t="s">
        <v>652</v>
      </c>
      <c r="B486" s="31" t="s">
        <v>1754</v>
      </c>
      <c r="C486" s="31" t="s">
        <v>66</v>
      </c>
      <c r="D486" s="31">
        <v>7.0</v>
      </c>
      <c r="E486" s="34"/>
      <c r="F486" s="34"/>
      <c r="G486" s="34"/>
      <c r="H486" s="31" t="s">
        <v>1195</v>
      </c>
      <c r="I486" s="34"/>
      <c r="J486" s="35"/>
      <c r="K486" s="34"/>
      <c r="L486" s="34"/>
      <c r="M486" s="34"/>
      <c r="N486" s="34"/>
      <c r="O486" s="34"/>
      <c r="P486" s="34"/>
      <c r="Q486" s="34"/>
      <c r="R486" s="34"/>
      <c r="S486" s="34"/>
      <c r="T486" s="34"/>
      <c r="U486" s="34"/>
      <c r="V486" s="34"/>
      <c r="W486" s="34"/>
      <c r="X486" s="34"/>
      <c r="Y486" s="34"/>
      <c r="Z486" s="34"/>
    </row>
    <row r="487">
      <c r="A487" s="10" t="s">
        <v>723</v>
      </c>
      <c r="B487" s="10" t="s">
        <v>1755</v>
      </c>
      <c r="C487" s="10" t="s">
        <v>51</v>
      </c>
      <c r="D487" s="10">
        <v>10.0</v>
      </c>
      <c r="E487" s="10">
        <v>20.0</v>
      </c>
      <c r="F487" s="10">
        <v>0.0</v>
      </c>
      <c r="G487" s="11">
        <f>E487-F487-D487</f>
        <v>10</v>
      </c>
      <c r="H487" s="49">
        <v>45976.0</v>
      </c>
      <c r="I487" s="11"/>
      <c r="J487" s="12"/>
      <c r="K487" s="11"/>
      <c r="L487" s="11"/>
      <c r="M487" s="11"/>
      <c r="N487" s="11"/>
      <c r="O487" s="11"/>
      <c r="P487" s="11"/>
      <c r="Q487" s="11"/>
      <c r="R487" s="11"/>
      <c r="S487" s="11"/>
      <c r="T487" s="11"/>
      <c r="U487" s="11"/>
      <c r="V487" s="11"/>
      <c r="W487" s="11"/>
      <c r="X487" s="11"/>
      <c r="Y487" s="11"/>
      <c r="Z487" s="11"/>
    </row>
    <row r="488">
      <c r="A488" s="10" t="s">
        <v>723</v>
      </c>
      <c r="B488" s="10" t="s">
        <v>1756</v>
      </c>
      <c r="C488" s="10">
        <v>4.0</v>
      </c>
      <c r="D488" s="10">
        <v>7.0</v>
      </c>
      <c r="E488" s="10">
        <v>20.0</v>
      </c>
      <c r="F488" s="10">
        <v>0.0</v>
      </c>
      <c r="G488" s="11">
        <f>E488-D488</f>
        <v>13</v>
      </c>
      <c r="H488" s="49">
        <v>45976.0</v>
      </c>
      <c r="I488" s="11"/>
      <c r="J488" s="12"/>
      <c r="K488" s="11"/>
      <c r="L488" s="11"/>
      <c r="M488" s="11"/>
      <c r="N488" s="11"/>
      <c r="O488" s="11"/>
      <c r="P488" s="11"/>
      <c r="Q488" s="11"/>
      <c r="R488" s="11"/>
      <c r="S488" s="11"/>
      <c r="T488" s="11"/>
      <c r="U488" s="11"/>
      <c r="V488" s="11"/>
      <c r="W488" s="11"/>
      <c r="X488" s="11"/>
      <c r="Y488" s="11"/>
      <c r="Z488" s="11"/>
    </row>
    <row r="489">
      <c r="A489" s="7" t="s">
        <v>723</v>
      </c>
      <c r="B489" s="7" t="s">
        <v>1757</v>
      </c>
      <c r="C489" s="7" t="s">
        <v>51</v>
      </c>
      <c r="D489" s="7">
        <v>7.0</v>
      </c>
      <c r="E489" s="7">
        <v>14.4</v>
      </c>
      <c r="F489" s="7">
        <v>0.0</v>
      </c>
      <c r="G489" s="8">
        <f t="shared" ref="G489:G495" si="72">E489-F489-D489</f>
        <v>7.4</v>
      </c>
      <c r="H489" s="7"/>
      <c r="I489" s="7" t="s">
        <v>614</v>
      </c>
      <c r="J489" s="9"/>
      <c r="K489" s="8"/>
      <c r="L489" s="8"/>
      <c r="M489" s="8"/>
      <c r="N489" s="8"/>
      <c r="O489" s="8"/>
      <c r="P489" s="8"/>
      <c r="Q489" s="8"/>
      <c r="R489" s="8"/>
      <c r="S489" s="8"/>
      <c r="T489" s="8"/>
      <c r="U489" s="8"/>
      <c r="V489" s="8"/>
      <c r="W489" s="8"/>
      <c r="X489" s="8"/>
      <c r="Y489" s="8"/>
      <c r="Z489" s="8"/>
    </row>
    <row r="490">
      <c r="A490" s="31" t="s">
        <v>723</v>
      </c>
      <c r="B490" s="31" t="s">
        <v>1758</v>
      </c>
      <c r="C490" s="31" t="s">
        <v>51</v>
      </c>
      <c r="D490" s="31">
        <v>3.0</v>
      </c>
      <c r="E490" s="31">
        <v>25.0</v>
      </c>
      <c r="F490" s="31">
        <v>0.0</v>
      </c>
      <c r="G490" s="34">
        <f t="shared" si="72"/>
        <v>22</v>
      </c>
      <c r="H490" s="34"/>
      <c r="I490" s="31"/>
      <c r="J490" s="35"/>
      <c r="K490" s="34"/>
      <c r="L490" s="34"/>
      <c r="M490" s="34"/>
      <c r="N490" s="34"/>
      <c r="O490" s="34"/>
      <c r="P490" s="34"/>
      <c r="Q490" s="34"/>
      <c r="R490" s="34"/>
      <c r="S490" s="34"/>
      <c r="T490" s="34"/>
      <c r="U490" s="34"/>
      <c r="V490" s="34"/>
      <c r="W490" s="34"/>
      <c r="X490" s="34"/>
      <c r="Y490" s="34"/>
      <c r="Z490" s="34"/>
    </row>
    <row r="491">
      <c r="A491" s="31" t="s">
        <v>723</v>
      </c>
      <c r="B491" s="31" t="s">
        <v>1759</v>
      </c>
      <c r="C491" s="31">
        <v>0.0</v>
      </c>
      <c r="D491" s="31">
        <v>2.5</v>
      </c>
      <c r="E491" s="31">
        <v>27.5</v>
      </c>
      <c r="F491" s="31">
        <v>6.1</v>
      </c>
      <c r="G491" s="34">
        <f t="shared" si="72"/>
        <v>18.9</v>
      </c>
      <c r="H491" s="34"/>
      <c r="I491" s="34"/>
      <c r="J491" s="35"/>
      <c r="K491" s="34"/>
      <c r="L491" s="34"/>
      <c r="M491" s="34"/>
      <c r="N491" s="34"/>
      <c r="O491" s="34"/>
      <c r="P491" s="34"/>
      <c r="Q491" s="34"/>
      <c r="R491" s="34"/>
      <c r="S491" s="34"/>
      <c r="T491" s="34"/>
      <c r="U491" s="34"/>
      <c r="V491" s="34"/>
      <c r="W491" s="34"/>
      <c r="X491" s="34"/>
      <c r="Y491" s="34"/>
      <c r="Z491" s="34"/>
    </row>
    <row r="492">
      <c r="A492" s="51" t="s">
        <v>723</v>
      </c>
      <c r="B492" s="51" t="s">
        <v>1760</v>
      </c>
      <c r="C492" s="51">
        <v>8.0</v>
      </c>
      <c r="D492" s="51">
        <v>10.0</v>
      </c>
      <c r="E492" s="51">
        <v>30.0</v>
      </c>
      <c r="F492" s="51">
        <v>0.0</v>
      </c>
      <c r="G492" s="52">
        <f t="shared" si="72"/>
        <v>20</v>
      </c>
      <c r="H492" s="52"/>
      <c r="I492" s="51"/>
      <c r="J492" s="53"/>
      <c r="K492" s="52"/>
      <c r="L492" s="52"/>
      <c r="M492" s="52"/>
      <c r="N492" s="52"/>
      <c r="O492" s="52"/>
      <c r="P492" s="52"/>
      <c r="Q492" s="52"/>
      <c r="R492" s="52"/>
      <c r="S492" s="52"/>
      <c r="T492" s="52"/>
      <c r="U492" s="52"/>
      <c r="V492" s="52"/>
      <c r="W492" s="52"/>
      <c r="X492" s="52"/>
      <c r="Y492" s="52"/>
      <c r="Z492" s="52"/>
    </row>
    <row r="493">
      <c r="A493" s="42" t="s">
        <v>739</v>
      </c>
      <c r="B493" s="42" t="s">
        <v>1761</v>
      </c>
      <c r="C493" s="42">
        <v>3.0</v>
      </c>
      <c r="D493" s="42"/>
      <c r="E493" s="42">
        <v>35.36</v>
      </c>
      <c r="F493" s="42">
        <v>6.84</v>
      </c>
      <c r="G493" s="43">
        <f t="shared" si="72"/>
        <v>28.52</v>
      </c>
      <c r="H493" s="42" t="s">
        <v>1202</v>
      </c>
      <c r="I493" s="43"/>
      <c r="J493" s="44"/>
      <c r="K493" s="43"/>
      <c r="L493" s="43"/>
      <c r="M493" s="43"/>
      <c r="N493" s="43"/>
      <c r="O493" s="43"/>
      <c r="P493" s="43"/>
      <c r="Q493" s="43"/>
      <c r="R493" s="43"/>
      <c r="S493" s="43"/>
      <c r="T493" s="43"/>
      <c r="U493" s="43"/>
      <c r="V493" s="43"/>
      <c r="W493" s="43"/>
      <c r="X493" s="43"/>
      <c r="Y493" s="43"/>
      <c r="Z493" s="43"/>
    </row>
    <row r="494">
      <c r="A494" s="42" t="s">
        <v>739</v>
      </c>
      <c r="B494" s="42" t="s">
        <v>1762</v>
      </c>
      <c r="C494" s="42">
        <v>2.0</v>
      </c>
      <c r="D494" s="42"/>
      <c r="E494" s="42">
        <v>51.96</v>
      </c>
      <c r="F494" s="42">
        <v>5.8</v>
      </c>
      <c r="G494" s="43">
        <f t="shared" si="72"/>
        <v>46.16</v>
      </c>
      <c r="H494" s="42" t="s">
        <v>1202</v>
      </c>
      <c r="I494" s="43"/>
      <c r="J494" s="44"/>
      <c r="K494" s="43"/>
      <c r="L494" s="43"/>
      <c r="M494" s="43"/>
      <c r="N494" s="43"/>
      <c r="O494" s="43"/>
      <c r="P494" s="43"/>
      <c r="Q494" s="43"/>
      <c r="R494" s="43"/>
      <c r="S494" s="43"/>
      <c r="T494" s="43"/>
      <c r="U494" s="43"/>
      <c r="V494" s="43"/>
      <c r="W494" s="43"/>
      <c r="X494" s="43"/>
      <c r="Y494" s="43"/>
      <c r="Z494" s="43"/>
    </row>
    <row r="495">
      <c r="A495" s="7" t="s">
        <v>739</v>
      </c>
      <c r="B495" s="7" t="s">
        <v>1763</v>
      </c>
      <c r="C495" s="7">
        <v>3.0</v>
      </c>
      <c r="D495" s="7">
        <v>4.0</v>
      </c>
      <c r="E495" s="7">
        <v>22.0</v>
      </c>
      <c r="F495" s="7">
        <v>0.0</v>
      </c>
      <c r="G495" s="8">
        <f t="shared" si="72"/>
        <v>18</v>
      </c>
      <c r="H495" s="8"/>
      <c r="I495" s="7" t="s">
        <v>614</v>
      </c>
      <c r="J495" s="9"/>
      <c r="K495" s="8"/>
      <c r="L495" s="8"/>
      <c r="M495" s="8"/>
      <c r="N495" s="8"/>
      <c r="O495" s="8"/>
      <c r="P495" s="8"/>
      <c r="Q495" s="8"/>
      <c r="R495" s="8"/>
      <c r="S495" s="8"/>
      <c r="T495" s="8"/>
      <c r="U495" s="8"/>
      <c r="V495" s="8"/>
      <c r="W495" s="8"/>
      <c r="X495" s="8"/>
      <c r="Y495" s="8"/>
      <c r="Z495" s="8"/>
    </row>
    <row r="496">
      <c r="A496" s="45" t="s">
        <v>1764</v>
      </c>
      <c r="B496" s="45" t="s">
        <v>1765</v>
      </c>
      <c r="C496" s="45" t="s">
        <v>66</v>
      </c>
      <c r="D496" s="45">
        <v>17.0</v>
      </c>
      <c r="E496" s="45">
        <v>30.0</v>
      </c>
      <c r="F496" s="45">
        <v>0.0</v>
      </c>
      <c r="G496" s="46">
        <f>E496-D496</f>
        <v>13</v>
      </c>
      <c r="H496" s="47">
        <v>46047.0</v>
      </c>
      <c r="I496" s="46"/>
      <c r="J496" s="48"/>
      <c r="K496" s="46"/>
      <c r="L496" s="46"/>
      <c r="M496" s="46"/>
      <c r="N496" s="46"/>
      <c r="O496" s="46"/>
      <c r="P496" s="46"/>
      <c r="Q496" s="46"/>
      <c r="R496" s="46"/>
      <c r="S496" s="46"/>
      <c r="T496" s="46"/>
      <c r="U496" s="46"/>
      <c r="V496" s="46"/>
      <c r="W496" s="46"/>
      <c r="X496" s="46"/>
      <c r="Y496" s="46"/>
      <c r="Z496" s="46"/>
    </row>
    <row r="497">
      <c r="A497" s="31" t="s">
        <v>746</v>
      </c>
      <c r="B497" s="31" t="s">
        <v>1766</v>
      </c>
      <c r="C497" s="31" t="s">
        <v>51</v>
      </c>
      <c r="D497" s="31">
        <v>7.0</v>
      </c>
      <c r="E497" s="31">
        <v>25.0</v>
      </c>
      <c r="F497" s="31">
        <v>5.39</v>
      </c>
      <c r="G497" s="34">
        <f>E497-F497-D497</f>
        <v>12.61</v>
      </c>
      <c r="H497" s="34"/>
      <c r="I497" s="34"/>
      <c r="J497" s="35"/>
      <c r="K497" s="34"/>
      <c r="L497" s="34"/>
      <c r="M497" s="34"/>
      <c r="N497" s="34"/>
      <c r="O497" s="34"/>
      <c r="P497" s="34"/>
      <c r="Q497" s="34"/>
      <c r="R497" s="34"/>
      <c r="S497" s="34"/>
      <c r="T497" s="34"/>
      <c r="U497" s="34"/>
      <c r="V497" s="34"/>
      <c r="W497" s="34"/>
      <c r="X497" s="34"/>
      <c r="Y497" s="34"/>
      <c r="Z497" s="34"/>
    </row>
    <row r="498">
      <c r="A498" s="31" t="s">
        <v>746</v>
      </c>
      <c r="B498" s="31" t="s">
        <v>1767</v>
      </c>
      <c r="C498" s="31" t="s">
        <v>57</v>
      </c>
      <c r="D498" s="34"/>
      <c r="E498" s="34"/>
      <c r="F498" s="34"/>
      <c r="G498" s="34"/>
      <c r="H498" s="36">
        <v>45767.0</v>
      </c>
      <c r="I498" s="34"/>
      <c r="J498" s="35"/>
      <c r="K498" s="34"/>
      <c r="L498" s="34"/>
      <c r="M498" s="34"/>
      <c r="N498" s="34"/>
      <c r="O498" s="34"/>
      <c r="P498" s="34"/>
      <c r="Q498" s="34"/>
      <c r="R498" s="34"/>
      <c r="S498" s="34"/>
      <c r="T498" s="34"/>
      <c r="U498" s="34"/>
      <c r="V498" s="34"/>
      <c r="W498" s="34"/>
      <c r="X498" s="34"/>
      <c r="Y498" s="34"/>
      <c r="Z498" s="34"/>
    </row>
    <row r="499">
      <c r="A499" s="10" t="s">
        <v>749</v>
      </c>
      <c r="B499" s="10" t="s">
        <v>1345</v>
      </c>
      <c r="C499" s="10">
        <v>4.0</v>
      </c>
      <c r="D499" s="11"/>
      <c r="E499" s="10">
        <v>40.0</v>
      </c>
      <c r="F499" s="10">
        <v>0.0</v>
      </c>
      <c r="G499" s="11">
        <f>E499-F499-D499</f>
        <v>40</v>
      </c>
      <c r="H499" s="49">
        <v>45976.0</v>
      </c>
      <c r="I499" s="11"/>
      <c r="J499" s="12"/>
      <c r="K499" s="11"/>
      <c r="L499" s="11"/>
      <c r="M499" s="11"/>
      <c r="N499" s="11"/>
      <c r="O499" s="11"/>
      <c r="P499" s="11"/>
      <c r="Q499" s="11"/>
      <c r="R499" s="11"/>
      <c r="S499" s="11"/>
      <c r="T499" s="11"/>
      <c r="U499" s="11"/>
      <c r="V499" s="11"/>
      <c r="W499" s="11"/>
      <c r="X499" s="11"/>
      <c r="Y499" s="11"/>
      <c r="Z499" s="11"/>
    </row>
    <row r="500">
      <c r="A500" s="10" t="s">
        <v>1768</v>
      </c>
      <c r="B500" s="10" t="s">
        <v>573</v>
      </c>
      <c r="C500" s="10"/>
      <c r="D500" s="10">
        <v>9.5</v>
      </c>
      <c r="E500" s="11"/>
      <c r="F500" s="11"/>
      <c r="G500" s="11"/>
      <c r="H500" s="68">
        <v>45935.0</v>
      </c>
      <c r="I500" s="11"/>
      <c r="J500" s="12"/>
      <c r="K500" s="11"/>
      <c r="L500" s="11"/>
      <c r="M500" s="11"/>
      <c r="N500" s="11"/>
      <c r="O500" s="11"/>
      <c r="P500" s="11"/>
      <c r="Q500" s="11"/>
      <c r="R500" s="11"/>
      <c r="S500" s="11"/>
      <c r="T500" s="11"/>
      <c r="U500" s="11"/>
      <c r="V500" s="11"/>
      <c r="W500" s="11"/>
      <c r="X500" s="11"/>
      <c r="Y500" s="11"/>
      <c r="Z500" s="11"/>
    </row>
    <row r="501">
      <c r="A501" s="31" t="s">
        <v>1769</v>
      </c>
      <c r="B501" s="31" t="s">
        <v>1433</v>
      </c>
      <c r="C501" s="31">
        <v>12.0</v>
      </c>
      <c r="D501" s="31">
        <v>7.0</v>
      </c>
      <c r="E501" s="34"/>
      <c r="F501" s="34"/>
      <c r="G501" s="34"/>
      <c r="H501" s="31" t="s">
        <v>425</v>
      </c>
      <c r="I501" s="34"/>
      <c r="J501" s="35"/>
      <c r="K501" s="34"/>
      <c r="L501" s="34"/>
      <c r="M501" s="34"/>
      <c r="N501" s="34"/>
      <c r="O501" s="34"/>
      <c r="P501" s="34"/>
      <c r="Q501" s="34"/>
      <c r="R501" s="34"/>
      <c r="S501" s="34"/>
      <c r="T501" s="34"/>
      <c r="U501" s="34"/>
      <c r="V501" s="34"/>
      <c r="W501" s="34"/>
      <c r="X501" s="34"/>
      <c r="Y501" s="34"/>
      <c r="Z501" s="34"/>
    </row>
    <row r="502">
      <c r="A502" s="45" t="s">
        <v>1770</v>
      </c>
      <c r="B502" s="45" t="s">
        <v>1771</v>
      </c>
      <c r="C502" s="45" t="s">
        <v>66</v>
      </c>
      <c r="D502" s="45">
        <v>10.0</v>
      </c>
      <c r="E502" s="45">
        <v>30.0</v>
      </c>
      <c r="F502" s="45">
        <v>0.0</v>
      </c>
      <c r="G502" s="46">
        <f>E502-F502-D502</f>
        <v>20</v>
      </c>
      <c r="H502" s="47">
        <v>46047.0</v>
      </c>
      <c r="I502" s="46"/>
      <c r="J502" s="48"/>
      <c r="K502" s="46"/>
      <c r="L502" s="46"/>
      <c r="M502" s="46"/>
      <c r="N502" s="46"/>
      <c r="O502" s="46"/>
      <c r="P502" s="46"/>
      <c r="Q502" s="46"/>
      <c r="R502" s="46"/>
      <c r="S502" s="46"/>
      <c r="T502" s="46"/>
      <c r="U502" s="46"/>
      <c r="V502" s="46"/>
      <c r="W502" s="46"/>
      <c r="X502" s="46"/>
      <c r="Y502" s="46"/>
      <c r="Z502" s="46"/>
    </row>
    <row r="503">
      <c r="A503" s="38" t="s">
        <v>1772</v>
      </c>
      <c r="B503" s="38" t="s">
        <v>1773</v>
      </c>
      <c r="C503" s="38" t="s">
        <v>66</v>
      </c>
      <c r="D503" s="38">
        <v>15.2</v>
      </c>
      <c r="E503" s="39"/>
      <c r="F503" s="39"/>
      <c r="G503" s="39"/>
      <c r="H503" s="40">
        <v>45893.0</v>
      </c>
      <c r="I503" s="76" t="s">
        <v>1774</v>
      </c>
      <c r="J503" s="41"/>
      <c r="K503" s="39"/>
      <c r="L503" s="39"/>
      <c r="M503" s="39"/>
      <c r="N503" s="39"/>
      <c r="O503" s="39"/>
      <c r="P503" s="39"/>
      <c r="Q503" s="39"/>
      <c r="R503" s="39"/>
      <c r="S503" s="39"/>
      <c r="T503" s="39"/>
      <c r="U503" s="39"/>
      <c r="V503" s="39"/>
      <c r="W503" s="39"/>
      <c r="X503" s="39"/>
      <c r="Y503" s="39"/>
      <c r="Z503" s="39"/>
    </row>
    <row r="504">
      <c r="A504" s="31" t="s">
        <v>1775</v>
      </c>
      <c r="B504" s="31" t="s">
        <v>1776</v>
      </c>
      <c r="C504" s="31" t="s">
        <v>57</v>
      </c>
      <c r="D504" s="31">
        <v>7.0</v>
      </c>
      <c r="E504" s="34"/>
      <c r="F504" s="34"/>
      <c r="G504" s="34"/>
      <c r="H504" s="36">
        <v>45794.0</v>
      </c>
      <c r="I504" s="34"/>
      <c r="J504" s="35"/>
      <c r="K504" s="34"/>
      <c r="L504" s="34"/>
      <c r="M504" s="34"/>
      <c r="N504" s="34"/>
      <c r="O504" s="34"/>
      <c r="P504" s="34"/>
      <c r="Q504" s="34"/>
      <c r="R504" s="34"/>
      <c r="S504" s="34"/>
      <c r="T504" s="34"/>
      <c r="U504" s="34"/>
      <c r="V504" s="34"/>
      <c r="W504" s="34"/>
      <c r="X504" s="34"/>
      <c r="Y504" s="34"/>
      <c r="Z504" s="34"/>
    </row>
    <row r="505">
      <c r="A505" s="31" t="s">
        <v>1775</v>
      </c>
      <c r="B505" s="31" t="s">
        <v>243</v>
      </c>
      <c r="C505" s="31" t="s">
        <v>66</v>
      </c>
      <c r="D505" s="31">
        <v>8.6</v>
      </c>
      <c r="E505" s="31">
        <v>25.0</v>
      </c>
      <c r="F505" s="31">
        <v>0.0</v>
      </c>
      <c r="G505" s="34">
        <f>E505-F505-D505</f>
        <v>16.4</v>
      </c>
      <c r="H505" s="31" t="s">
        <v>1190</v>
      </c>
      <c r="I505" s="34"/>
      <c r="J505" s="35"/>
      <c r="K505" s="34"/>
      <c r="L505" s="34"/>
      <c r="M505" s="34"/>
      <c r="N505" s="34"/>
      <c r="O505" s="34"/>
      <c r="P505" s="34"/>
      <c r="Q505" s="34"/>
      <c r="R505" s="34"/>
      <c r="S505" s="34"/>
      <c r="T505" s="34"/>
      <c r="U505" s="34"/>
      <c r="V505" s="34"/>
      <c r="W505" s="34"/>
      <c r="X505" s="34"/>
      <c r="Y505" s="34"/>
      <c r="Z505" s="34"/>
    </row>
    <row r="506">
      <c r="A506" s="45" t="s">
        <v>1777</v>
      </c>
      <c r="B506" s="45" t="s">
        <v>1247</v>
      </c>
      <c r="C506" s="45" t="s">
        <v>57</v>
      </c>
      <c r="D506" s="45">
        <v>6.0</v>
      </c>
      <c r="E506" s="45">
        <v>25.0</v>
      </c>
      <c r="F506" s="45">
        <v>0.0</v>
      </c>
      <c r="G506" s="46">
        <f>E506-D506</f>
        <v>19</v>
      </c>
      <c r="H506" s="47">
        <v>46096.0</v>
      </c>
      <c r="I506" s="46"/>
      <c r="J506" s="48"/>
      <c r="K506" s="46"/>
      <c r="L506" s="46"/>
      <c r="M506" s="46"/>
      <c r="N506" s="46"/>
      <c r="O506" s="46"/>
      <c r="P506" s="46"/>
      <c r="Q506" s="46"/>
      <c r="R506" s="46"/>
      <c r="S506" s="46"/>
      <c r="T506" s="46"/>
      <c r="U506" s="46"/>
      <c r="V506" s="46"/>
      <c r="W506" s="46"/>
      <c r="X506" s="46"/>
      <c r="Y506" s="46"/>
      <c r="Z506" s="46"/>
    </row>
    <row r="507">
      <c r="A507" s="31" t="s">
        <v>1778</v>
      </c>
      <c r="B507" s="31" t="s">
        <v>1779</v>
      </c>
      <c r="C507" s="31" t="s">
        <v>51</v>
      </c>
      <c r="D507" s="31">
        <v>7.0</v>
      </c>
      <c r="E507" s="34"/>
      <c r="F507" s="34"/>
      <c r="G507" s="34"/>
      <c r="H507" s="36">
        <v>45794.0</v>
      </c>
      <c r="I507" s="31"/>
      <c r="J507" s="35"/>
      <c r="K507" s="34"/>
      <c r="L507" s="34"/>
      <c r="M507" s="34"/>
      <c r="N507" s="34"/>
      <c r="O507" s="34"/>
      <c r="P507" s="34"/>
      <c r="Q507" s="34"/>
      <c r="R507" s="34"/>
      <c r="S507" s="34"/>
      <c r="T507" s="34"/>
      <c r="U507" s="34"/>
      <c r="V507" s="34"/>
      <c r="W507" s="34"/>
      <c r="X507" s="34"/>
      <c r="Y507" s="34"/>
      <c r="Z507" s="34"/>
    </row>
    <row r="508">
      <c r="A508" s="31" t="s">
        <v>1166</v>
      </c>
      <c r="B508" s="31" t="s">
        <v>1780</v>
      </c>
      <c r="C508" s="31" t="s">
        <v>66</v>
      </c>
      <c r="D508" s="31">
        <v>7.0</v>
      </c>
      <c r="E508" s="31">
        <v>28.0</v>
      </c>
      <c r="F508" s="31">
        <v>4.38</v>
      </c>
      <c r="G508" s="34">
        <f t="shared" ref="G508:G509" si="73">E508-F508-D508</f>
        <v>16.62</v>
      </c>
      <c r="H508" s="31"/>
      <c r="I508" s="31"/>
      <c r="J508" s="35"/>
      <c r="K508" s="34"/>
      <c r="L508" s="34"/>
      <c r="M508" s="34"/>
      <c r="N508" s="34"/>
      <c r="O508" s="34"/>
      <c r="P508" s="34"/>
      <c r="Q508" s="34"/>
      <c r="R508" s="34"/>
      <c r="S508" s="34"/>
      <c r="T508" s="34"/>
      <c r="U508" s="34"/>
      <c r="V508" s="34"/>
      <c r="W508" s="34"/>
      <c r="X508" s="34"/>
      <c r="Y508" s="34"/>
      <c r="Z508" s="34"/>
    </row>
    <row r="509">
      <c r="A509" s="31" t="s">
        <v>1781</v>
      </c>
      <c r="B509" s="31" t="s">
        <v>1280</v>
      </c>
      <c r="C509" s="31" t="s">
        <v>57</v>
      </c>
      <c r="D509" s="31">
        <v>13.0</v>
      </c>
      <c r="E509" s="31">
        <v>25.0</v>
      </c>
      <c r="F509" s="31">
        <v>0.0</v>
      </c>
      <c r="G509" s="34">
        <f t="shared" si="73"/>
        <v>12</v>
      </c>
      <c r="H509" s="31" t="s">
        <v>1190</v>
      </c>
      <c r="I509" s="34"/>
      <c r="J509" s="35"/>
      <c r="K509" s="34"/>
      <c r="L509" s="34"/>
      <c r="M509" s="34"/>
      <c r="N509" s="34"/>
      <c r="O509" s="34"/>
      <c r="P509" s="34"/>
      <c r="Q509" s="34"/>
      <c r="R509" s="34"/>
      <c r="S509" s="34"/>
      <c r="T509" s="34"/>
      <c r="U509" s="34"/>
      <c r="V509" s="34"/>
      <c r="W509" s="34"/>
      <c r="X509" s="34"/>
      <c r="Y509" s="34"/>
      <c r="Z509" s="34"/>
    </row>
    <row r="510">
      <c r="A510" s="31" t="s">
        <v>767</v>
      </c>
      <c r="B510" s="31" t="s">
        <v>1782</v>
      </c>
      <c r="C510" s="31" t="s">
        <v>95</v>
      </c>
      <c r="D510" s="31">
        <v>9.0</v>
      </c>
      <c r="E510" s="31"/>
      <c r="F510" s="31"/>
      <c r="G510" s="34"/>
      <c r="H510" s="37">
        <v>45696.0</v>
      </c>
      <c r="I510" s="34"/>
      <c r="J510" s="35"/>
      <c r="K510" s="34"/>
      <c r="L510" s="34"/>
      <c r="M510" s="34"/>
      <c r="N510" s="34"/>
      <c r="O510" s="34"/>
      <c r="P510" s="34"/>
      <c r="Q510" s="34"/>
      <c r="R510" s="34"/>
      <c r="S510" s="34"/>
      <c r="T510" s="34"/>
      <c r="U510" s="34"/>
      <c r="V510" s="34"/>
      <c r="W510" s="34"/>
      <c r="X510" s="34"/>
      <c r="Y510" s="34"/>
      <c r="Z510" s="34"/>
    </row>
    <row r="511">
      <c r="A511" s="45" t="s">
        <v>1783</v>
      </c>
      <c r="B511" s="45" t="s">
        <v>1738</v>
      </c>
      <c r="C511" s="45" t="s">
        <v>51</v>
      </c>
      <c r="D511" s="45">
        <v>5.0</v>
      </c>
      <c r="E511" s="45">
        <v>30.0</v>
      </c>
      <c r="F511" s="45">
        <v>0.0</v>
      </c>
      <c r="G511" s="46">
        <f t="shared" ref="G511:G512" si="74">E511-F511-D511</f>
        <v>25</v>
      </c>
      <c r="H511" s="47">
        <v>46096.0</v>
      </c>
      <c r="I511" s="45"/>
      <c r="J511" s="48"/>
      <c r="K511" s="46"/>
      <c r="L511" s="46"/>
      <c r="M511" s="46"/>
      <c r="N511" s="46"/>
      <c r="O511" s="46"/>
      <c r="P511" s="46"/>
      <c r="Q511" s="46"/>
      <c r="R511" s="46"/>
      <c r="S511" s="46"/>
      <c r="T511" s="46"/>
      <c r="U511" s="46"/>
      <c r="V511" s="46"/>
      <c r="W511" s="46"/>
      <c r="X511" s="46"/>
      <c r="Y511" s="46"/>
      <c r="Z511" s="46"/>
    </row>
    <row r="512">
      <c r="A512" s="31" t="s">
        <v>1784</v>
      </c>
      <c r="B512" s="31" t="s">
        <v>1785</v>
      </c>
      <c r="C512" s="31" t="s">
        <v>57</v>
      </c>
      <c r="D512" s="34"/>
      <c r="E512" s="31">
        <v>25.0</v>
      </c>
      <c r="F512" s="31">
        <v>3.5</v>
      </c>
      <c r="G512" s="34">
        <f t="shared" si="74"/>
        <v>21.5</v>
      </c>
      <c r="H512" s="50"/>
      <c r="I512" s="34"/>
      <c r="J512" s="35"/>
      <c r="K512" s="34"/>
      <c r="L512" s="34"/>
      <c r="M512" s="34"/>
      <c r="N512" s="34"/>
      <c r="O512" s="34"/>
      <c r="P512" s="34"/>
      <c r="Q512" s="34"/>
      <c r="R512" s="34"/>
      <c r="S512" s="34"/>
      <c r="T512" s="34"/>
      <c r="U512" s="34"/>
      <c r="V512" s="34"/>
      <c r="W512" s="34"/>
      <c r="X512" s="34"/>
      <c r="Y512" s="34"/>
      <c r="Z512" s="34"/>
    </row>
    <row r="513">
      <c r="A513" s="10" t="s">
        <v>1786</v>
      </c>
      <c r="B513" s="10" t="s">
        <v>1787</v>
      </c>
      <c r="C513" s="10" t="s">
        <v>66</v>
      </c>
      <c r="D513" s="10">
        <v>6.0</v>
      </c>
      <c r="E513" s="11"/>
      <c r="F513" s="11"/>
      <c r="G513" s="11"/>
      <c r="H513" s="68">
        <v>45935.0</v>
      </c>
      <c r="I513" s="10"/>
      <c r="J513" s="12"/>
      <c r="K513" s="11"/>
      <c r="L513" s="11"/>
      <c r="M513" s="11"/>
      <c r="N513" s="11"/>
      <c r="O513" s="11"/>
      <c r="P513" s="11"/>
      <c r="Q513" s="11"/>
      <c r="R513" s="11"/>
      <c r="S513" s="11"/>
      <c r="T513" s="11"/>
      <c r="U513" s="11"/>
      <c r="V513" s="11"/>
      <c r="W513" s="11"/>
      <c r="X513" s="11"/>
      <c r="Y513" s="11"/>
      <c r="Z513" s="11"/>
    </row>
    <row r="514">
      <c r="A514" s="10" t="s">
        <v>1788</v>
      </c>
      <c r="B514" s="10" t="s">
        <v>1789</v>
      </c>
      <c r="C514" s="10" t="s">
        <v>66</v>
      </c>
      <c r="D514" s="10">
        <v>4.3</v>
      </c>
      <c r="E514" s="11"/>
      <c r="F514" s="11"/>
      <c r="G514" s="11"/>
      <c r="H514" s="68">
        <v>45935.0</v>
      </c>
      <c r="I514" s="11"/>
      <c r="J514" s="12"/>
      <c r="K514" s="11"/>
      <c r="L514" s="11"/>
      <c r="M514" s="11"/>
      <c r="N514" s="11"/>
      <c r="O514" s="11"/>
      <c r="P514" s="11"/>
      <c r="Q514" s="11"/>
      <c r="R514" s="11"/>
      <c r="S514" s="11"/>
      <c r="T514" s="11"/>
      <c r="U514" s="11"/>
      <c r="V514" s="11"/>
      <c r="W514" s="11"/>
      <c r="X514" s="11"/>
      <c r="Y514" s="11"/>
      <c r="Z514" s="11"/>
    </row>
    <row r="515">
      <c r="A515" s="45" t="s">
        <v>1790</v>
      </c>
      <c r="B515" s="45" t="s">
        <v>1791</v>
      </c>
      <c r="C515" s="45" t="s">
        <v>51</v>
      </c>
      <c r="D515" s="45">
        <v>7.0</v>
      </c>
      <c r="E515" s="45">
        <v>50.0</v>
      </c>
      <c r="F515" s="45">
        <v>0.0</v>
      </c>
      <c r="G515" s="46">
        <f t="shared" ref="G515:G517" si="75">E515-F515-D515</f>
        <v>43</v>
      </c>
      <c r="H515" s="47">
        <v>46047.0</v>
      </c>
      <c r="I515" s="46"/>
      <c r="J515" s="48"/>
      <c r="K515" s="46"/>
      <c r="L515" s="46"/>
      <c r="M515" s="46"/>
      <c r="N515" s="46"/>
      <c r="O515" s="46"/>
      <c r="P515" s="46"/>
      <c r="Q515" s="46"/>
      <c r="R515" s="46"/>
      <c r="S515" s="46"/>
      <c r="T515" s="46"/>
      <c r="U515" s="46"/>
      <c r="V515" s="46"/>
      <c r="W515" s="46"/>
      <c r="X515" s="46"/>
      <c r="Y515" s="46"/>
      <c r="Z515" s="46"/>
    </row>
    <row r="516">
      <c r="A516" s="10" t="s">
        <v>1792</v>
      </c>
      <c r="B516" s="10" t="s">
        <v>1793</v>
      </c>
      <c r="C516" s="10">
        <v>6.0</v>
      </c>
      <c r="D516" s="10">
        <v>4.0</v>
      </c>
      <c r="E516" s="10">
        <v>35.0</v>
      </c>
      <c r="F516" s="10">
        <v>0.0</v>
      </c>
      <c r="G516" s="11">
        <f t="shared" si="75"/>
        <v>31</v>
      </c>
      <c r="H516" s="49">
        <v>45976.0</v>
      </c>
      <c r="I516" s="11"/>
      <c r="J516" s="12"/>
      <c r="K516" s="11"/>
      <c r="L516" s="11"/>
      <c r="M516" s="11"/>
      <c r="N516" s="11"/>
      <c r="O516" s="11"/>
      <c r="P516" s="11"/>
      <c r="Q516" s="11"/>
      <c r="R516" s="11"/>
      <c r="S516" s="11"/>
      <c r="T516" s="11"/>
      <c r="U516" s="11"/>
      <c r="V516" s="11"/>
      <c r="W516" s="11"/>
      <c r="X516" s="11"/>
      <c r="Y516" s="11"/>
      <c r="Z516" s="11"/>
    </row>
    <row r="517">
      <c r="A517" s="57" t="s">
        <v>1794</v>
      </c>
      <c r="B517" s="57" t="s">
        <v>477</v>
      </c>
      <c r="C517" s="57" t="s">
        <v>51</v>
      </c>
      <c r="D517" s="57">
        <v>20.0</v>
      </c>
      <c r="E517" s="57">
        <v>40.0</v>
      </c>
      <c r="F517" s="57">
        <v>0.0</v>
      </c>
      <c r="G517" s="58">
        <f t="shared" si="75"/>
        <v>20</v>
      </c>
      <c r="H517" s="58"/>
      <c r="I517" s="58"/>
      <c r="J517" s="59"/>
      <c r="K517" s="58"/>
      <c r="L517" s="58"/>
      <c r="M517" s="58"/>
      <c r="N517" s="58"/>
      <c r="O517" s="58"/>
      <c r="P517" s="58"/>
      <c r="Q517" s="58"/>
      <c r="R517" s="58"/>
      <c r="S517" s="58"/>
      <c r="T517" s="58"/>
      <c r="U517" s="58"/>
      <c r="V517" s="58"/>
      <c r="W517" s="58"/>
      <c r="X517" s="58"/>
      <c r="Y517" s="58"/>
      <c r="Z517" s="58"/>
    </row>
    <row r="518">
      <c r="A518" s="45" t="s">
        <v>784</v>
      </c>
      <c r="B518" s="45" t="s">
        <v>1795</v>
      </c>
      <c r="C518" s="45" t="s">
        <v>51</v>
      </c>
      <c r="D518" s="45">
        <v>8.0</v>
      </c>
      <c r="E518" s="45">
        <v>40.0</v>
      </c>
      <c r="F518" s="45">
        <v>0.0</v>
      </c>
      <c r="G518" s="46">
        <f>E518-D518</f>
        <v>32</v>
      </c>
      <c r="H518" s="47">
        <v>46047.0</v>
      </c>
      <c r="I518" s="46"/>
      <c r="J518" s="48"/>
      <c r="K518" s="46"/>
      <c r="L518" s="46"/>
      <c r="M518" s="46"/>
      <c r="N518" s="46"/>
      <c r="O518" s="46"/>
      <c r="P518" s="46"/>
      <c r="Q518" s="46"/>
      <c r="R518" s="46"/>
      <c r="S518" s="46"/>
      <c r="T518" s="46"/>
      <c r="U518" s="46"/>
      <c r="V518" s="46"/>
      <c r="W518" s="46"/>
      <c r="X518" s="46"/>
      <c r="Y518" s="46"/>
      <c r="Z518" s="46"/>
    </row>
    <row r="519">
      <c r="A519" s="31" t="s">
        <v>1796</v>
      </c>
      <c r="B519" s="31" t="s">
        <v>132</v>
      </c>
      <c r="C519" s="31" t="s">
        <v>57</v>
      </c>
      <c r="D519" s="31">
        <v>7.3</v>
      </c>
      <c r="E519" s="31">
        <v>25.0</v>
      </c>
      <c r="F519" s="31">
        <v>0.0</v>
      </c>
      <c r="G519" s="34">
        <f>E519-F519-D519</f>
        <v>17.7</v>
      </c>
      <c r="H519" s="31" t="s">
        <v>1190</v>
      </c>
      <c r="I519" s="34"/>
      <c r="J519" s="35"/>
      <c r="K519" s="34"/>
      <c r="L519" s="34"/>
      <c r="M519" s="34"/>
      <c r="N519" s="34"/>
      <c r="O519" s="34"/>
      <c r="P519" s="34"/>
      <c r="Q519" s="34"/>
      <c r="R519" s="34"/>
      <c r="S519" s="34"/>
      <c r="T519" s="34"/>
      <c r="U519" s="34"/>
      <c r="V519" s="34"/>
      <c r="W519" s="34"/>
      <c r="X519" s="34"/>
      <c r="Y519" s="34"/>
      <c r="Z519" s="34"/>
    </row>
    <row r="520">
      <c r="A520" s="10" t="s">
        <v>789</v>
      </c>
      <c r="B520" s="10" t="s">
        <v>1797</v>
      </c>
      <c r="C520" s="10" t="s">
        <v>51</v>
      </c>
      <c r="D520" s="10"/>
      <c r="E520" s="11"/>
      <c r="F520" s="11"/>
      <c r="G520" s="11"/>
      <c r="H520" s="68">
        <v>45935.0</v>
      </c>
      <c r="I520" s="11"/>
      <c r="J520" s="12"/>
      <c r="K520" s="11"/>
      <c r="L520" s="11"/>
      <c r="M520" s="11"/>
      <c r="N520" s="11"/>
      <c r="O520" s="11"/>
      <c r="P520" s="11"/>
      <c r="Q520" s="11"/>
      <c r="R520" s="11"/>
      <c r="S520" s="11"/>
      <c r="T520" s="11"/>
      <c r="U520" s="11"/>
      <c r="V520" s="11"/>
      <c r="W520" s="11"/>
      <c r="X520" s="11"/>
      <c r="Y520" s="11"/>
      <c r="Z520" s="11"/>
    </row>
    <row r="521">
      <c r="A521" s="31" t="s">
        <v>1798</v>
      </c>
      <c r="B521" s="31" t="s">
        <v>411</v>
      </c>
      <c r="C521" s="31" t="s">
        <v>66</v>
      </c>
      <c r="D521" s="31">
        <v>3.0</v>
      </c>
      <c r="E521" s="31">
        <v>40.0</v>
      </c>
      <c r="F521" s="31">
        <v>0.0</v>
      </c>
      <c r="G521" s="34">
        <f>E521-F521-D521</f>
        <v>37</v>
      </c>
      <c r="H521" s="36">
        <v>46131.0</v>
      </c>
      <c r="I521" s="34"/>
      <c r="J521" s="35"/>
      <c r="K521" s="34"/>
      <c r="L521" s="34"/>
      <c r="M521" s="34"/>
      <c r="N521" s="34"/>
      <c r="O521" s="34"/>
      <c r="P521" s="34"/>
      <c r="Q521" s="34"/>
      <c r="R521" s="34"/>
      <c r="S521" s="34"/>
      <c r="T521" s="34"/>
      <c r="U521" s="34"/>
      <c r="V521" s="34"/>
      <c r="W521" s="34"/>
      <c r="X521" s="34"/>
      <c r="Y521" s="34"/>
      <c r="Z521" s="34"/>
    </row>
    <row r="522">
      <c r="A522" s="31" t="s">
        <v>792</v>
      </c>
      <c r="B522" s="31" t="s">
        <v>1799</v>
      </c>
      <c r="C522" s="31" t="s">
        <v>51</v>
      </c>
      <c r="D522" s="31">
        <v>3.65</v>
      </c>
      <c r="E522" s="31">
        <v>25.0</v>
      </c>
      <c r="F522" s="31">
        <v>0.0</v>
      </c>
      <c r="G522" s="34">
        <f t="shared" ref="G522:G524" si="76">E522-D522</f>
        <v>21.35</v>
      </c>
      <c r="H522" s="36">
        <v>46131.0</v>
      </c>
      <c r="I522" s="34"/>
      <c r="J522" s="35"/>
      <c r="K522" s="34"/>
      <c r="L522" s="34"/>
      <c r="M522" s="34"/>
      <c r="N522" s="34"/>
      <c r="O522" s="34"/>
      <c r="P522" s="34"/>
      <c r="Q522" s="34"/>
      <c r="R522" s="34"/>
      <c r="S522" s="34"/>
      <c r="T522" s="34"/>
      <c r="U522" s="34"/>
      <c r="V522" s="34"/>
      <c r="W522" s="34"/>
      <c r="X522" s="34"/>
      <c r="Y522" s="34"/>
      <c r="Z522" s="34"/>
    </row>
    <row r="523">
      <c r="A523" s="31" t="s">
        <v>794</v>
      </c>
      <c r="B523" s="31" t="s">
        <v>1800</v>
      </c>
      <c r="C523" s="31" t="s">
        <v>51</v>
      </c>
      <c r="D523" s="31">
        <v>6.0</v>
      </c>
      <c r="E523" s="31">
        <v>25.0</v>
      </c>
      <c r="F523" s="31">
        <v>0.0</v>
      </c>
      <c r="G523" s="34">
        <f t="shared" si="76"/>
        <v>19</v>
      </c>
      <c r="H523" s="36">
        <v>46131.0</v>
      </c>
      <c r="I523" s="34"/>
      <c r="J523" s="35"/>
      <c r="K523" s="34"/>
      <c r="L523" s="34"/>
      <c r="M523" s="34"/>
      <c r="N523" s="34"/>
      <c r="O523" s="34"/>
      <c r="P523" s="34"/>
      <c r="Q523" s="34"/>
      <c r="R523" s="34"/>
      <c r="S523" s="34"/>
      <c r="T523" s="34"/>
      <c r="U523" s="34"/>
      <c r="V523" s="34"/>
      <c r="W523" s="34"/>
      <c r="X523" s="34"/>
      <c r="Y523" s="34"/>
      <c r="Z523" s="34"/>
    </row>
    <row r="524">
      <c r="A524" s="31" t="s">
        <v>1801</v>
      </c>
      <c r="B524" s="31" t="s">
        <v>1802</v>
      </c>
      <c r="C524" s="31" t="s">
        <v>51</v>
      </c>
      <c r="D524" s="31">
        <v>6.5</v>
      </c>
      <c r="E524" s="31">
        <v>30.0</v>
      </c>
      <c r="F524" s="31">
        <v>0.0</v>
      </c>
      <c r="G524" s="34">
        <f t="shared" si="76"/>
        <v>23.5</v>
      </c>
      <c r="H524" s="36">
        <v>46131.0</v>
      </c>
      <c r="I524" s="34"/>
      <c r="J524" s="35"/>
      <c r="K524" s="34"/>
      <c r="L524" s="34"/>
      <c r="M524" s="34"/>
      <c r="N524" s="34"/>
      <c r="O524" s="34"/>
      <c r="P524" s="34"/>
      <c r="Q524" s="34"/>
      <c r="R524" s="34"/>
      <c r="S524" s="34"/>
      <c r="T524" s="34"/>
      <c r="U524" s="34"/>
      <c r="V524" s="34"/>
      <c r="W524" s="34"/>
      <c r="X524" s="34"/>
      <c r="Y524" s="34"/>
      <c r="Z524" s="34"/>
    </row>
    <row r="525">
      <c r="A525" s="10" t="s">
        <v>1803</v>
      </c>
      <c r="B525" s="10" t="s">
        <v>411</v>
      </c>
      <c r="C525" s="10"/>
      <c r="D525" s="10"/>
      <c r="E525" s="10">
        <v>35.0</v>
      </c>
      <c r="F525" s="10">
        <v>0.0</v>
      </c>
      <c r="G525" s="11">
        <f>E525-F525-D525</f>
        <v>35</v>
      </c>
      <c r="H525" s="68">
        <v>45976.0</v>
      </c>
      <c r="I525" s="11"/>
      <c r="J525" s="12"/>
      <c r="K525" s="11"/>
      <c r="L525" s="11"/>
      <c r="M525" s="11"/>
      <c r="N525" s="11"/>
      <c r="O525" s="11"/>
      <c r="P525" s="11"/>
      <c r="Q525" s="11"/>
      <c r="R525" s="11"/>
      <c r="S525" s="11"/>
      <c r="T525" s="11"/>
      <c r="U525" s="11"/>
      <c r="V525" s="11"/>
      <c r="W525" s="11"/>
      <c r="X525" s="11"/>
      <c r="Y525" s="11"/>
      <c r="Z525" s="11"/>
    </row>
    <row r="526">
      <c r="A526" s="31" t="s">
        <v>1804</v>
      </c>
      <c r="B526" s="31" t="s">
        <v>1805</v>
      </c>
      <c r="C526" s="31" t="s">
        <v>51</v>
      </c>
      <c r="D526" s="31">
        <v>4.0</v>
      </c>
      <c r="E526" s="34"/>
      <c r="F526" s="34"/>
      <c r="G526" s="34"/>
      <c r="H526" s="31" t="s">
        <v>1195</v>
      </c>
      <c r="I526" s="34"/>
      <c r="J526" s="35"/>
      <c r="K526" s="34"/>
      <c r="L526" s="34"/>
      <c r="M526" s="34"/>
      <c r="N526" s="34"/>
      <c r="O526" s="34"/>
      <c r="P526" s="34"/>
      <c r="Q526" s="34"/>
      <c r="R526" s="34"/>
      <c r="S526" s="34"/>
      <c r="T526" s="34"/>
      <c r="U526" s="34"/>
      <c r="V526" s="34"/>
      <c r="W526" s="34"/>
      <c r="X526" s="34"/>
      <c r="Y526" s="34"/>
      <c r="Z526" s="34"/>
    </row>
    <row r="527">
      <c r="A527" s="31" t="s">
        <v>1806</v>
      </c>
      <c r="B527" s="31" t="s">
        <v>1807</v>
      </c>
      <c r="C527" s="31">
        <v>4.0</v>
      </c>
      <c r="D527" s="31">
        <v>3.0</v>
      </c>
      <c r="E527" s="31">
        <v>15.0</v>
      </c>
      <c r="F527" s="31">
        <v>0.0</v>
      </c>
      <c r="G527" s="34">
        <f t="shared" ref="G527:G528" si="77">E527-F527-D527</f>
        <v>12</v>
      </c>
      <c r="H527" s="34"/>
      <c r="I527" s="34"/>
      <c r="J527" s="35"/>
      <c r="K527" s="34"/>
      <c r="L527" s="34"/>
      <c r="M527" s="34"/>
      <c r="N527" s="34"/>
      <c r="O527" s="34"/>
      <c r="P527" s="34"/>
      <c r="Q527" s="34"/>
      <c r="R527" s="34"/>
      <c r="S527" s="34"/>
      <c r="T527" s="34"/>
      <c r="U527" s="34"/>
      <c r="V527" s="34"/>
      <c r="W527" s="34"/>
      <c r="X527" s="34"/>
      <c r="Y527" s="34"/>
      <c r="Z527" s="34"/>
    </row>
    <row r="528">
      <c r="A528" s="31" t="s">
        <v>1808</v>
      </c>
      <c r="B528" s="31" t="s">
        <v>230</v>
      </c>
      <c r="C528" s="31" t="s">
        <v>51</v>
      </c>
      <c r="D528" s="31">
        <v>7.5</v>
      </c>
      <c r="E528" s="31">
        <v>25.23</v>
      </c>
      <c r="F528" s="31">
        <v>5.86</v>
      </c>
      <c r="G528" s="34">
        <f t="shared" si="77"/>
        <v>11.87</v>
      </c>
      <c r="H528" s="34"/>
      <c r="I528" s="34"/>
      <c r="J528" s="35"/>
      <c r="K528" s="34"/>
      <c r="L528" s="34"/>
      <c r="M528" s="34"/>
      <c r="N528" s="34"/>
      <c r="O528" s="34"/>
      <c r="P528" s="34"/>
      <c r="Q528" s="34"/>
      <c r="R528" s="34"/>
      <c r="S528" s="34"/>
      <c r="T528" s="34"/>
      <c r="U528" s="34"/>
      <c r="V528" s="34"/>
      <c r="W528" s="34"/>
      <c r="X528" s="34"/>
      <c r="Y528" s="34"/>
      <c r="Z528" s="34"/>
    </row>
    <row r="529">
      <c r="A529" s="31" t="s">
        <v>1808</v>
      </c>
      <c r="B529" s="31" t="s">
        <v>1809</v>
      </c>
      <c r="C529" s="31" t="s">
        <v>51</v>
      </c>
      <c r="D529" s="31">
        <v>3.0</v>
      </c>
      <c r="E529" s="34"/>
      <c r="F529" s="34"/>
      <c r="G529" s="34"/>
      <c r="H529" s="36">
        <v>45767.0</v>
      </c>
      <c r="I529" s="34"/>
      <c r="J529" s="35"/>
      <c r="K529" s="34"/>
      <c r="L529" s="34"/>
      <c r="M529" s="34"/>
      <c r="N529" s="34"/>
      <c r="O529" s="34"/>
      <c r="P529" s="34"/>
      <c r="Q529" s="34"/>
      <c r="R529" s="34"/>
      <c r="S529" s="34"/>
      <c r="T529" s="34"/>
      <c r="U529" s="34"/>
      <c r="V529" s="34"/>
      <c r="W529" s="34"/>
      <c r="X529" s="34"/>
      <c r="Y529" s="34"/>
      <c r="Z529" s="34"/>
    </row>
    <row r="530">
      <c r="A530" s="10" t="s">
        <v>1810</v>
      </c>
      <c r="B530" s="10" t="s">
        <v>1811</v>
      </c>
      <c r="C530" s="10"/>
      <c r="D530" s="10"/>
      <c r="E530" s="10">
        <v>30.0</v>
      </c>
      <c r="F530" s="10">
        <v>0.0</v>
      </c>
      <c r="G530" s="11">
        <f>E530-F530-D530</f>
        <v>30</v>
      </c>
      <c r="H530" s="63">
        <v>45976.0</v>
      </c>
      <c r="I530" s="10"/>
      <c r="J530" s="12"/>
      <c r="K530" s="11"/>
      <c r="L530" s="11"/>
      <c r="M530" s="11"/>
      <c r="N530" s="11"/>
      <c r="O530" s="11"/>
      <c r="P530" s="11"/>
      <c r="Q530" s="11"/>
      <c r="R530" s="11"/>
      <c r="S530" s="11"/>
      <c r="T530" s="11"/>
      <c r="U530" s="11"/>
      <c r="V530" s="11"/>
      <c r="W530" s="11"/>
      <c r="X530" s="11"/>
      <c r="Y530" s="11"/>
      <c r="Z530" s="11"/>
    </row>
    <row r="531">
      <c r="A531" s="45" t="s">
        <v>1812</v>
      </c>
      <c r="B531" s="45" t="s">
        <v>1813</v>
      </c>
      <c r="C531" s="45" t="s">
        <v>57</v>
      </c>
      <c r="D531" s="45">
        <v>10.0</v>
      </c>
      <c r="E531" s="45">
        <v>30.0</v>
      </c>
      <c r="F531" s="45">
        <v>0.0</v>
      </c>
      <c r="G531" s="46">
        <f>E531-D531</f>
        <v>20</v>
      </c>
      <c r="H531" s="47">
        <v>46096.0</v>
      </c>
      <c r="I531" s="46"/>
      <c r="J531" s="48"/>
      <c r="K531" s="46"/>
      <c r="L531" s="46"/>
      <c r="M531" s="46"/>
      <c r="N531" s="46"/>
      <c r="O531" s="46"/>
      <c r="P531" s="46"/>
      <c r="Q531" s="46"/>
      <c r="R531" s="46"/>
      <c r="S531" s="46"/>
      <c r="T531" s="46"/>
      <c r="U531" s="46"/>
      <c r="V531" s="46"/>
      <c r="W531" s="46"/>
      <c r="X531" s="46"/>
      <c r="Y531" s="46"/>
      <c r="Z531" s="46"/>
    </row>
    <row r="532">
      <c r="A532" s="31" t="s">
        <v>1814</v>
      </c>
      <c r="B532" s="31" t="s">
        <v>1196</v>
      </c>
      <c r="C532" s="31" t="s">
        <v>51</v>
      </c>
      <c r="D532" s="31">
        <v>12.2</v>
      </c>
      <c r="E532" s="34"/>
      <c r="F532" s="34"/>
      <c r="G532" s="34"/>
      <c r="H532" s="37">
        <v>45696.0</v>
      </c>
      <c r="I532" s="60" t="s">
        <v>1815</v>
      </c>
      <c r="J532" s="35"/>
      <c r="K532" s="34"/>
      <c r="L532" s="34"/>
      <c r="M532" s="34"/>
      <c r="N532" s="34"/>
      <c r="O532" s="34"/>
      <c r="P532" s="34"/>
      <c r="Q532" s="34"/>
      <c r="R532" s="34"/>
      <c r="S532" s="34"/>
      <c r="T532" s="34"/>
      <c r="U532" s="34"/>
      <c r="V532" s="34"/>
      <c r="W532" s="34"/>
      <c r="X532" s="34"/>
      <c r="Y532" s="34"/>
      <c r="Z532" s="34"/>
    </row>
    <row r="533">
      <c r="A533" s="31" t="s">
        <v>803</v>
      </c>
      <c r="B533" s="31" t="s">
        <v>1816</v>
      </c>
      <c r="C533" s="31" t="s">
        <v>66</v>
      </c>
      <c r="D533" s="31">
        <v>7.1</v>
      </c>
      <c r="E533" s="34"/>
      <c r="F533" s="34"/>
      <c r="G533" s="34"/>
      <c r="H533" s="36">
        <v>45767.0</v>
      </c>
      <c r="I533" s="34"/>
      <c r="J533" s="35"/>
      <c r="K533" s="34"/>
      <c r="L533" s="34"/>
      <c r="M533" s="34"/>
      <c r="N533" s="34"/>
      <c r="O533" s="34"/>
      <c r="P533" s="34"/>
      <c r="Q533" s="34"/>
      <c r="R533" s="34"/>
      <c r="S533" s="34"/>
      <c r="T533" s="34"/>
      <c r="U533" s="34"/>
      <c r="V533" s="34"/>
      <c r="W533" s="34"/>
      <c r="X533" s="34"/>
      <c r="Y533" s="34"/>
      <c r="Z533" s="34"/>
    </row>
    <row r="534">
      <c r="A534" s="38" t="s">
        <v>1817</v>
      </c>
      <c r="B534" s="38" t="s">
        <v>1818</v>
      </c>
      <c r="C534" s="38"/>
      <c r="D534" s="38">
        <v>2.5</v>
      </c>
      <c r="E534" s="39"/>
      <c r="F534" s="39"/>
      <c r="G534" s="39"/>
      <c r="H534" s="40">
        <v>45893.0</v>
      </c>
      <c r="I534" s="39"/>
      <c r="J534" s="41"/>
      <c r="K534" s="39"/>
      <c r="L534" s="39"/>
      <c r="M534" s="39"/>
      <c r="N534" s="39"/>
      <c r="O534" s="39"/>
      <c r="P534" s="39"/>
      <c r="Q534" s="39"/>
      <c r="R534" s="39"/>
      <c r="S534" s="39"/>
      <c r="T534" s="39"/>
      <c r="U534" s="39"/>
      <c r="V534" s="39"/>
      <c r="W534" s="39"/>
      <c r="X534" s="39"/>
      <c r="Y534" s="39"/>
      <c r="Z534" s="39"/>
    </row>
    <row r="535">
      <c r="A535" s="42" t="s">
        <v>1819</v>
      </c>
      <c r="B535" s="42" t="s">
        <v>1820</v>
      </c>
      <c r="C535" s="42" t="s">
        <v>1197</v>
      </c>
      <c r="D535" s="42">
        <v>9.0</v>
      </c>
      <c r="E535" s="42">
        <v>94.11</v>
      </c>
      <c r="F535" s="42">
        <v>9.99</v>
      </c>
      <c r="G535" s="43">
        <f>E535-F535-D535</f>
        <v>75.12</v>
      </c>
      <c r="H535" s="42" t="s">
        <v>1202</v>
      </c>
      <c r="I535" s="43"/>
      <c r="J535" s="44"/>
      <c r="K535" s="43"/>
      <c r="L535" s="43"/>
      <c r="M535" s="43"/>
      <c r="N535" s="43"/>
      <c r="O535" s="43"/>
      <c r="P535" s="43"/>
      <c r="Q535" s="43"/>
      <c r="R535" s="43"/>
      <c r="S535" s="43"/>
      <c r="T535" s="43"/>
      <c r="U535" s="43"/>
      <c r="V535" s="43"/>
      <c r="W535" s="43"/>
      <c r="X535" s="43"/>
      <c r="Y535" s="43"/>
      <c r="Z535" s="43"/>
    </row>
    <row r="536">
      <c r="A536" s="31" t="s">
        <v>804</v>
      </c>
      <c r="B536" s="31" t="s">
        <v>1821</v>
      </c>
      <c r="C536" s="31" t="s">
        <v>51</v>
      </c>
      <c r="D536" s="31">
        <v>6.0</v>
      </c>
      <c r="E536" s="34"/>
      <c r="F536" s="34"/>
      <c r="G536" s="34"/>
      <c r="H536" s="36">
        <v>45767.0</v>
      </c>
      <c r="I536" s="34"/>
      <c r="J536" s="35"/>
      <c r="K536" s="34"/>
      <c r="L536" s="34"/>
      <c r="M536" s="34"/>
      <c r="N536" s="34"/>
      <c r="O536" s="34"/>
      <c r="P536" s="34"/>
      <c r="Q536" s="34"/>
      <c r="R536" s="34"/>
      <c r="S536" s="34"/>
      <c r="T536" s="34"/>
      <c r="U536" s="34"/>
      <c r="V536" s="34"/>
      <c r="W536" s="34"/>
      <c r="X536" s="34"/>
      <c r="Y536" s="34"/>
      <c r="Z536" s="34"/>
    </row>
    <row r="537">
      <c r="A537" s="31" t="s">
        <v>808</v>
      </c>
      <c r="B537" s="31" t="s">
        <v>1822</v>
      </c>
      <c r="C537" s="31" t="s">
        <v>51</v>
      </c>
      <c r="D537" s="31"/>
      <c r="E537" s="31">
        <v>23.67</v>
      </c>
      <c r="F537" s="31">
        <v>10.77</v>
      </c>
      <c r="G537" s="34">
        <f t="shared" ref="G537:G538" si="78">E537-F537-D537</f>
        <v>12.9</v>
      </c>
      <c r="H537" s="34"/>
      <c r="I537" s="34"/>
      <c r="J537" s="35"/>
      <c r="K537" s="34"/>
      <c r="L537" s="34"/>
      <c r="M537" s="34"/>
      <c r="N537" s="34"/>
      <c r="O537" s="34"/>
      <c r="P537" s="34"/>
      <c r="Q537" s="34"/>
      <c r="R537" s="34"/>
      <c r="S537" s="34"/>
      <c r="T537" s="34"/>
      <c r="U537" s="34"/>
      <c r="V537" s="34"/>
      <c r="W537" s="34"/>
      <c r="X537" s="34"/>
      <c r="Y537" s="34"/>
      <c r="Z537" s="34"/>
    </row>
    <row r="538">
      <c r="A538" s="31" t="s">
        <v>808</v>
      </c>
      <c r="B538" s="31" t="s">
        <v>1823</v>
      </c>
      <c r="C538" s="31" t="s">
        <v>51</v>
      </c>
      <c r="D538" s="31">
        <v>7.0</v>
      </c>
      <c r="E538" s="31">
        <v>16.43</v>
      </c>
      <c r="F538" s="31">
        <v>4.43</v>
      </c>
      <c r="G538" s="34">
        <f t="shared" si="78"/>
        <v>5</v>
      </c>
      <c r="H538" s="34"/>
      <c r="I538" s="34"/>
      <c r="J538" s="35"/>
      <c r="K538" s="34"/>
      <c r="L538" s="34"/>
      <c r="M538" s="34"/>
      <c r="N538" s="34"/>
      <c r="O538" s="34"/>
      <c r="P538" s="34"/>
      <c r="Q538" s="34"/>
      <c r="R538" s="34"/>
      <c r="S538" s="34"/>
      <c r="T538" s="34"/>
      <c r="U538" s="34"/>
      <c r="V538" s="34"/>
      <c r="W538" s="34"/>
      <c r="X538" s="34"/>
      <c r="Y538" s="34"/>
      <c r="Z538" s="34"/>
    </row>
    <row r="539">
      <c r="A539" s="31" t="s">
        <v>808</v>
      </c>
      <c r="B539" s="31" t="s">
        <v>1824</v>
      </c>
      <c r="C539" s="31" t="s">
        <v>1825</v>
      </c>
      <c r="D539" s="31">
        <v>15.2</v>
      </c>
      <c r="E539" s="34"/>
      <c r="F539" s="34"/>
      <c r="G539" s="34"/>
      <c r="H539" s="37">
        <v>45696.0</v>
      </c>
      <c r="I539" s="69" t="s">
        <v>1826</v>
      </c>
      <c r="J539" s="35"/>
      <c r="K539" s="34"/>
      <c r="L539" s="34"/>
      <c r="M539" s="34"/>
      <c r="N539" s="34"/>
      <c r="O539" s="34"/>
      <c r="P539" s="34"/>
      <c r="Q539" s="34"/>
      <c r="R539" s="34"/>
      <c r="S539" s="34"/>
      <c r="T539" s="34"/>
      <c r="U539" s="34"/>
      <c r="V539" s="34"/>
      <c r="W539" s="34"/>
      <c r="X539" s="34"/>
      <c r="Y539" s="34"/>
      <c r="Z539" s="34"/>
    </row>
    <row r="540">
      <c r="A540" s="31" t="s">
        <v>1827</v>
      </c>
      <c r="B540" s="31" t="s">
        <v>1828</v>
      </c>
      <c r="C540" s="31" t="s">
        <v>66</v>
      </c>
      <c r="D540" s="31">
        <v>10.0</v>
      </c>
      <c r="E540" s="31">
        <v>25.0</v>
      </c>
      <c r="F540" s="31">
        <v>0.0</v>
      </c>
      <c r="G540" s="34">
        <f t="shared" ref="G540:G541" si="79">E540-F540-D540</f>
        <v>15</v>
      </c>
      <c r="H540" s="31"/>
      <c r="I540" s="34"/>
      <c r="J540" s="35"/>
      <c r="K540" s="34"/>
      <c r="L540" s="34"/>
      <c r="M540" s="34"/>
      <c r="N540" s="34"/>
      <c r="O540" s="34"/>
      <c r="P540" s="34"/>
      <c r="Q540" s="34"/>
      <c r="R540" s="34"/>
      <c r="S540" s="34"/>
      <c r="T540" s="34"/>
      <c r="U540" s="34"/>
      <c r="V540" s="34"/>
      <c r="W540" s="34"/>
      <c r="X540" s="34"/>
      <c r="Y540" s="34"/>
      <c r="Z540" s="34"/>
    </row>
    <row r="541">
      <c r="A541" s="7" t="s">
        <v>819</v>
      </c>
      <c r="B541" s="7" t="s">
        <v>1829</v>
      </c>
      <c r="C541" s="7" t="s">
        <v>51</v>
      </c>
      <c r="D541" s="7">
        <v>10.0</v>
      </c>
      <c r="E541" s="7">
        <v>44.0</v>
      </c>
      <c r="F541" s="7">
        <v>0.0</v>
      </c>
      <c r="G541" s="8">
        <f t="shared" si="79"/>
        <v>34</v>
      </c>
      <c r="H541" s="7"/>
      <c r="I541" s="7" t="s">
        <v>614</v>
      </c>
      <c r="J541" s="9"/>
      <c r="K541" s="8"/>
      <c r="L541" s="8"/>
      <c r="M541" s="8"/>
      <c r="N541" s="8"/>
      <c r="O541" s="8"/>
      <c r="P541" s="8"/>
      <c r="Q541" s="8"/>
      <c r="R541" s="8"/>
      <c r="S541" s="8"/>
      <c r="T541" s="8"/>
      <c r="U541" s="8"/>
      <c r="V541" s="8"/>
      <c r="W541" s="8"/>
      <c r="X541" s="8"/>
      <c r="Y541" s="8"/>
      <c r="Z541" s="8"/>
    </row>
    <row r="542">
      <c r="A542" s="45" t="s">
        <v>819</v>
      </c>
      <c r="B542" s="45" t="s">
        <v>1830</v>
      </c>
      <c r="C542" s="45" t="s">
        <v>51</v>
      </c>
      <c r="D542" s="45">
        <v>12.5</v>
      </c>
      <c r="E542" s="45">
        <v>30.0</v>
      </c>
      <c r="F542" s="45">
        <v>0.0</v>
      </c>
      <c r="G542" s="46">
        <f t="shared" ref="G542:G544" si="80">E542-D542</f>
        <v>17.5</v>
      </c>
      <c r="H542" s="47">
        <v>46096.0</v>
      </c>
      <c r="I542" s="46"/>
      <c r="J542" s="48"/>
      <c r="K542" s="46"/>
      <c r="L542" s="46"/>
      <c r="M542" s="46"/>
      <c r="N542" s="46"/>
      <c r="O542" s="46"/>
      <c r="P542" s="46"/>
      <c r="Q542" s="46"/>
      <c r="R542" s="46"/>
      <c r="S542" s="46"/>
      <c r="T542" s="46"/>
      <c r="U542" s="46"/>
      <c r="V542" s="46"/>
      <c r="W542" s="46"/>
      <c r="X542" s="46"/>
      <c r="Y542" s="46"/>
      <c r="Z542" s="46"/>
    </row>
    <row r="543">
      <c r="A543" s="31" t="s">
        <v>819</v>
      </c>
      <c r="B543" s="31" t="s">
        <v>1831</v>
      </c>
      <c r="C543" s="31" t="s">
        <v>66</v>
      </c>
      <c r="D543" s="31">
        <v>4.0</v>
      </c>
      <c r="E543" s="31">
        <v>10.0</v>
      </c>
      <c r="F543" s="31">
        <v>0.0</v>
      </c>
      <c r="G543" s="34">
        <f t="shared" si="80"/>
        <v>6</v>
      </c>
      <c r="H543" s="31"/>
      <c r="I543" s="34"/>
      <c r="J543" s="35"/>
      <c r="K543" s="34"/>
      <c r="L543" s="34"/>
      <c r="M543" s="34"/>
      <c r="N543" s="34"/>
      <c r="O543" s="34"/>
      <c r="P543" s="34"/>
      <c r="Q543" s="34"/>
      <c r="R543" s="34"/>
      <c r="S543" s="34"/>
      <c r="T543" s="34"/>
      <c r="U543" s="34"/>
      <c r="V543" s="34"/>
      <c r="W543" s="34"/>
      <c r="X543" s="34"/>
      <c r="Y543" s="34"/>
      <c r="Z543" s="34"/>
    </row>
    <row r="544">
      <c r="A544" s="31" t="s">
        <v>819</v>
      </c>
      <c r="B544" s="31" t="s">
        <v>1832</v>
      </c>
      <c r="C544" s="31" t="s">
        <v>57</v>
      </c>
      <c r="D544" s="31">
        <v>10.0</v>
      </c>
      <c r="E544" s="31">
        <v>35.0</v>
      </c>
      <c r="F544" s="31">
        <v>0.0</v>
      </c>
      <c r="G544" s="34">
        <f t="shared" si="80"/>
        <v>25</v>
      </c>
      <c r="H544" s="36">
        <v>46131.0</v>
      </c>
      <c r="I544" s="34"/>
      <c r="J544" s="35"/>
      <c r="K544" s="34"/>
      <c r="L544" s="34"/>
      <c r="M544" s="34"/>
      <c r="N544" s="34"/>
      <c r="O544" s="34"/>
      <c r="P544" s="34"/>
      <c r="Q544" s="34"/>
      <c r="R544" s="34"/>
      <c r="S544" s="34"/>
      <c r="T544" s="34"/>
      <c r="U544" s="34"/>
      <c r="V544" s="34"/>
      <c r="W544" s="34"/>
      <c r="X544" s="34"/>
      <c r="Y544" s="34"/>
      <c r="Z544" s="34"/>
    </row>
    <row r="545">
      <c r="A545" s="31" t="s">
        <v>819</v>
      </c>
      <c r="B545" s="31" t="s">
        <v>1833</v>
      </c>
      <c r="C545" s="31">
        <v>30.0</v>
      </c>
      <c r="D545" s="31">
        <v>10.0</v>
      </c>
      <c r="E545" s="31">
        <v>46.62</v>
      </c>
      <c r="F545" s="31">
        <v>5.92</v>
      </c>
      <c r="G545" s="34">
        <f t="shared" ref="G545:G546" si="81">E545-F545-D545</f>
        <v>30.7</v>
      </c>
      <c r="H545" s="31"/>
      <c r="I545" s="34"/>
      <c r="J545" s="35"/>
      <c r="K545" s="34"/>
      <c r="L545" s="34"/>
      <c r="M545" s="34"/>
      <c r="N545" s="34"/>
      <c r="O545" s="34"/>
      <c r="P545" s="34"/>
      <c r="Q545" s="34"/>
      <c r="R545" s="34"/>
      <c r="S545" s="34"/>
      <c r="T545" s="34"/>
      <c r="U545" s="34"/>
      <c r="V545" s="34"/>
      <c r="W545" s="34"/>
      <c r="X545" s="34"/>
      <c r="Y545" s="34"/>
      <c r="Z545" s="34"/>
    </row>
    <row r="546">
      <c r="A546" s="31" t="s">
        <v>819</v>
      </c>
      <c r="B546" s="31" t="s">
        <v>1834</v>
      </c>
      <c r="C546" s="31">
        <v>4.0</v>
      </c>
      <c r="D546" s="31">
        <v>9.0</v>
      </c>
      <c r="E546" s="31">
        <v>30.0</v>
      </c>
      <c r="F546" s="31">
        <v>0.0</v>
      </c>
      <c r="G546" s="34">
        <f t="shared" si="81"/>
        <v>21</v>
      </c>
      <c r="H546" s="31"/>
      <c r="I546" s="34"/>
      <c r="J546" s="35"/>
      <c r="K546" s="34"/>
      <c r="L546" s="34"/>
      <c r="M546" s="34"/>
      <c r="N546" s="34"/>
      <c r="O546" s="34"/>
      <c r="P546" s="34"/>
      <c r="Q546" s="34"/>
      <c r="R546" s="34"/>
      <c r="S546" s="34"/>
      <c r="T546" s="34"/>
      <c r="U546" s="34"/>
      <c r="V546" s="34"/>
      <c r="W546" s="34"/>
      <c r="X546" s="34"/>
      <c r="Y546" s="34"/>
      <c r="Z546" s="34"/>
    </row>
    <row r="547">
      <c r="A547" s="31" t="s">
        <v>819</v>
      </c>
      <c r="B547" s="31" t="s">
        <v>1835</v>
      </c>
      <c r="C547" s="31" t="s">
        <v>57</v>
      </c>
      <c r="D547" s="31">
        <v>7.0</v>
      </c>
      <c r="E547" s="34"/>
      <c r="F547" s="34"/>
      <c r="G547" s="34"/>
      <c r="H547" s="36">
        <v>45767.0</v>
      </c>
      <c r="I547" s="34"/>
      <c r="J547" s="35"/>
      <c r="K547" s="34"/>
      <c r="L547" s="34"/>
      <c r="M547" s="34"/>
      <c r="N547" s="34"/>
      <c r="O547" s="34"/>
      <c r="P547" s="34"/>
      <c r="Q547" s="34"/>
      <c r="R547" s="34"/>
      <c r="S547" s="34"/>
      <c r="T547" s="34"/>
      <c r="U547" s="34"/>
      <c r="V547" s="34"/>
      <c r="W547" s="34"/>
      <c r="X547" s="34"/>
      <c r="Y547" s="34"/>
      <c r="Z547" s="34"/>
    </row>
    <row r="548">
      <c r="A548" s="10" t="s">
        <v>829</v>
      </c>
      <c r="B548" s="10" t="s">
        <v>464</v>
      </c>
      <c r="C548" s="10" t="s">
        <v>57</v>
      </c>
      <c r="D548" s="10">
        <v>8.0</v>
      </c>
      <c r="E548" s="10">
        <v>35.0</v>
      </c>
      <c r="F548" s="10">
        <v>0.0</v>
      </c>
      <c r="G548" s="11">
        <f t="shared" ref="G548:G551" si="82">E548-F548-D548</f>
        <v>27</v>
      </c>
      <c r="H548" s="49">
        <v>45976.0</v>
      </c>
      <c r="I548" s="11"/>
      <c r="J548" s="12"/>
      <c r="K548" s="11"/>
      <c r="L548" s="11"/>
      <c r="M548" s="11"/>
      <c r="N548" s="11"/>
      <c r="O548" s="11"/>
      <c r="P548" s="11"/>
      <c r="Q548" s="11"/>
      <c r="R548" s="11"/>
      <c r="S548" s="11"/>
      <c r="T548" s="11"/>
      <c r="U548" s="11"/>
      <c r="V548" s="11"/>
      <c r="W548" s="11"/>
      <c r="X548" s="11"/>
      <c r="Y548" s="11"/>
      <c r="Z548" s="11"/>
    </row>
    <row r="549">
      <c r="A549" s="10" t="s">
        <v>829</v>
      </c>
      <c r="B549" s="10" t="s">
        <v>1836</v>
      </c>
      <c r="C549" s="10">
        <v>8.0</v>
      </c>
      <c r="D549" s="10">
        <v>6.0</v>
      </c>
      <c r="E549" s="10">
        <v>30.0</v>
      </c>
      <c r="F549" s="10">
        <v>0.0</v>
      </c>
      <c r="G549" s="11">
        <f t="shared" si="82"/>
        <v>24</v>
      </c>
      <c r="H549" s="49">
        <v>45976.0</v>
      </c>
      <c r="I549" s="11"/>
      <c r="J549" s="12"/>
      <c r="K549" s="11"/>
      <c r="L549" s="11"/>
      <c r="M549" s="11"/>
      <c r="N549" s="11"/>
      <c r="O549" s="11"/>
      <c r="P549" s="11"/>
      <c r="Q549" s="11"/>
      <c r="R549" s="11"/>
      <c r="S549" s="11"/>
      <c r="T549" s="11"/>
      <c r="U549" s="11"/>
      <c r="V549" s="11"/>
      <c r="W549" s="11"/>
      <c r="X549" s="11"/>
      <c r="Y549" s="11"/>
      <c r="Z549" s="11"/>
    </row>
    <row r="550">
      <c r="A550" s="31" t="s">
        <v>829</v>
      </c>
      <c r="B550" s="31" t="s">
        <v>1718</v>
      </c>
      <c r="C550" s="31">
        <v>8.0</v>
      </c>
      <c r="D550" s="31">
        <v>10.0</v>
      </c>
      <c r="E550" s="31">
        <v>35.0</v>
      </c>
      <c r="F550" s="31">
        <v>0.0</v>
      </c>
      <c r="G550" s="34">
        <f t="shared" si="82"/>
        <v>25</v>
      </c>
      <c r="H550" s="31" t="s">
        <v>1190</v>
      </c>
      <c r="I550" s="34"/>
      <c r="J550" s="35"/>
      <c r="K550" s="34"/>
      <c r="L550" s="34"/>
      <c r="M550" s="34"/>
      <c r="N550" s="34"/>
      <c r="O550" s="34"/>
      <c r="P550" s="34"/>
      <c r="Q550" s="34"/>
      <c r="R550" s="34"/>
      <c r="S550" s="34"/>
      <c r="T550" s="34"/>
      <c r="U550" s="34"/>
      <c r="V550" s="34"/>
      <c r="W550" s="34"/>
      <c r="X550" s="34"/>
      <c r="Y550" s="34"/>
      <c r="Z550" s="34"/>
    </row>
    <row r="551">
      <c r="A551" s="31" t="s">
        <v>829</v>
      </c>
      <c r="B551" s="31" t="s">
        <v>1837</v>
      </c>
      <c r="C551" s="31" t="s">
        <v>57</v>
      </c>
      <c r="D551" s="31">
        <v>17.43</v>
      </c>
      <c r="E551" s="31">
        <v>50.0</v>
      </c>
      <c r="F551" s="31">
        <v>0.0</v>
      </c>
      <c r="G551" s="34">
        <f t="shared" si="82"/>
        <v>32.57</v>
      </c>
      <c r="H551" s="31" t="s">
        <v>1190</v>
      </c>
      <c r="I551" s="34"/>
      <c r="J551" s="35"/>
      <c r="K551" s="34"/>
      <c r="L551" s="34"/>
      <c r="M551" s="34"/>
      <c r="N551" s="34"/>
      <c r="O551" s="34"/>
      <c r="P551" s="34"/>
      <c r="Q551" s="34"/>
      <c r="R551" s="34"/>
      <c r="S551" s="34"/>
      <c r="T551" s="34"/>
      <c r="U551" s="34"/>
      <c r="V551" s="34"/>
      <c r="W551" s="34"/>
      <c r="X551" s="34"/>
      <c r="Y551" s="34"/>
      <c r="Z551" s="34"/>
    </row>
    <row r="552">
      <c r="A552" s="45" t="s">
        <v>1838</v>
      </c>
      <c r="B552" s="45" t="s">
        <v>1839</v>
      </c>
      <c r="C552" s="45" t="s">
        <v>1825</v>
      </c>
      <c r="D552" s="45">
        <v>3.25</v>
      </c>
      <c r="E552" s="45">
        <v>50.0</v>
      </c>
      <c r="F552" s="45">
        <v>0.0</v>
      </c>
      <c r="G552" s="46">
        <f t="shared" ref="G552:G554" si="83">E552-D552</f>
        <v>46.75</v>
      </c>
      <c r="H552" s="47">
        <v>46096.0</v>
      </c>
      <c r="I552" s="46"/>
      <c r="J552" s="48"/>
      <c r="K552" s="46"/>
      <c r="L552" s="46"/>
      <c r="M552" s="46"/>
      <c r="N552" s="46"/>
      <c r="O552" s="46"/>
      <c r="P552" s="46"/>
      <c r="Q552" s="46"/>
      <c r="R552" s="46"/>
      <c r="S552" s="46"/>
      <c r="T552" s="46"/>
      <c r="U552" s="46"/>
      <c r="V552" s="46"/>
      <c r="W552" s="46"/>
      <c r="X552" s="46"/>
      <c r="Y552" s="46"/>
      <c r="Z552" s="46"/>
    </row>
    <row r="553">
      <c r="A553" s="45" t="s">
        <v>1838</v>
      </c>
      <c r="B553" s="45" t="s">
        <v>1840</v>
      </c>
      <c r="C553" s="45" t="s">
        <v>95</v>
      </c>
      <c r="D553" s="45">
        <v>3.25</v>
      </c>
      <c r="E553" s="45">
        <v>50.0</v>
      </c>
      <c r="F553" s="45">
        <v>0.0</v>
      </c>
      <c r="G553" s="46">
        <f t="shared" si="83"/>
        <v>46.75</v>
      </c>
      <c r="H553" s="47">
        <v>46096.0</v>
      </c>
      <c r="I553" s="46"/>
      <c r="J553" s="48"/>
      <c r="K553" s="46"/>
      <c r="L553" s="46"/>
      <c r="M553" s="46"/>
      <c r="N553" s="46"/>
      <c r="O553" s="46"/>
      <c r="P553" s="46"/>
      <c r="Q553" s="46"/>
      <c r="R553" s="46"/>
      <c r="S553" s="46"/>
      <c r="T553" s="46"/>
      <c r="U553" s="46"/>
      <c r="V553" s="46"/>
      <c r="W553" s="46"/>
      <c r="X553" s="46"/>
      <c r="Y553" s="46"/>
      <c r="Z553" s="46"/>
    </row>
    <row r="554">
      <c r="A554" s="10" t="s">
        <v>1841</v>
      </c>
      <c r="B554" s="10" t="s">
        <v>1842</v>
      </c>
      <c r="C554" s="10">
        <v>14.0</v>
      </c>
      <c r="D554" s="10"/>
      <c r="E554" s="10">
        <v>15.0</v>
      </c>
      <c r="F554" s="10">
        <v>0.0</v>
      </c>
      <c r="G554" s="11">
        <f t="shared" si="83"/>
        <v>15</v>
      </c>
      <c r="H554" s="49">
        <v>45976.0</v>
      </c>
      <c r="I554" s="11"/>
      <c r="J554" s="12"/>
      <c r="K554" s="11"/>
      <c r="L554" s="11"/>
      <c r="M554" s="11"/>
      <c r="N554" s="11"/>
      <c r="O554" s="11"/>
      <c r="P554" s="11"/>
      <c r="Q554" s="11"/>
      <c r="R554" s="11"/>
      <c r="S554" s="11"/>
      <c r="T554" s="11"/>
      <c r="U554" s="11"/>
      <c r="V554" s="11"/>
      <c r="W554" s="11"/>
      <c r="X554" s="11"/>
      <c r="Y554" s="11"/>
      <c r="Z554" s="11"/>
    </row>
    <row r="555">
      <c r="A555" s="31" t="s">
        <v>1841</v>
      </c>
      <c r="B555" s="31" t="s">
        <v>1843</v>
      </c>
      <c r="C555" s="31" t="s">
        <v>95</v>
      </c>
      <c r="D555" s="31">
        <v>7.0</v>
      </c>
      <c r="E555" s="34"/>
      <c r="F555" s="34"/>
      <c r="G555" s="34"/>
      <c r="H555" s="36">
        <v>45767.0</v>
      </c>
      <c r="I555" s="34"/>
      <c r="J555" s="35"/>
      <c r="K555" s="34"/>
      <c r="L555" s="34"/>
      <c r="M555" s="34"/>
      <c r="N555" s="34"/>
      <c r="O555" s="34"/>
      <c r="P555" s="34"/>
      <c r="Q555" s="34"/>
      <c r="R555" s="34"/>
      <c r="S555" s="34"/>
      <c r="T555" s="34"/>
      <c r="U555" s="34"/>
      <c r="V555" s="34"/>
      <c r="W555" s="34"/>
      <c r="X555" s="34"/>
      <c r="Y555" s="34"/>
      <c r="Z555" s="34"/>
    </row>
    <row r="556">
      <c r="A556" s="38" t="s">
        <v>1844</v>
      </c>
      <c r="B556" s="38" t="s">
        <v>1845</v>
      </c>
      <c r="C556" s="38" t="s">
        <v>51</v>
      </c>
      <c r="D556" s="38">
        <v>9.0</v>
      </c>
      <c r="E556" s="39"/>
      <c r="F556" s="39"/>
      <c r="G556" s="39"/>
      <c r="H556" s="40">
        <v>45893.0</v>
      </c>
      <c r="I556" s="39"/>
      <c r="J556" s="41"/>
      <c r="K556" s="39"/>
      <c r="L556" s="39"/>
      <c r="M556" s="39"/>
      <c r="N556" s="39"/>
      <c r="O556" s="39"/>
      <c r="P556" s="39"/>
      <c r="Q556" s="39"/>
      <c r="R556" s="39"/>
      <c r="S556" s="39"/>
      <c r="T556" s="39"/>
      <c r="U556" s="39"/>
      <c r="V556" s="39"/>
      <c r="W556" s="39"/>
      <c r="X556" s="39"/>
      <c r="Y556" s="39"/>
      <c r="Z556" s="39"/>
    </row>
    <row r="557">
      <c r="A557" s="45" t="s">
        <v>1846</v>
      </c>
      <c r="B557" s="45" t="s">
        <v>1847</v>
      </c>
      <c r="C557" s="45" t="s">
        <v>95</v>
      </c>
      <c r="D557" s="45">
        <v>4.5</v>
      </c>
      <c r="E557" s="45">
        <v>25.0</v>
      </c>
      <c r="F557" s="45">
        <v>0.0</v>
      </c>
      <c r="G557" s="46">
        <f>E557-F557-D557</f>
        <v>20.5</v>
      </c>
      <c r="H557" s="47">
        <v>46096.0</v>
      </c>
      <c r="I557" s="46"/>
      <c r="J557" s="48"/>
      <c r="K557" s="46"/>
      <c r="L557" s="46"/>
      <c r="M557" s="46"/>
      <c r="N557" s="46"/>
      <c r="O557" s="46"/>
      <c r="P557" s="46"/>
      <c r="Q557" s="46"/>
      <c r="R557" s="46"/>
      <c r="S557" s="46"/>
      <c r="T557" s="46"/>
      <c r="U557" s="46"/>
      <c r="V557" s="46"/>
      <c r="W557" s="46"/>
      <c r="X557" s="46"/>
      <c r="Y557" s="46"/>
      <c r="Z557" s="46"/>
    </row>
    <row r="558">
      <c r="A558" s="45" t="s">
        <v>1846</v>
      </c>
      <c r="B558" s="45" t="s">
        <v>1848</v>
      </c>
      <c r="C558" s="45" t="s">
        <v>57</v>
      </c>
      <c r="D558" s="45">
        <v>6.0</v>
      </c>
      <c r="E558" s="45">
        <v>30.0</v>
      </c>
      <c r="F558" s="45">
        <v>0.0</v>
      </c>
      <c r="G558" s="46">
        <f t="shared" ref="G558:G560" si="84">E558-D558</f>
        <v>24</v>
      </c>
      <c r="H558" s="47">
        <v>46096.0</v>
      </c>
      <c r="I558" s="46"/>
      <c r="J558" s="48"/>
      <c r="K558" s="46"/>
      <c r="L558" s="46"/>
      <c r="M558" s="46"/>
      <c r="N558" s="46"/>
      <c r="O558" s="46"/>
      <c r="P558" s="46"/>
      <c r="Q558" s="46"/>
      <c r="R558" s="46"/>
      <c r="S558" s="46"/>
      <c r="T558" s="46"/>
      <c r="U558" s="46"/>
      <c r="V558" s="46"/>
      <c r="W558" s="46"/>
      <c r="X558" s="46"/>
      <c r="Y558" s="46"/>
      <c r="Z558" s="46"/>
    </row>
    <row r="559">
      <c r="A559" s="31" t="s">
        <v>1846</v>
      </c>
      <c r="B559" s="31" t="s">
        <v>1849</v>
      </c>
      <c r="C559" s="31" t="s">
        <v>51</v>
      </c>
      <c r="D559" s="31">
        <v>4.25</v>
      </c>
      <c r="E559" s="31">
        <v>25.0</v>
      </c>
      <c r="F559" s="31">
        <v>0.0</v>
      </c>
      <c r="G559" s="34">
        <f t="shared" si="84"/>
        <v>20.75</v>
      </c>
      <c r="H559" s="36">
        <v>46131.0</v>
      </c>
      <c r="I559" s="34"/>
      <c r="J559" s="35"/>
      <c r="K559" s="34"/>
      <c r="L559" s="34"/>
      <c r="M559" s="34"/>
      <c r="N559" s="34"/>
      <c r="O559" s="34"/>
      <c r="P559" s="34"/>
      <c r="Q559" s="34"/>
      <c r="R559" s="34"/>
      <c r="S559" s="34"/>
      <c r="T559" s="34"/>
      <c r="U559" s="34"/>
      <c r="V559" s="34"/>
      <c r="W559" s="34"/>
      <c r="X559" s="34"/>
      <c r="Y559" s="34"/>
      <c r="Z559" s="34"/>
    </row>
    <row r="560">
      <c r="A560" s="31" t="s">
        <v>841</v>
      </c>
      <c r="B560" s="31" t="s">
        <v>1850</v>
      </c>
      <c r="C560" s="31" t="s">
        <v>95</v>
      </c>
      <c r="D560" s="31">
        <v>9.0</v>
      </c>
      <c r="E560" s="31">
        <v>20.0</v>
      </c>
      <c r="F560" s="31">
        <v>0.0</v>
      </c>
      <c r="G560" s="34">
        <f t="shared" si="84"/>
        <v>11</v>
      </c>
      <c r="H560" s="31"/>
      <c r="I560" s="34"/>
      <c r="J560" s="35"/>
      <c r="K560" s="34"/>
      <c r="L560" s="34"/>
      <c r="M560" s="34"/>
      <c r="N560" s="34"/>
      <c r="O560" s="34"/>
      <c r="P560" s="34"/>
      <c r="Q560" s="34"/>
      <c r="R560" s="34"/>
      <c r="S560" s="34"/>
      <c r="T560" s="34"/>
      <c r="U560" s="34"/>
      <c r="V560" s="34"/>
      <c r="W560" s="34"/>
      <c r="X560" s="34"/>
      <c r="Y560" s="34"/>
      <c r="Z560" s="34"/>
    </row>
    <row r="561">
      <c r="A561" s="31" t="s">
        <v>1851</v>
      </c>
      <c r="B561" s="31" t="s">
        <v>1852</v>
      </c>
      <c r="C561" s="31" t="s">
        <v>57</v>
      </c>
      <c r="D561" s="31">
        <v>10.0</v>
      </c>
      <c r="E561" s="31">
        <v>50.0</v>
      </c>
      <c r="F561" s="31">
        <v>0.0</v>
      </c>
      <c r="G561" s="34">
        <f>E561-F561-D561</f>
        <v>40</v>
      </c>
      <c r="H561" s="31" t="s">
        <v>1190</v>
      </c>
      <c r="I561" s="34"/>
      <c r="J561" s="35"/>
      <c r="K561" s="34"/>
      <c r="L561" s="34"/>
      <c r="M561" s="34"/>
      <c r="N561" s="34"/>
      <c r="O561" s="34"/>
      <c r="P561" s="34"/>
      <c r="Q561" s="34"/>
      <c r="R561" s="34"/>
      <c r="S561" s="34"/>
      <c r="T561" s="34"/>
      <c r="U561" s="34"/>
      <c r="V561" s="34"/>
      <c r="W561" s="34"/>
      <c r="X561" s="34"/>
      <c r="Y561" s="34"/>
      <c r="Z561" s="34"/>
    </row>
    <row r="562">
      <c r="A562" s="10" t="s">
        <v>846</v>
      </c>
      <c r="B562" s="10" t="s">
        <v>1853</v>
      </c>
      <c r="C562" s="10" t="s">
        <v>66</v>
      </c>
      <c r="D562" s="10">
        <v>7.0</v>
      </c>
      <c r="E562" s="11"/>
      <c r="F562" s="11"/>
      <c r="G562" s="11"/>
      <c r="H562" s="68">
        <v>45935.0</v>
      </c>
      <c r="I562" s="11"/>
      <c r="J562" s="12"/>
      <c r="K562" s="11"/>
      <c r="L562" s="11"/>
      <c r="M562" s="11"/>
      <c r="N562" s="11"/>
      <c r="O562" s="11"/>
      <c r="P562" s="11"/>
      <c r="Q562" s="11"/>
      <c r="R562" s="11"/>
      <c r="S562" s="11"/>
      <c r="T562" s="11"/>
      <c r="U562" s="11"/>
      <c r="V562" s="11"/>
      <c r="W562" s="11"/>
      <c r="X562" s="11"/>
      <c r="Y562" s="11"/>
      <c r="Z562" s="11"/>
    </row>
    <row r="563">
      <c r="A563" s="31" t="s">
        <v>846</v>
      </c>
      <c r="B563" s="31" t="s">
        <v>1854</v>
      </c>
      <c r="C563" s="31" t="s">
        <v>57</v>
      </c>
      <c r="D563" s="31">
        <v>5.0</v>
      </c>
      <c r="E563" s="31">
        <v>15.0</v>
      </c>
      <c r="F563" s="31">
        <v>0.0</v>
      </c>
      <c r="G563" s="34">
        <f t="shared" ref="G563:G566" si="85">E563-F563-D563</f>
        <v>10</v>
      </c>
      <c r="H563" s="31"/>
      <c r="I563" s="34"/>
      <c r="J563" s="35"/>
      <c r="K563" s="34"/>
      <c r="L563" s="34"/>
      <c r="M563" s="34"/>
      <c r="N563" s="34"/>
      <c r="O563" s="34"/>
      <c r="P563" s="34"/>
      <c r="Q563" s="34"/>
      <c r="R563" s="34"/>
      <c r="S563" s="34"/>
      <c r="T563" s="34"/>
      <c r="U563" s="34"/>
      <c r="V563" s="34"/>
      <c r="W563" s="34"/>
      <c r="X563" s="34"/>
      <c r="Y563" s="34"/>
      <c r="Z563" s="34"/>
    </row>
    <row r="564">
      <c r="A564" s="31" t="s">
        <v>846</v>
      </c>
      <c r="B564" s="31" t="s">
        <v>1855</v>
      </c>
      <c r="C564" s="31" t="s">
        <v>57</v>
      </c>
      <c r="D564" s="31">
        <v>6.9</v>
      </c>
      <c r="E564" s="31">
        <v>29.6</v>
      </c>
      <c r="F564" s="31">
        <v>2.68</v>
      </c>
      <c r="G564" s="34">
        <f t="shared" si="85"/>
        <v>20.02</v>
      </c>
      <c r="H564" s="31"/>
      <c r="I564" s="34"/>
      <c r="J564" s="35"/>
      <c r="K564" s="34"/>
      <c r="L564" s="34"/>
      <c r="M564" s="34"/>
      <c r="N564" s="34"/>
      <c r="O564" s="34"/>
      <c r="P564" s="34"/>
      <c r="Q564" s="34"/>
      <c r="R564" s="34"/>
      <c r="S564" s="34"/>
      <c r="T564" s="34"/>
      <c r="U564" s="34"/>
      <c r="V564" s="34"/>
      <c r="W564" s="34"/>
      <c r="X564" s="34"/>
      <c r="Y564" s="34"/>
      <c r="Z564" s="34"/>
    </row>
    <row r="565">
      <c r="A565" s="31" t="s">
        <v>844</v>
      </c>
      <c r="B565" s="31" t="s">
        <v>1856</v>
      </c>
      <c r="C565" s="31" t="s">
        <v>95</v>
      </c>
      <c r="D565" s="31">
        <v>7.3</v>
      </c>
      <c r="E565" s="31">
        <v>27.0</v>
      </c>
      <c r="F565" s="31">
        <v>4.62</v>
      </c>
      <c r="G565" s="34">
        <f t="shared" si="85"/>
        <v>15.08</v>
      </c>
      <c r="H565" s="34"/>
      <c r="I565" s="34"/>
      <c r="J565" s="35"/>
      <c r="K565" s="34"/>
      <c r="L565" s="34"/>
      <c r="M565" s="34"/>
      <c r="N565" s="34"/>
      <c r="O565" s="34"/>
      <c r="P565" s="34"/>
      <c r="Q565" s="34"/>
      <c r="R565" s="34"/>
      <c r="S565" s="34"/>
      <c r="T565" s="34"/>
      <c r="U565" s="34"/>
      <c r="V565" s="34"/>
      <c r="W565" s="34"/>
      <c r="X565" s="34"/>
      <c r="Y565" s="34"/>
      <c r="Z565" s="34"/>
    </row>
    <row r="566">
      <c r="A566" s="31" t="s">
        <v>846</v>
      </c>
      <c r="B566" s="31" t="s">
        <v>1857</v>
      </c>
      <c r="C566" s="31" t="s">
        <v>51</v>
      </c>
      <c r="D566" s="31">
        <v>9.3</v>
      </c>
      <c r="E566" s="31">
        <v>28.0</v>
      </c>
      <c r="F566" s="31">
        <v>4.38</v>
      </c>
      <c r="G566" s="34">
        <f t="shared" si="85"/>
        <v>14.32</v>
      </c>
      <c r="H566" s="34"/>
      <c r="I566" s="34"/>
      <c r="J566" s="35"/>
      <c r="K566" s="34"/>
      <c r="L566" s="34"/>
      <c r="M566" s="34"/>
      <c r="N566" s="34"/>
      <c r="O566" s="34"/>
      <c r="P566" s="34"/>
      <c r="Q566" s="34"/>
      <c r="R566" s="34"/>
      <c r="S566" s="34"/>
      <c r="T566" s="34"/>
      <c r="U566" s="34"/>
      <c r="V566" s="34"/>
      <c r="W566" s="34"/>
      <c r="X566" s="34"/>
      <c r="Y566" s="34"/>
      <c r="Z566" s="34"/>
    </row>
    <row r="567">
      <c r="A567" s="31" t="s">
        <v>846</v>
      </c>
      <c r="B567" s="31" t="s">
        <v>1858</v>
      </c>
      <c r="C567" s="31" t="s">
        <v>51</v>
      </c>
      <c r="D567" s="31">
        <v>9.3</v>
      </c>
      <c r="E567" s="34"/>
      <c r="F567" s="34"/>
      <c r="G567" s="34"/>
      <c r="H567" s="31" t="s">
        <v>1195</v>
      </c>
      <c r="I567" s="34"/>
      <c r="J567" s="35"/>
      <c r="K567" s="34"/>
      <c r="L567" s="34"/>
      <c r="M567" s="34"/>
      <c r="N567" s="34"/>
      <c r="O567" s="34"/>
      <c r="P567" s="34"/>
      <c r="Q567" s="34"/>
      <c r="R567" s="34"/>
      <c r="S567" s="34"/>
      <c r="T567" s="34"/>
      <c r="U567" s="34"/>
      <c r="V567" s="34"/>
      <c r="W567" s="34"/>
      <c r="X567" s="34"/>
      <c r="Y567" s="34"/>
      <c r="Z567" s="34"/>
    </row>
    <row r="568">
      <c r="A568" s="7" t="s">
        <v>846</v>
      </c>
      <c r="B568" s="7" t="s">
        <v>1859</v>
      </c>
      <c r="C568" s="7" t="s">
        <v>51</v>
      </c>
      <c r="D568" s="7">
        <v>7.0</v>
      </c>
      <c r="E568" s="7">
        <v>22.0</v>
      </c>
      <c r="F568" s="7">
        <v>0.0</v>
      </c>
      <c r="G568" s="8">
        <f t="shared" ref="G568:G570" si="86">E568-F568-D568</f>
        <v>15</v>
      </c>
      <c r="H568" s="7" t="s">
        <v>1860</v>
      </c>
      <c r="I568" s="7" t="s">
        <v>614</v>
      </c>
      <c r="J568" s="9"/>
      <c r="K568" s="8"/>
      <c r="L568" s="8"/>
      <c r="M568" s="8"/>
      <c r="N568" s="8"/>
      <c r="O568" s="8"/>
      <c r="P568" s="8"/>
      <c r="Q568" s="8"/>
      <c r="R568" s="8"/>
      <c r="S568" s="8"/>
      <c r="T568" s="8"/>
      <c r="U568" s="8"/>
      <c r="V568" s="8"/>
      <c r="W568" s="8"/>
      <c r="X568" s="8"/>
      <c r="Y568" s="8"/>
      <c r="Z568" s="8"/>
    </row>
    <row r="569">
      <c r="A569" s="31" t="s">
        <v>1861</v>
      </c>
      <c r="B569" s="31" t="s">
        <v>1862</v>
      </c>
      <c r="C569" s="31" t="s">
        <v>57</v>
      </c>
      <c r="D569" s="31">
        <v>10.0</v>
      </c>
      <c r="E569" s="31">
        <v>40.0</v>
      </c>
      <c r="F569" s="31">
        <v>0.0</v>
      </c>
      <c r="G569" s="34">
        <f t="shared" si="86"/>
        <v>30</v>
      </c>
      <c r="H569" s="31" t="s">
        <v>1190</v>
      </c>
      <c r="I569" s="31"/>
      <c r="J569" s="35"/>
      <c r="K569" s="34"/>
      <c r="L569" s="34"/>
      <c r="M569" s="34"/>
      <c r="N569" s="34"/>
      <c r="O569" s="34"/>
      <c r="P569" s="34"/>
      <c r="Q569" s="34"/>
      <c r="R569" s="34"/>
      <c r="S569" s="34"/>
      <c r="T569" s="34"/>
      <c r="U569" s="34"/>
      <c r="V569" s="34"/>
      <c r="W569" s="34"/>
      <c r="X569" s="34"/>
      <c r="Y569" s="34"/>
      <c r="Z569" s="34"/>
    </row>
    <row r="570">
      <c r="A570" s="7" t="s">
        <v>1863</v>
      </c>
      <c r="B570" s="7" t="s">
        <v>1577</v>
      </c>
      <c r="C570" s="7" t="s">
        <v>481</v>
      </c>
      <c r="D570" s="7">
        <v>25.0</v>
      </c>
      <c r="E570" s="7">
        <v>26.0</v>
      </c>
      <c r="F570" s="7">
        <v>0.0</v>
      </c>
      <c r="G570" s="8">
        <f t="shared" si="86"/>
        <v>1</v>
      </c>
      <c r="H570" s="7" t="s">
        <v>1864</v>
      </c>
      <c r="I570" s="7" t="s">
        <v>614</v>
      </c>
      <c r="J570" s="9"/>
      <c r="K570" s="8"/>
      <c r="L570" s="8"/>
      <c r="M570" s="8"/>
      <c r="N570" s="8"/>
      <c r="O570" s="8"/>
      <c r="P570" s="8"/>
      <c r="Q570" s="8"/>
      <c r="R570" s="8"/>
      <c r="S570" s="8"/>
      <c r="T570" s="8"/>
      <c r="U570" s="8"/>
      <c r="V570" s="8"/>
      <c r="W570" s="8"/>
      <c r="X570" s="8"/>
      <c r="Y570" s="8"/>
      <c r="Z570" s="8"/>
    </row>
    <row r="571">
      <c r="A571" s="31" t="s">
        <v>1865</v>
      </c>
      <c r="B571" s="31" t="s">
        <v>1866</v>
      </c>
      <c r="C571" s="31" t="s">
        <v>51</v>
      </c>
      <c r="D571" s="31">
        <v>8.0</v>
      </c>
      <c r="E571" s="31">
        <v>15.0</v>
      </c>
      <c r="F571" s="31">
        <v>0.0</v>
      </c>
      <c r="G571" s="34">
        <f t="shared" ref="G571:G572" si="87">E571-D571</f>
        <v>7</v>
      </c>
      <c r="H571" s="36">
        <v>46131.0</v>
      </c>
      <c r="I571" s="34"/>
      <c r="J571" s="35"/>
      <c r="K571" s="34"/>
      <c r="L571" s="34"/>
      <c r="M571" s="34"/>
      <c r="N571" s="34"/>
      <c r="O571" s="34"/>
      <c r="P571" s="34"/>
      <c r="Q571" s="34"/>
      <c r="R571" s="34"/>
      <c r="S571" s="34"/>
      <c r="T571" s="34"/>
      <c r="U571" s="34"/>
      <c r="V571" s="34"/>
      <c r="W571" s="34"/>
      <c r="X571" s="34"/>
      <c r="Y571" s="34"/>
      <c r="Z571" s="34"/>
    </row>
    <row r="572">
      <c r="A572" s="45" t="s">
        <v>1867</v>
      </c>
      <c r="B572" s="45" t="s">
        <v>1587</v>
      </c>
      <c r="C572" s="45" t="s">
        <v>51</v>
      </c>
      <c r="D572" s="45">
        <v>12.5</v>
      </c>
      <c r="E572" s="45">
        <v>40.0</v>
      </c>
      <c r="F572" s="45">
        <v>0.0</v>
      </c>
      <c r="G572" s="46">
        <f t="shared" si="87"/>
        <v>27.5</v>
      </c>
      <c r="H572" s="47">
        <v>46047.0</v>
      </c>
      <c r="I572" s="46"/>
      <c r="J572" s="48"/>
      <c r="K572" s="46"/>
      <c r="L572" s="46"/>
      <c r="M572" s="46"/>
      <c r="N572" s="46"/>
      <c r="O572" s="46"/>
      <c r="P572" s="46"/>
      <c r="Q572" s="46"/>
      <c r="R572" s="46"/>
      <c r="S572" s="46"/>
      <c r="T572" s="46"/>
      <c r="U572" s="46"/>
      <c r="V572" s="46"/>
      <c r="W572" s="46"/>
      <c r="X572" s="46"/>
      <c r="Y572" s="46"/>
      <c r="Z572" s="46"/>
    </row>
    <row r="573">
      <c r="A573" s="10" t="s">
        <v>1868</v>
      </c>
      <c r="B573" s="10" t="s">
        <v>1869</v>
      </c>
      <c r="C573" s="10" t="s">
        <v>1825</v>
      </c>
      <c r="D573" s="10">
        <v>9.6</v>
      </c>
      <c r="E573" s="11"/>
      <c r="F573" s="11"/>
      <c r="G573" s="11"/>
      <c r="H573" s="68">
        <v>45935.0</v>
      </c>
      <c r="I573" s="65" t="s">
        <v>1870</v>
      </c>
      <c r="J573" s="12"/>
      <c r="K573" s="11"/>
      <c r="L573" s="11"/>
      <c r="M573" s="11"/>
      <c r="N573" s="11"/>
      <c r="O573" s="11"/>
      <c r="P573" s="11"/>
      <c r="Q573" s="11"/>
      <c r="R573" s="11"/>
      <c r="S573" s="11"/>
      <c r="T573" s="11"/>
      <c r="U573" s="11"/>
      <c r="V573" s="11"/>
      <c r="W573" s="11"/>
      <c r="X573" s="11"/>
      <c r="Y573" s="11"/>
      <c r="Z573" s="11"/>
    </row>
    <row r="574">
      <c r="A574" s="31" t="s">
        <v>1871</v>
      </c>
      <c r="B574" s="31" t="s">
        <v>1872</v>
      </c>
      <c r="C574" s="31" t="s">
        <v>1197</v>
      </c>
      <c r="D574" s="31">
        <v>13.0</v>
      </c>
      <c r="E574" s="34"/>
      <c r="F574" s="34"/>
      <c r="G574" s="34"/>
      <c r="H574" s="36">
        <v>45794.0</v>
      </c>
      <c r="I574" s="34"/>
      <c r="J574" s="35"/>
      <c r="K574" s="34"/>
      <c r="L574" s="34"/>
      <c r="M574" s="34"/>
      <c r="N574" s="34"/>
      <c r="O574" s="34"/>
      <c r="P574" s="34"/>
      <c r="Q574" s="34"/>
      <c r="R574" s="34"/>
      <c r="S574" s="34"/>
      <c r="T574" s="34"/>
      <c r="U574" s="34"/>
      <c r="V574" s="34"/>
      <c r="W574" s="34"/>
      <c r="X574" s="34"/>
      <c r="Y574" s="34"/>
      <c r="Z574" s="34"/>
    </row>
    <row r="575">
      <c r="A575" s="38" t="s">
        <v>1873</v>
      </c>
      <c r="B575" s="38" t="s">
        <v>1874</v>
      </c>
      <c r="C575" s="38" t="s">
        <v>51</v>
      </c>
      <c r="D575" s="38">
        <v>10.0</v>
      </c>
      <c r="E575" s="39"/>
      <c r="F575" s="39"/>
      <c r="G575" s="39"/>
      <c r="H575" s="40">
        <v>45893.0</v>
      </c>
      <c r="I575" s="39"/>
      <c r="J575" s="41"/>
      <c r="K575" s="39"/>
      <c r="L575" s="39"/>
      <c r="M575" s="39"/>
      <c r="N575" s="39"/>
      <c r="O575" s="39"/>
      <c r="P575" s="39"/>
      <c r="Q575" s="39"/>
      <c r="R575" s="39"/>
      <c r="S575" s="39"/>
      <c r="T575" s="39"/>
      <c r="U575" s="39"/>
      <c r="V575" s="39"/>
      <c r="W575" s="39"/>
      <c r="X575" s="39"/>
      <c r="Y575" s="39"/>
      <c r="Z575" s="39"/>
    </row>
    <row r="576">
      <c r="A576" s="45" t="s">
        <v>853</v>
      </c>
      <c r="B576" s="45" t="s">
        <v>1875</v>
      </c>
      <c r="C576" s="45" t="s">
        <v>51</v>
      </c>
      <c r="D576" s="45">
        <v>4.0</v>
      </c>
      <c r="E576" s="45">
        <v>30.0</v>
      </c>
      <c r="F576" s="45">
        <v>0.0</v>
      </c>
      <c r="G576" s="46">
        <f t="shared" ref="G576:G577" si="88">E576-F576-D576</f>
        <v>26</v>
      </c>
      <c r="H576" s="47">
        <v>46096.0</v>
      </c>
      <c r="I576" s="46"/>
      <c r="J576" s="48"/>
      <c r="K576" s="46"/>
      <c r="L576" s="46"/>
      <c r="M576" s="46"/>
      <c r="N576" s="46"/>
      <c r="O576" s="46"/>
      <c r="P576" s="46"/>
      <c r="Q576" s="46"/>
      <c r="R576" s="46"/>
      <c r="S576" s="46"/>
      <c r="T576" s="46"/>
      <c r="U576" s="46"/>
      <c r="V576" s="46"/>
      <c r="W576" s="46"/>
      <c r="X576" s="46"/>
      <c r="Y576" s="46"/>
      <c r="Z576" s="46"/>
    </row>
    <row r="577">
      <c r="A577" s="31" t="s">
        <v>853</v>
      </c>
      <c r="B577" s="31" t="s">
        <v>1876</v>
      </c>
      <c r="C577" s="31" t="s">
        <v>57</v>
      </c>
      <c r="D577" s="31">
        <v>6.0</v>
      </c>
      <c r="E577" s="31">
        <v>26.42</v>
      </c>
      <c r="F577" s="34">
        <f>6.43+0.79</f>
        <v>7.22</v>
      </c>
      <c r="G577" s="34">
        <f t="shared" si="88"/>
        <v>13.2</v>
      </c>
      <c r="H577" s="31"/>
      <c r="I577" s="34"/>
      <c r="J577" s="35"/>
      <c r="K577" s="34"/>
      <c r="L577" s="34"/>
      <c r="M577" s="34"/>
      <c r="N577" s="34"/>
      <c r="O577" s="34"/>
      <c r="P577" s="34"/>
      <c r="Q577" s="34"/>
      <c r="R577" s="34"/>
      <c r="S577" s="34"/>
      <c r="T577" s="34"/>
      <c r="U577" s="34"/>
      <c r="V577" s="34"/>
      <c r="W577" s="34"/>
      <c r="X577" s="34"/>
      <c r="Y577" s="34"/>
      <c r="Z577" s="34"/>
    </row>
    <row r="578">
      <c r="A578" s="31" t="s">
        <v>853</v>
      </c>
      <c r="B578" s="31" t="s">
        <v>1085</v>
      </c>
      <c r="C578" s="31" t="s">
        <v>95</v>
      </c>
      <c r="D578" s="31">
        <v>5.0</v>
      </c>
      <c r="E578" s="31">
        <v>25.0</v>
      </c>
      <c r="F578" s="31">
        <v>0.0</v>
      </c>
      <c r="G578" s="34">
        <f t="shared" ref="G578:G579" si="89">E578-D578</f>
        <v>20</v>
      </c>
      <c r="H578" s="36">
        <v>46131.0</v>
      </c>
      <c r="I578" s="34"/>
      <c r="J578" s="35"/>
      <c r="K578" s="34"/>
      <c r="L578" s="34"/>
      <c r="M578" s="34"/>
      <c r="N578" s="34"/>
      <c r="O578" s="34"/>
      <c r="P578" s="34"/>
      <c r="Q578" s="34"/>
      <c r="R578" s="34"/>
      <c r="S578" s="34"/>
      <c r="T578" s="34"/>
      <c r="U578" s="34"/>
      <c r="V578" s="34"/>
      <c r="W578" s="34"/>
      <c r="X578" s="34"/>
      <c r="Y578" s="34"/>
      <c r="Z578" s="34"/>
    </row>
    <row r="579">
      <c r="A579" s="31" t="s">
        <v>853</v>
      </c>
      <c r="B579" s="31" t="s">
        <v>1877</v>
      </c>
      <c r="C579" s="31" t="s">
        <v>51</v>
      </c>
      <c r="D579" s="31">
        <v>10.0</v>
      </c>
      <c r="E579" s="31">
        <v>25.0</v>
      </c>
      <c r="F579" s="31">
        <v>0.0</v>
      </c>
      <c r="G579" s="34">
        <f t="shared" si="89"/>
        <v>15</v>
      </c>
      <c r="H579" s="36">
        <v>46131.0</v>
      </c>
      <c r="I579" s="34"/>
      <c r="J579" s="35"/>
      <c r="K579" s="34"/>
      <c r="L579" s="34"/>
      <c r="M579" s="34"/>
      <c r="N579" s="34"/>
      <c r="O579" s="34"/>
      <c r="P579" s="34"/>
      <c r="Q579" s="34"/>
      <c r="R579" s="34"/>
      <c r="S579" s="34"/>
      <c r="T579" s="34"/>
      <c r="U579" s="34"/>
      <c r="V579" s="34"/>
      <c r="W579" s="34"/>
      <c r="X579" s="34"/>
      <c r="Y579" s="34"/>
      <c r="Z579" s="34"/>
    </row>
    <row r="580">
      <c r="A580" s="31" t="s">
        <v>853</v>
      </c>
      <c r="B580" s="31" t="s">
        <v>1878</v>
      </c>
      <c r="C580" s="31" t="s">
        <v>57</v>
      </c>
      <c r="D580" s="31">
        <v>6.0</v>
      </c>
      <c r="E580" s="31">
        <v>30.0</v>
      </c>
      <c r="F580" s="31">
        <v>0.0</v>
      </c>
      <c r="G580" s="34">
        <f t="shared" ref="G580:G585" si="90">E580-F580-D580</f>
        <v>24</v>
      </c>
      <c r="H580" s="31"/>
      <c r="I580" s="34"/>
      <c r="J580" s="35"/>
      <c r="K580" s="34"/>
      <c r="L580" s="34"/>
      <c r="M580" s="34"/>
      <c r="N580" s="34"/>
      <c r="O580" s="34"/>
      <c r="P580" s="34"/>
      <c r="Q580" s="34"/>
      <c r="R580" s="34"/>
      <c r="S580" s="34"/>
      <c r="T580" s="34"/>
      <c r="U580" s="34"/>
      <c r="V580" s="34"/>
      <c r="W580" s="34"/>
      <c r="X580" s="34"/>
      <c r="Y580" s="34"/>
      <c r="Z580" s="34"/>
    </row>
    <row r="581">
      <c r="A581" s="31" t="s">
        <v>853</v>
      </c>
      <c r="B581" s="31" t="s">
        <v>1575</v>
      </c>
      <c r="C581" s="31" t="s">
        <v>57</v>
      </c>
      <c r="D581" s="31">
        <v>12.5</v>
      </c>
      <c r="E581" s="31">
        <v>35.0</v>
      </c>
      <c r="F581" s="31">
        <v>5.16</v>
      </c>
      <c r="G581" s="34">
        <f t="shared" si="90"/>
        <v>17.34</v>
      </c>
      <c r="H581" s="31"/>
      <c r="I581" s="34"/>
      <c r="J581" s="35"/>
      <c r="K581" s="34"/>
      <c r="L581" s="34"/>
      <c r="M581" s="34"/>
      <c r="N581" s="34"/>
      <c r="O581" s="34"/>
      <c r="P581" s="34"/>
      <c r="Q581" s="34"/>
      <c r="R581" s="34"/>
      <c r="S581" s="34"/>
      <c r="T581" s="34"/>
      <c r="U581" s="34"/>
      <c r="V581" s="34"/>
      <c r="W581" s="34"/>
      <c r="X581" s="34"/>
      <c r="Y581" s="34"/>
      <c r="Z581" s="34"/>
    </row>
    <row r="582">
      <c r="A582" s="31" t="s">
        <v>853</v>
      </c>
      <c r="B582" s="31" t="s">
        <v>1879</v>
      </c>
      <c r="C582" s="31" t="s">
        <v>51</v>
      </c>
      <c r="D582" s="31">
        <v>6.0</v>
      </c>
      <c r="E582" s="31">
        <v>20.0</v>
      </c>
      <c r="F582" s="31">
        <v>0.0</v>
      </c>
      <c r="G582" s="34">
        <f t="shared" si="90"/>
        <v>14</v>
      </c>
      <c r="H582" s="31"/>
      <c r="I582" s="34"/>
      <c r="J582" s="35"/>
      <c r="K582" s="34"/>
      <c r="L582" s="34"/>
      <c r="M582" s="34"/>
      <c r="N582" s="34"/>
      <c r="O582" s="34"/>
      <c r="P582" s="34"/>
      <c r="Q582" s="34"/>
      <c r="R582" s="34"/>
      <c r="S582" s="34"/>
      <c r="T582" s="34"/>
      <c r="U582" s="34"/>
      <c r="V582" s="34"/>
      <c r="W582" s="34"/>
      <c r="X582" s="34"/>
      <c r="Y582" s="34"/>
      <c r="Z582" s="34"/>
    </row>
    <row r="583">
      <c r="A583" s="31" t="s">
        <v>1873</v>
      </c>
      <c r="B583" s="31" t="s">
        <v>828</v>
      </c>
      <c r="C583" s="31" t="s">
        <v>57</v>
      </c>
      <c r="D583" s="31">
        <v>11.0</v>
      </c>
      <c r="E583" s="31">
        <v>35.0</v>
      </c>
      <c r="F583" s="31">
        <v>0.0</v>
      </c>
      <c r="G583" s="34">
        <f t="shared" si="90"/>
        <v>24</v>
      </c>
      <c r="H583" s="31" t="s">
        <v>1190</v>
      </c>
      <c r="I583" s="34"/>
      <c r="J583" s="35"/>
      <c r="K583" s="34"/>
      <c r="L583" s="34"/>
      <c r="M583" s="34"/>
      <c r="N583" s="34"/>
      <c r="O583" s="34"/>
      <c r="P583" s="34"/>
      <c r="Q583" s="34"/>
      <c r="R583" s="34"/>
      <c r="S583" s="34"/>
      <c r="T583" s="34"/>
      <c r="U583" s="34"/>
      <c r="V583" s="34"/>
      <c r="W583" s="34"/>
      <c r="X583" s="34"/>
      <c r="Y583" s="34"/>
      <c r="Z583" s="34"/>
    </row>
    <row r="584">
      <c r="A584" s="31" t="s">
        <v>853</v>
      </c>
      <c r="B584" s="31" t="s">
        <v>1059</v>
      </c>
      <c r="C584" s="31" t="s">
        <v>57</v>
      </c>
      <c r="D584" s="31">
        <v>11.0</v>
      </c>
      <c r="E584" s="31">
        <v>35.0</v>
      </c>
      <c r="F584" s="31">
        <v>6.59</v>
      </c>
      <c r="G584" s="34">
        <f t="shared" si="90"/>
        <v>17.41</v>
      </c>
      <c r="H584" s="31"/>
      <c r="I584" s="34"/>
      <c r="J584" s="35"/>
      <c r="K584" s="34"/>
      <c r="L584" s="34"/>
      <c r="M584" s="34"/>
      <c r="N584" s="34"/>
      <c r="O584" s="34"/>
      <c r="P584" s="34"/>
      <c r="Q584" s="34"/>
      <c r="R584" s="34"/>
      <c r="S584" s="34"/>
      <c r="T584" s="34"/>
      <c r="U584" s="34"/>
      <c r="V584" s="34"/>
      <c r="W584" s="34"/>
      <c r="X584" s="34"/>
      <c r="Y584" s="34"/>
      <c r="Z584" s="34"/>
    </row>
    <row r="585">
      <c r="A585" s="51" t="s">
        <v>1873</v>
      </c>
      <c r="B585" s="51" t="s">
        <v>1880</v>
      </c>
      <c r="C585" s="51" t="s">
        <v>51</v>
      </c>
      <c r="D585" s="51">
        <v>10.0</v>
      </c>
      <c r="E585" s="51">
        <v>30.0</v>
      </c>
      <c r="F585" s="51">
        <v>0.0</v>
      </c>
      <c r="G585" s="52">
        <f t="shared" si="90"/>
        <v>20</v>
      </c>
      <c r="H585" s="52"/>
      <c r="I585" s="52"/>
      <c r="J585" s="53"/>
      <c r="K585" s="52"/>
      <c r="L585" s="52"/>
      <c r="M585" s="52"/>
      <c r="N585" s="52"/>
      <c r="O585" s="52"/>
      <c r="P585" s="52"/>
      <c r="Q585" s="52"/>
      <c r="R585" s="52"/>
      <c r="S585" s="52"/>
      <c r="T585" s="52"/>
      <c r="U585" s="52"/>
      <c r="V585" s="52"/>
      <c r="W585" s="52"/>
      <c r="X585" s="52"/>
      <c r="Y585" s="52"/>
      <c r="Z585" s="52"/>
    </row>
    <row r="586">
      <c r="A586" s="38" t="s">
        <v>1881</v>
      </c>
      <c r="B586" s="38" t="s">
        <v>1882</v>
      </c>
      <c r="C586" s="38" t="s">
        <v>51</v>
      </c>
      <c r="D586" s="38">
        <v>3.5</v>
      </c>
      <c r="E586" s="39"/>
      <c r="F586" s="39"/>
      <c r="G586" s="39"/>
      <c r="H586" s="40">
        <v>45893.0</v>
      </c>
      <c r="I586" s="39"/>
      <c r="J586" s="41"/>
      <c r="K586" s="39"/>
      <c r="L586" s="39"/>
      <c r="M586" s="39"/>
      <c r="N586" s="39"/>
      <c r="O586" s="39"/>
      <c r="P586" s="39"/>
      <c r="Q586" s="39"/>
      <c r="R586" s="39"/>
      <c r="S586" s="39"/>
      <c r="T586" s="39"/>
      <c r="U586" s="39"/>
      <c r="V586" s="39"/>
      <c r="W586" s="39"/>
      <c r="X586" s="39"/>
      <c r="Y586" s="39"/>
      <c r="Z586" s="39"/>
    </row>
    <row r="587">
      <c r="A587" s="45" t="s">
        <v>1883</v>
      </c>
      <c r="B587" s="45" t="s">
        <v>1884</v>
      </c>
      <c r="C587" s="45" t="s">
        <v>51</v>
      </c>
      <c r="D587" s="45">
        <v>3.5</v>
      </c>
      <c r="E587" s="45">
        <v>50.0</v>
      </c>
      <c r="F587" s="45">
        <v>0.0</v>
      </c>
      <c r="G587" s="46">
        <f>E587-F587-D587</f>
        <v>46.5</v>
      </c>
      <c r="H587" s="47">
        <v>46047.0</v>
      </c>
      <c r="I587" s="46"/>
      <c r="J587" s="48"/>
      <c r="K587" s="46"/>
      <c r="L587" s="46"/>
      <c r="M587" s="46"/>
      <c r="N587" s="46"/>
      <c r="O587" s="46"/>
      <c r="P587" s="46"/>
      <c r="Q587" s="46"/>
      <c r="R587" s="46"/>
      <c r="S587" s="46"/>
      <c r="T587" s="46"/>
      <c r="U587" s="46"/>
      <c r="V587" s="46"/>
      <c r="W587" s="46"/>
      <c r="X587" s="46"/>
      <c r="Y587" s="46"/>
      <c r="Z587" s="46"/>
    </row>
    <row r="588">
      <c r="A588" s="31" t="s">
        <v>861</v>
      </c>
      <c r="B588" s="31" t="s">
        <v>1885</v>
      </c>
      <c r="C588" s="31" t="s">
        <v>66</v>
      </c>
      <c r="D588" s="31">
        <v>10.0</v>
      </c>
      <c r="E588" s="34"/>
      <c r="F588" s="34"/>
      <c r="G588" s="34"/>
      <c r="H588" s="36">
        <v>45767.0</v>
      </c>
      <c r="I588" s="34"/>
      <c r="J588" s="35"/>
      <c r="K588" s="34"/>
      <c r="L588" s="34"/>
      <c r="M588" s="34"/>
      <c r="N588" s="34"/>
      <c r="O588" s="34"/>
      <c r="P588" s="34"/>
      <c r="Q588" s="34"/>
      <c r="R588" s="34"/>
      <c r="S588" s="34"/>
      <c r="T588" s="34"/>
      <c r="U588" s="34"/>
      <c r="V588" s="34"/>
      <c r="W588" s="34"/>
      <c r="X588" s="34"/>
      <c r="Y588" s="34"/>
      <c r="Z588" s="34"/>
    </row>
    <row r="589">
      <c r="A589" s="45" t="s">
        <v>1886</v>
      </c>
      <c r="B589" s="45" t="s">
        <v>1887</v>
      </c>
      <c r="C589" s="45">
        <v>6.0</v>
      </c>
      <c r="D589" s="45">
        <v>7.3</v>
      </c>
      <c r="E589" s="45">
        <v>25.0</v>
      </c>
      <c r="F589" s="45">
        <v>0.0</v>
      </c>
      <c r="G589" s="46">
        <f>E589-D589</f>
        <v>17.7</v>
      </c>
      <c r="H589" s="47">
        <v>46047.0</v>
      </c>
      <c r="I589" s="46"/>
      <c r="J589" s="48"/>
      <c r="K589" s="46"/>
      <c r="L589" s="46"/>
      <c r="M589" s="46"/>
      <c r="N589" s="46"/>
      <c r="O589" s="46"/>
      <c r="P589" s="46"/>
      <c r="Q589" s="46"/>
      <c r="R589" s="46"/>
      <c r="S589" s="46"/>
      <c r="T589" s="46"/>
      <c r="U589" s="46"/>
      <c r="V589" s="46"/>
      <c r="W589" s="46"/>
      <c r="X589" s="46"/>
      <c r="Y589" s="46"/>
      <c r="Z589" s="46"/>
    </row>
    <row r="590">
      <c r="A590" s="42" t="s">
        <v>869</v>
      </c>
      <c r="B590" s="42" t="s">
        <v>1888</v>
      </c>
      <c r="C590" s="42" t="s">
        <v>51</v>
      </c>
      <c r="D590" s="42">
        <v>8.09</v>
      </c>
      <c r="E590" s="42">
        <v>66.81</v>
      </c>
      <c r="F590" s="42">
        <v>5.41</v>
      </c>
      <c r="G590" s="43">
        <f>E590-F590-D590</f>
        <v>53.31</v>
      </c>
      <c r="H590" s="42" t="s">
        <v>1202</v>
      </c>
      <c r="I590" s="43"/>
      <c r="J590" s="44"/>
      <c r="K590" s="43"/>
      <c r="L590" s="43"/>
      <c r="M590" s="43"/>
      <c r="N590" s="43"/>
      <c r="O590" s="43"/>
      <c r="P590" s="43"/>
      <c r="Q590" s="43"/>
      <c r="R590" s="43"/>
      <c r="S590" s="43"/>
      <c r="T590" s="43"/>
      <c r="U590" s="43"/>
      <c r="V590" s="43"/>
      <c r="W590" s="43"/>
      <c r="X590" s="43"/>
      <c r="Y590" s="43"/>
      <c r="Z590" s="43"/>
    </row>
    <row r="591">
      <c r="A591" s="38" t="s">
        <v>878</v>
      </c>
      <c r="B591" s="38" t="s">
        <v>1889</v>
      </c>
      <c r="C591" s="38" t="s">
        <v>57</v>
      </c>
      <c r="D591" s="38">
        <v>10.0</v>
      </c>
      <c r="E591" s="39"/>
      <c r="F591" s="39"/>
      <c r="G591" s="39"/>
      <c r="H591" s="40">
        <v>45893.0</v>
      </c>
      <c r="I591" s="39"/>
      <c r="J591" s="41"/>
      <c r="K591" s="39"/>
      <c r="L591" s="39"/>
      <c r="M591" s="39"/>
      <c r="N591" s="39"/>
      <c r="O591" s="39"/>
      <c r="P591" s="39"/>
      <c r="Q591" s="39"/>
      <c r="R591" s="39"/>
      <c r="S591" s="39"/>
      <c r="T591" s="39"/>
      <c r="U591" s="39"/>
      <c r="V591" s="39"/>
      <c r="W591" s="39"/>
      <c r="X591" s="39"/>
      <c r="Y591" s="39"/>
      <c r="Z591" s="39"/>
    </row>
    <row r="592">
      <c r="A592" s="45" t="s">
        <v>886</v>
      </c>
      <c r="B592" s="45" t="s">
        <v>1890</v>
      </c>
      <c r="C592" s="45">
        <v>8.0</v>
      </c>
      <c r="D592" s="45">
        <v>5.0</v>
      </c>
      <c r="E592" s="45">
        <v>40.0</v>
      </c>
      <c r="F592" s="45">
        <v>0.0</v>
      </c>
      <c r="G592" s="46">
        <f t="shared" ref="G592:G593" si="91">E592-F592-D592</f>
        <v>35</v>
      </c>
      <c r="H592" s="47">
        <v>46096.0</v>
      </c>
      <c r="I592" s="46"/>
      <c r="J592" s="48"/>
      <c r="K592" s="46"/>
      <c r="L592" s="46"/>
      <c r="M592" s="46"/>
      <c r="N592" s="46"/>
      <c r="O592" s="46"/>
      <c r="P592" s="46"/>
      <c r="Q592" s="46"/>
      <c r="R592" s="46"/>
      <c r="S592" s="46"/>
      <c r="T592" s="46"/>
      <c r="U592" s="46"/>
      <c r="V592" s="46"/>
      <c r="W592" s="46"/>
      <c r="X592" s="46"/>
      <c r="Y592" s="46"/>
      <c r="Z592" s="46"/>
    </row>
    <row r="593">
      <c r="A593" s="51" t="s">
        <v>1891</v>
      </c>
      <c r="B593" s="51" t="s">
        <v>1892</v>
      </c>
      <c r="C593" s="51" t="s">
        <v>57</v>
      </c>
      <c r="D593" s="51">
        <v>10.0</v>
      </c>
      <c r="E593" s="51">
        <v>25.0</v>
      </c>
      <c r="F593" s="51">
        <v>0.0</v>
      </c>
      <c r="G593" s="52">
        <f t="shared" si="91"/>
        <v>15</v>
      </c>
      <c r="H593" s="52"/>
      <c r="I593" s="52"/>
      <c r="J593" s="53"/>
      <c r="K593" s="52"/>
      <c r="L593" s="52"/>
      <c r="M593" s="52"/>
      <c r="N593" s="52"/>
      <c r="O593" s="52"/>
      <c r="P593" s="52"/>
      <c r="Q593" s="52"/>
      <c r="R593" s="52"/>
      <c r="S593" s="52"/>
      <c r="T593" s="52"/>
      <c r="U593" s="52"/>
      <c r="V593" s="52"/>
      <c r="W593" s="52"/>
      <c r="X593" s="52"/>
      <c r="Y593" s="52"/>
      <c r="Z593" s="52"/>
    </row>
    <row r="594">
      <c r="A594" s="31" t="s">
        <v>891</v>
      </c>
      <c r="B594" s="31" t="s">
        <v>1893</v>
      </c>
      <c r="C594" s="31" t="s">
        <v>51</v>
      </c>
      <c r="D594" s="31"/>
      <c r="E594" s="34"/>
      <c r="F594" s="34"/>
      <c r="G594" s="34"/>
      <c r="H594" s="31" t="s">
        <v>1894</v>
      </c>
      <c r="I594" s="34"/>
      <c r="J594" s="35"/>
      <c r="K594" s="34"/>
      <c r="L594" s="34"/>
      <c r="M594" s="34"/>
      <c r="N594" s="34"/>
      <c r="O594" s="34"/>
      <c r="P594" s="34"/>
      <c r="Q594" s="34"/>
      <c r="R594" s="34"/>
      <c r="S594" s="34"/>
      <c r="T594" s="34"/>
      <c r="U594" s="34"/>
      <c r="V594" s="34"/>
      <c r="W594" s="34"/>
      <c r="X594" s="34"/>
      <c r="Y594" s="34"/>
      <c r="Z594" s="34"/>
    </row>
    <row r="595">
      <c r="A595" s="31" t="s">
        <v>1895</v>
      </c>
      <c r="B595" s="31" t="s">
        <v>1896</v>
      </c>
      <c r="C595" s="31" t="s">
        <v>51</v>
      </c>
      <c r="D595" s="31">
        <v>7.0</v>
      </c>
      <c r="E595" s="34"/>
      <c r="F595" s="34"/>
      <c r="G595" s="34"/>
      <c r="H595" s="37">
        <v>45696.0</v>
      </c>
      <c r="I595" s="34"/>
      <c r="J595" s="35"/>
      <c r="K595" s="34"/>
      <c r="L595" s="34"/>
      <c r="M595" s="34"/>
      <c r="N595" s="34"/>
      <c r="O595" s="34"/>
      <c r="P595" s="34"/>
      <c r="Q595" s="34"/>
      <c r="R595" s="34"/>
      <c r="S595" s="34"/>
      <c r="T595" s="34"/>
      <c r="U595" s="34"/>
      <c r="V595" s="34"/>
      <c r="W595" s="34"/>
      <c r="X595" s="34"/>
      <c r="Y595" s="34"/>
      <c r="Z595" s="34"/>
    </row>
    <row r="596">
      <c r="A596" s="45" t="s">
        <v>903</v>
      </c>
      <c r="B596" s="45" t="s">
        <v>1221</v>
      </c>
      <c r="C596" s="45">
        <v>14.0</v>
      </c>
      <c r="D596" s="45">
        <v>8.5</v>
      </c>
      <c r="E596" s="45">
        <v>40.0</v>
      </c>
      <c r="F596" s="45">
        <v>0.0</v>
      </c>
      <c r="G596" s="46">
        <f>E596-F596-D596</f>
        <v>31.5</v>
      </c>
      <c r="H596" s="47">
        <v>46096.0</v>
      </c>
      <c r="I596" s="46"/>
      <c r="J596" s="48"/>
      <c r="K596" s="46"/>
      <c r="L596" s="46"/>
      <c r="M596" s="46"/>
      <c r="N596" s="46"/>
      <c r="O596" s="46"/>
      <c r="P596" s="46"/>
      <c r="Q596" s="46"/>
      <c r="R596" s="46"/>
      <c r="S596" s="46"/>
      <c r="T596" s="46"/>
      <c r="U596" s="46"/>
      <c r="V596" s="46"/>
      <c r="W596" s="46"/>
      <c r="X596" s="46"/>
      <c r="Y596" s="46"/>
      <c r="Z596" s="46"/>
    </row>
    <row r="597">
      <c r="A597" s="45" t="s">
        <v>907</v>
      </c>
      <c r="B597" s="45" t="s">
        <v>930</v>
      </c>
      <c r="C597" s="45" t="s">
        <v>57</v>
      </c>
      <c r="D597" s="45">
        <v>4.5</v>
      </c>
      <c r="E597" s="45">
        <v>40.0</v>
      </c>
      <c r="F597" s="45">
        <v>0.0</v>
      </c>
      <c r="G597" s="46">
        <f>E597-D597</f>
        <v>35.5</v>
      </c>
      <c r="H597" s="47">
        <v>46096.0</v>
      </c>
      <c r="I597" s="46"/>
      <c r="J597" s="48"/>
      <c r="K597" s="46"/>
      <c r="L597" s="46"/>
      <c r="M597" s="46"/>
      <c r="N597" s="46"/>
      <c r="O597" s="46"/>
      <c r="P597" s="46"/>
      <c r="Q597" s="46"/>
      <c r="R597" s="46"/>
      <c r="S597" s="46"/>
      <c r="T597" s="46"/>
      <c r="U597" s="46"/>
      <c r="V597" s="46"/>
      <c r="W597" s="46"/>
      <c r="X597" s="46"/>
      <c r="Y597" s="46"/>
      <c r="Z597" s="46"/>
    </row>
    <row r="598">
      <c r="A598" s="31" t="s">
        <v>1897</v>
      </c>
      <c r="B598" s="31" t="s">
        <v>1178</v>
      </c>
      <c r="C598" s="31">
        <v>3.0</v>
      </c>
      <c r="D598" s="31">
        <v>10.0</v>
      </c>
      <c r="E598" s="34"/>
      <c r="F598" s="34"/>
      <c r="G598" s="34"/>
      <c r="H598" s="36">
        <v>45794.0</v>
      </c>
      <c r="I598" s="31" t="s">
        <v>1898</v>
      </c>
      <c r="J598" s="35"/>
      <c r="K598" s="34"/>
      <c r="L598" s="34"/>
      <c r="M598" s="34"/>
      <c r="N598" s="34"/>
      <c r="O598" s="34"/>
      <c r="P598" s="34"/>
      <c r="Q598" s="34"/>
      <c r="R598" s="34"/>
      <c r="S598" s="34"/>
      <c r="T598" s="34"/>
      <c r="U598" s="34"/>
      <c r="V598" s="34"/>
      <c r="W598" s="34"/>
      <c r="X598" s="34"/>
      <c r="Y598" s="34"/>
      <c r="Z598" s="34"/>
    </row>
    <row r="599">
      <c r="A599" s="10" t="s">
        <v>1899</v>
      </c>
      <c r="B599" s="10" t="s">
        <v>653</v>
      </c>
      <c r="C599" s="10" t="s">
        <v>51</v>
      </c>
      <c r="D599" s="10">
        <v>8.5</v>
      </c>
      <c r="E599" s="10">
        <v>40.0</v>
      </c>
      <c r="F599" s="10">
        <v>0.0</v>
      </c>
      <c r="G599" s="11">
        <f>E599-F599-D599</f>
        <v>31.5</v>
      </c>
      <c r="H599" s="49">
        <v>45976.0</v>
      </c>
      <c r="I599" s="11"/>
      <c r="J599" s="12"/>
      <c r="K599" s="11"/>
      <c r="L599" s="11"/>
      <c r="M599" s="11"/>
      <c r="N599" s="11"/>
      <c r="O599" s="11"/>
      <c r="P599" s="11"/>
      <c r="Q599" s="11"/>
      <c r="R599" s="11"/>
      <c r="S599" s="11"/>
      <c r="T599" s="11"/>
      <c r="U599" s="11"/>
      <c r="V599" s="11"/>
      <c r="W599" s="11"/>
      <c r="X599" s="11"/>
      <c r="Y599" s="11"/>
      <c r="Z599" s="11"/>
    </row>
    <row r="600">
      <c r="A600" s="31" t="s">
        <v>1900</v>
      </c>
      <c r="B600" s="31" t="s">
        <v>1805</v>
      </c>
      <c r="C600" s="31" t="s">
        <v>66</v>
      </c>
      <c r="D600" s="31">
        <v>6.3</v>
      </c>
      <c r="E600" s="34"/>
      <c r="F600" s="34"/>
      <c r="G600" s="34"/>
      <c r="H600" s="31" t="s">
        <v>1195</v>
      </c>
      <c r="I600" s="34"/>
      <c r="J600" s="35"/>
      <c r="K600" s="34"/>
      <c r="L600" s="34"/>
      <c r="M600" s="34"/>
      <c r="N600" s="34"/>
      <c r="O600" s="34"/>
      <c r="P600" s="34"/>
      <c r="Q600" s="34"/>
      <c r="R600" s="34"/>
      <c r="S600" s="34"/>
      <c r="T600" s="34"/>
      <c r="U600" s="34"/>
      <c r="V600" s="34"/>
      <c r="W600" s="34"/>
      <c r="X600" s="34"/>
      <c r="Y600" s="34"/>
      <c r="Z600" s="34"/>
    </row>
    <row r="601">
      <c r="A601" s="45" t="s">
        <v>1169</v>
      </c>
      <c r="B601" s="45" t="s">
        <v>477</v>
      </c>
      <c r="C601" s="45" t="s">
        <v>66</v>
      </c>
      <c r="D601" s="45">
        <v>3.0</v>
      </c>
      <c r="E601" s="45">
        <v>60.0</v>
      </c>
      <c r="F601" s="45">
        <v>0.0</v>
      </c>
      <c r="G601" s="46">
        <f t="shared" ref="G601:G607" si="92">E601-F601-D601</f>
        <v>57</v>
      </c>
      <c r="H601" s="47">
        <v>46047.0</v>
      </c>
      <c r="I601" s="46"/>
      <c r="J601" s="46"/>
      <c r="K601" s="46"/>
      <c r="L601" s="46"/>
      <c r="M601" s="46"/>
      <c r="N601" s="46"/>
      <c r="O601" s="46"/>
      <c r="P601" s="46"/>
      <c r="Q601" s="46"/>
      <c r="R601" s="46"/>
      <c r="S601" s="46"/>
      <c r="T601" s="46"/>
      <c r="U601" s="46"/>
      <c r="V601" s="46"/>
      <c r="W601" s="46"/>
      <c r="X601" s="46"/>
      <c r="Y601" s="46"/>
      <c r="Z601" s="46"/>
    </row>
    <row r="602">
      <c r="A602" s="10" t="s">
        <v>909</v>
      </c>
      <c r="B602" s="10" t="s">
        <v>1901</v>
      </c>
      <c r="C602" s="10" t="s">
        <v>51</v>
      </c>
      <c r="D602" s="10">
        <v>3.65</v>
      </c>
      <c r="E602" s="10">
        <v>25.0</v>
      </c>
      <c r="F602" s="10">
        <v>0.0</v>
      </c>
      <c r="G602" s="11">
        <f t="shared" si="92"/>
        <v>21.35</v>
      </c>
      <c r="H602" s="49">
        <v>45976.0</v>
      </c>
      <c r="I602" s="11"/>
      <c r="J602" s="12"/>
      <c r="K602" s="11"/>
      <c r="L602" s="11"/>
      <c r="M602" s="11"/>
      <c r="N602" s="11"/>
      <c r="O602" s="11"/>
      <c r="P602" s="11"/>
      <c r="Q602" s="11"/>
      <c r="R602" s="11"/>
      <c r="S602" s="11"/>
      <c r="T602" s="11"/>
      <c r="U602" s="11"/>
      <c r="V602" s="11"/>
      <c r="W602" s="11"/>
      <c r="X602" s="11"/>
      <c r="Y602" s="11"/>
      <c r="Z602" s="11"/>
    </row>
    <row r="603">
      <c r="A603" s="10" t="s">
        <v>909</v>
      </c>
      <c r="B603" s="10" t="s">
        <v>1902</v>
      </c>
      <c r="C603" s="10" t="s">
        <v>1155</v>
      </c>
      <c r="D603" s="10"/>
      <c r="E603" s="10">
        <v>30.0</v>
      </c>
      <c r="F603" s="10">
        <v>0.0</v>
      </c>
      <c r="G603" s="11">
        <f t="shared" si="92"/>
        <v>30</v>
      </c>
      <c r="H603" s="49">
        <v>45976.0</v>
      </c>
      <c r="I603" s="11"/>
      <c r="J603" s="12"/>
      <c r="K603" s="11"/>
      <c r="L603" s="11"/>
      <c r="M603" s="11"/>
      <c r="N603" s="11"/>
      <c r="O603" s="11"/>
      <c r="P603" s="11"/>
      <c r="Q603" s="11"/>
      <c r="R603" s="11"/>
      <c r="S603" s="11"/>
      <c r="T603" s="11"/>
      <c r="U603" s="11"/>
      <c r="V603" s="11"/>
      <c r="W603" s="11"/>
      <c r="X603" s="11"/>
      <c r="Y603" s="11"/>
      <c r="Z603" s="11"/>
    </row>
    <row r="604">
      <c r="A604" s="42" t="s">
        <v>1903</v>
      </c>
      <c r="B604" s="42" t="s">
        <v>1904</v>
      </c>
      <c r="C604" s="42" t="s">
        <v>66</v>
      </c>
      <c r="D604" s="42">
        <v>3.5</v>
      </c>
      <c r="E604" s="42">
        <v>36.64</v>
      </c>
      <c r="F604" s="42">
        <v>6.24</v>
      </c>
      <c r="G604" s="43">
        <f t="shared" si="92"/>
        <v>26.9</v>
      </c>
      <c r="H604" s="42" t="s">
        <v>1202</v>
      </c>
      <c r="I604" s="43"/>
      <c r="J604" s="44"/>
      <c r="K604" s="43"/>
      <c r="L604" s="43"/>
      <c r="M604" s="43"/>
      <c r="N604" s="43"/>
      <c r="O604" s="43"/>
      <c r="P604" s="43"/>
      <c r="Q604" s="43"/>
      <c r="R604" s="43"/>
      <c r="S604" s="43"/>
      <c r="T604" s="43"/>
      <c r="U604" s="43"/>
      <c r="V604" s="43"/>
      <c r="W604" s="43"/>
      <c r="X604" s="43"/>
      <c r="Y604" s="43"/>
      <c r="Z604" s="43"/>
    </row>
    <row r="605">
      <c r="A605" s="31" t="s">
        <v>1905</v>
      </c>
      <c r="B605" s="31" t="s">
        <v>1906</v>
      </c>
      <c r="C605" s="31" t="s">
        <v>51</v>
      </c>
      <c r="D605" s="31">
        <v>7.0</v>
      </c>
      <c r="E605" s="31">
        <v>15.0</v>
      </c>
      <c r="F605" s="31">
        <v>2.5</v>
      </c>
      <c r="G605" s="34">
        <f t="shared" si="92"/>
        <v>5.5</v>
      </c>
      <c r="H605" s="34"/>
      <c r="I605" s="34"/>
      <c r="J605" s="35"/>
      <c r="K605" s="34"/>
      <c r="L605" s="34"/>
      <c r="M605" s="34"/>
      <c r="N605" s="34"/>
      <c r="O605" s="34"/>
      <c r="P605" s="34"/>
      <c r="Q605" s="34"/>
      <c r="R605" s="34"/>
      <c r="S605" s="34"/>
      <c r="T605" s="34"/>
      <c r="U605" s="34"/>
      <c r="V605" s="34"/>
      <c r="W605" s="34"/>
      <c r="X605" s="34"/>
      <c r="Y605" s="34"/>
      <c r="Z605" s="34"/>
    </row>
    <row r="606">
      <c r="A606" s="42" t="s">
        <v>1907</v>
      </c>
      <c r="B606" s="42" t="s">
        <v>1908</v>
      </c>
      <c r="C606" s="42" t="s">
        <v>66</v>
      </c>
      <c r="D606" s="42">
        <v>6.0</v>
      </c>
      <c r="E606" s="42">
        <v>36.58</v>
      </c>
      <c r="F606" s="42">
        <v>5.37</v>
      </c>
      <c r="G606" s="43">
        <f t="shared" si="92"/>
        <v>25.21</v>
      </c>
      <c r="H606" s="42" t="s">
        <v>1202</v>
      </c>
      <c r="I606" s="43"/>
      <c r="J606" s="44"/>
      <c r="K606" s="43"/>
      <c r="L606" s="43"/>
      <c r="M606" s="43"/>
      <c r="N606" s="43"/>
      <c r="O606" s="43"/>
      <c r="P606" s="43"/>
      <c r="Q606" s="43"/>
      <c r="R606" s="43"/>
      <c r="S606" s="43"/>
      <c r="T606" s="43"/>
      <c r="U606" s="43"/>
      <c r="V606" s="43"/>
      <c r="W606" s="43"/>
      <c r="X606" s="43"/>
      <c r="Y606" s="43"/>
      <c r="Z606" s="43"/>
    </row>
    <row r="607">
      <c r="A607" s="42" t="s">
        <v>1907</v>
      </c>
      <c r="B607" s="42" t="s">
        <v>1909</v>
      </c>
      <c r="C607" s="42">
        <v>34.0</v>
      </c>
      <c r="D607" s="42">
        <v>7.0</v>
      </c>
      <c r="E607" s="42">
        <v>57.17</v>
      </c>
      <c r="F607" s="42">
        <v>5.38</v>
      </c>
      <c r="G607" s="43">
        <f t="shared" si="92"/>
        <v>44.79</v>
      </c>
      <c r="H607" s="42" t="s">
        <v>1202</v>
      </c>
      <c r="I607" s="43"/>
      <c r="J607" s="44"/>
      <c r="K607" s="43"/>
      <c r="L607" s="43"/>
      <c r="M607" s="43"/>
      <c r="N607" s="43"/>
      <c r="O607" s="43"/>
      <c r="P607" s="43"/>
      <c r="Q607" s="43"/>
      <c r="R607" s="43"/>
      <c r="S607" s="43"/>
      <c r="T607" s="43"/>
      <c r="U607" s="43"/>
      <c r="V607" s="43"/>
      <c r="W607" s="43"/>
      <c r="X607" s="43"/>
      <c r="Y607" s="43"/>
      <c r="Z607" s="43"/>
    </row>
    <row r="608">
      <c r="A608" s="31" t="s">
        <v>1910</v>
      </c>
      <c r="B608" s="31" t="s">
        <v>1911</v>
      </c>
      <c r="C608" s="31" t="s">
        <v>51</v>
      </c>
      <c r="D608" s="31">
        <v>5.0</v>
      </c>
      <c r="E608" s="34"/>
      <c r="F608" s="34"/>
      <c r="G608" s="34"/>
      <c r="H608" s="36">
        <v>45767.0</v>
      </c>
      <c r="I608" s="34"/>
      <c r="J608" s="35"/>
      <c r="K608" s="34"/>
      <c r="L608" s="34"/>
      <c r="M608" s="34"/>
      <c r="N608" s="34"/>
      <c r="O608" s="34"/>
      <c r="P608" s="34"/>
      <c r="Q608" s="34"/>
      <c r="R608" s="34"/>
      <c r="S608" s="34"/>
      <c r="T608" s="34"/>
      <c r="U608" s="34"/>
      <c r="V608" s="34"/>
      <c r="W608" s="34"/>
      <c r="X608" s="34"/>
      <c r="Y608" s="34"/>
      <c r="Z608" s="34"/>
    </row>
    <row r="609">
      <c r="A609" s="31" t="s">
        <v>1912</v>
      </c>
      <c r="B609" s="31" t="s">
        <v>1913</v>
      </c>
      <c r="C609" s="31" t="s">
        <v>57</v>
      </c>
      <c r="D609" s="31">
        <v>6.0</v>
      </c>
      <c r="E609" s="31">
        <v>20.0</v>
      </c>
      <c r="F609" s="31">
        <v>3.47</v>
      </c>
      <c r="G609" s="34">
        <f t="shared" ref="G609:G610" si="93">E609-F609-D609</f>
        <v>10.53</v>
      </c>
      <c r="H609" s="34"/>
      <c r="I609" s="34"/>
      <c r="J609" s="35"/>
      <c r="K609" s="34"/>
      <c r="L609" s="34"/>
      <c r="M609" s="34"/>
      <c r="N609" s="34"/>
      <c r="O609" s="34"/>
      <c r="P609" s="34"/>
      <c r="Q609" s="34"/>
      <c r="R609" s="34"/>
      <c r="S609" s="34"/>
      <c r="T609" s="34"/>
      <c r="U609" s="34"/>
      <c r="V609" s="34"/>
      <c r="W609" s="34"/>
      <c r="X609" s="34"/>
      <c r="Y609" s="34"/>
      <c r="Z609" s="34"/>
    </row>
    <row r="610">
      <c r="A610" s="31" t="s">
        <v>1914</v>
      </c>
      <c r="B610" s="31" t="s">
        <v>1915</v>
      </c>
      <c r="C610" s="31" t="s">
        <v>51</v>
      </c>
      <c r="D610" s="31">
        <v>7.0</v>
      </c>
      <c r="E610" s="31">
        <v>25.0</v>
      </c>
      <c r="F610" s="31">
        <v>5.39</v>
      </c>
      <c r="G610" s="34">
        <f t="shared" si="93"/>
        <v>12.61</v>
      </c>
      <c r="H610" s="34"/>
      <c r="I610" s="34"/>
      <c r="J610" s="35"/>
      <c r="K610" s="34"/>
      <c r="L610" s="34"/>
      <c r="M610" s="34"/>
      <c r="N610" s="34"/>
      <c r="O610" s="34"/>
      <c r="P610" s="34"/>
      <c r="Q610" s="34"/>
      <c r="R610" s="34"/>
      <c r="S610" s="34"/>
      <c r="T610" s="34"/>
      <c r="U610" s="34"/>
      <c r="V610" s="34"/>
      <c r="W610" s="34"/>
      <c r="X610" s="34"/>
      <c r="Y610" s="34"/>
      <c r="Z610" s="34"/>
    </row>
    <row r="611">
      <c r="A611" s="31" t="s">
        <v>1916</v>
      </c>
      <c r="B611" s="31" t="s">
        <v>1917</v>
      </c>
      <c r="C611" s="31" t="s">
        <v>1000</v>
      </c>
      <c r="D611" s="31">
        <v>17.0</v>
      </c>
      <c r="E611" s="34"/>
      <c r="F611" s="34"/>
      <c r="G611" s="34"/>
      <c r="H611" s="36">
        <v>45794.0</v>
      </c>
      <c r="I611" s="74" t="s">
        <v>1918</v>
      </c>
      <c r="J611" s="35"/>
      <c r="K611" s="34"/>
      <c r="L611" s="34"/>
      <c r="M611" s="34"/>
      <c r="N611" s="34"/>
      <c r="O611" s="34"/>
      <c r="P611" s="34"/>
      <c r="Q611" s="34"/>
      <c r="R611" s="34"/>
      <c r="S611" s="34"/>
      <c r="T611" s="34"/>
      <c r="U611" s="34"/>
      <c r="V611" s="34"/>
      <c r="W611" s="34"/>
      <c r="X611" s="34"/>
      <c r="Y611" s="34"/>
      <c r="Z611" s="34"/>
    </row>
    <row r="612">
      <c r="A612" s="31" t="s">
        <v>1919</v>
      </c>
      <c r="B612" s="31" t="s">
        <v>1920</v>
      </c>
      <c r="C612" s="31" t="s">
        <v>57</v>
      </c>
      <c r="D612" s="31">
        <v>5.0</v>
      </c>
      <c r="E612" s="31">
        <v>20.0</v>
      </c>
      <c r="F612" s="31">
        <v>0.0</v>
      </c>
      <c r="G612" s="34">
        <f>E612-F612-D612</f>
        <v>15</v>
      </c>
      <c r="H612" s="36">
        <v>46131.0</v>
      </c>
      <c r="I612" s="74"/>
      <c r="J612" s="35"/>
      <c r="K612" s="34"/>
      <c r="L612" s="34"/>
      <c r="M612" s="34"/>
      <c r="N612" s="34"/>
      <c r="O612" s="34"/>
      <c r="P612" s="34"/>
      <c r="Q612" s="34"/>
      <c r="R612" s="34"/>
      <c r="S612" s="34"/>
      <c r="T612" s="34"/>
      <c r="U612" s="34"/>
      <c r="V612" s="34"/>
      <c r="W612" s="34"/>
      <c r="X612" s="34"/>
      <c r="Y612" s="34"/>
      <c r="Z612" s="34"/>
    </row>
    <row r="613">
      <c r="A613" s="31" t="s">
        <v>1139</v>
      </c>
      <c r="B613" s="31" t="s">
        <v>1921</v>
      </c>
      <c r="C613" s="31" t="s">
        <v>95</v>
      </c>
      <c r="D613" s="31">
        <v>5.0</v>
      </c>
      <c r="E613" s="31">
        <v>20.0</v>
      </c>
      <c r="F613" s="31">
        <v>0.0</v>
      </c>
      <c r="G613" s="34">
        <f>E613-D613</f>
        <v>15</v>
      </c>
      <c r="H613" s="36">
        <v>46131.0</v>
      </c>
      <c r="I613" s="74"/>
      <c r="J613" s="35"/>
      <c r="K613" s="34"/>
      <c r="L613" s="34"/>
      <c r="M613" s="34"/>
      <c r="N613" s="34"/>
      <c r="O613" s="34"/>
      <c r="P613" s="34"/>
      <c r="Q613" s="34"/>
      <c r="R613" s="34"/>
      <c r="S613" s="34"/>
      <c r="T613" s="34"/>
      <c r="U613" s="34"/>
      <c r="V613" s="34"/>
      <c r="W613" s="34"/>
      <c r="X613" s="34"/>
      <c r="Y613" s="34"/>
      <c r="Z613" s="34"/>
    </row>
    <row r="614">
      <c r="A614" s="42" t="s">
        <v>1922</v>
      </c>
      <c r="B614" s="42" t="s">
        <v>1246</v>
      </c>
      <c r="C614" s="42" t="s">
        <v>57</v>
      </c>
      <c r="D614" s="42">
        <v>17.0</v>
      </c>
      <c r="E614" s="42">
        <v>67.62</v>
      </c>
      <c r="F614" s="42">
        <v>9.59</v>
      </c>
      <c r="G614" s="43">
        <f t="shared" ref="G614:G618" si="94">E614-F614-D614</f>
        <v>41.03</v>
      </c>
      <c r="H614" s="42" t="s">
        <v>1202</v>
      </c>
      <c r="I614" s="77"/>
      <c r="J614" s="44"/>
      <c r="K614" s="43"/>
      <c r="L614" s="43"/>
      <c r="M614" s="43"/>
      <c r="N614" s="43"/>
      <c r="O614" s="43"/>
      <c r="P614" s="43"/>
      <c r="Q614" s="43"/>
      <c r="R614" s="43"/>
      <c r="S614" s="43"/>
      <c r="T614" s="43"/>
      <c r="U614" s="43"/>
      <c r="V614" s="43"/>
      <c r="W614" s="43"/>
      <c r="X614" s="43"/>
      <c r="Y614" s="43"/>
      <c r="Z614" s="43"/>
    </row>
    <row r="615">
      <c r="A615" s="10" t="s">
        <v>1923</v>
      </c>
      <c r="B615" s="10" t="s">
        <v>744</v>
      </c>
      <c r="C615" s="10" t="s">
        <v>66</v>
      </c>
      <c r="D615" s="10">
        <v>7.0</v>
      </c>
      <c r="E615" s="10">
        <v>25.0</v>
      </c>
      <c r="F615" s="10">
        <v>0.0</v>
      </c>
      <c r="G615" s="11">
        <f t="shared" si="94"/>
        <v>18</v>
      </c>
      <c r="H615" s="49">
        <v>45976.0</v>
      </c>
      <c r="I615" s="78"/>
      <c r="J615" s="12"/>
      <c r="K615" s="11"/>
      <c r="L615" s="11"/>
      <c r="M615" s="11"/>
      <c r="N615" s="11"/>
      <c r="O615" s="11"/>
      <c r="P615" s="11"/>
      <c r="Q615" s="11"/>
      <c r="R615" s="11"/>
      <c r="S615" s="11"/>
      <c r="T615" s="11"/>
      <c r="U615" s="11"/>
      <c r="V615" s="11"/>
      <c r="W615" s="11"/>
      <c r="X615" s="11"/>
      <c r="Y615" s="11"/>
      <c r="Z615" s="11"/>
    </row>
    <row r="616">
      <c r="A616" s="42" t="s">
        <v>1924</v>
      </c>
      <c r="B616" s="42" t="s">
        <v>1925</v>
      </c>
      <c r="C616" s="42"/>
      <c r="D616" s="42">
        <v>3.5</v>
      </c>
      <c r="E616" s="42">
        <v>34.48</v>
      </c>
      <c r="F616" s="42">
        <v>5.2</v>
      </c>
      <c r="G616" s="43">
        <f t="shared" si="94"/>
        <v>25.78</v>
      </c>
      <c r="H616" s="42" t="s">
        <v>1202</v>
      </c>
      <c r="I616" s="79" t="s">
        <v>1926</v>
      </c>
      <c r="J616" s="44"/>
      <c r="K616" s="43"/>
      <c r="L616" s="43"/>
      <c r="M616" s="43"/>
      <c r="N616" s="43"/>
      <c r="O616" s="43"/>
      <c r="P616" s="43"/>
      <c r="Q616" s="43"/>
      <c r="R616" s="43"/>
      <c r="S616" s="43"/>
      <c r="T616" s="43"/>
      <c r="U616" s="43"/>
      <c r="V616" s="43"/>
      <c r="W616" s="43"/>
      <c r="X616" s="43"/>
      <c r="Y616" s="43"/>
      <c r="Z616" s="43"/>
    </row>
    <row r="617">
      <c r="A617" s="57" t="s">
        <v>1927</v>
      </c>
      <c r="B617" s="57" t="s">
        <v>1928</v>
      </c>
      <c r="C617" s="57" t="s">
        <v>51</v>
      </c>
      <c r="D617" s="57">
        <v>7.0</v>
      </c>
      <c r="E617" s="57">
        <v>25.0</v>
      </c>
      <c r="F617" s="57">
        <v>0.0</v>
      </c>
      <c r="G617" s="58">
        <f t="shared" si="94"/>
        <v>18</v>
      </c>
      <c r="H617" s="58"/>
      <c r="I617" s="58"/>
      <c r="J617" s="59"/>
      <c r="K617" s="58"/>
      <c r="L617" s="58"/>
      <c r="M617" s="58"/>
      <c r="N617" s="58"/>
      <c r="O617" s="58"/>
      <c r="P617" s="58"/>
      <c r="Q617" s="58"/>
      <c r="R617" s="58"/>
      <c r="S617" s="58"/>
      <c r="T617" s="58"/>
      <c r="U617" s="58"/>
      <c r="V617" s="58"/>
      <c r="W617" s="58"/>
      <c r="X617" s="58"/>
      <c r="Y617" s="58"/>
      <c r="Z617" s="58"/>
    </row>
    <row r="618">
      <c r="A618" s="31" t="s">
        <v>1929</v>
      </c>
      <c r="B618" s="31" t="s">
        <v>1930</v>
      </c>
      <c r="C618" s="31"/>
      <c r="D618" s="31">
        <v>3.5</v>
      </c>
      <c r="E618" s="31">
        <v>25.0</v>
      </c>
      <c r="F618" s="31">
        <v>5.2</v>
      </c>
      <c r="G618" s="34">
        <f t="shared" si="94"/>
        <v>16.3</v>
      </c>
      <c r="H618" s="34"/>
      <c r="I618" s="34"/>
      <c r="J618" s="35"/>
      <c r="K618" s="34"/>
      <c r="L618" s="34"/>
      <c r="M618" s="34"/>
      <c r="N618" s="34"/>
      <c r="O618" s="34"/>
      <c r="P618" s="34"/>
      <c r="Q618" s="34"/>
      <c r="R618" s="34"/>
      <c r="S618" s="34"/>
      <c r="T618" s="34"/>
      <c r="U618" s="34"/>
      <c r="V618" s="34"/>
      <c r="W618" s="34"/>
      <c r="X618" s="34"/>
      <c r="Y618" s="34"/>
      <c r="Z618" s="34"/>
    </row>
    <row r="619">
      <c r="A619" s="31" t="s">
        <v>939</v>
      </c>
      <c r="B619" s="31" t="s">
        <v>1931</v>
      </c>
      <c r="C619" s="31" t="s">
        <v>1932</v>
      </c>
      <c r="D619" s="31">
        <v>7.0</v>
      </c>
      <c r="E619" s="31"/>
      <c r="F619" s="31"/>
      <c r="G619" s="34"/>
      <c r="H619" s="31" t="s">
        <v>1505</v>
      </c>
      <c r="I619" s="34"/>
      <c r="J619" s="35"/>
      <c r="K619" s="34"/>
      <c r="L619" s="34"/>
      <c r="M619" s="34"/>
      <c r="N619" s="34"/>
      <c r="O619" s="34"/>
      <c r="P619" s="34"/>
      <c r="Q619" s="34"/>
      <c r="R619" s="34"/>
      <c r="S619" s="34"/>
      <c r="T619" s="34"/>
      <c r="U619" s="34"/>
      <c r="V619" s="34"/>
      <c r="W619" s="34"/>
      <c r="X619" s="34"/>
      <c r="Y619" s="34"/>
      <c r="Z619" s="34"/>
    </row>
    <row r="620">
      <c r="A620" s="31" t="s">
        <v>939</v>
      </c>
      <c r="B620" s="31" t="s">
        <v>1933</v>
      </c>
      <c r="C620" s="31" t="s">
        <v>51</v>
      </c>
      <c r="D620" s="31">
        <v>13.0</v>
      </c>
      <c r="E620" s="31">
        <v>42.0</v>
      </c>
      <c r="F620" s="31">
        <v>5.51</v>
      </c>
      <c r="G620" s="34">
        <f>E620-F620-D620</f>
        <v>23.49</v>
      </c>
      <c r="H620" s="34"/>
      <c r="I620" s="34"/>
      <c r="J620" s="35"/>
      <c r="K620" s="34"/>
      <c r="L620" s="34"/>
      <c r="M620" s="34"/>
      <c r="N620" s="34"/>
      <c r="O620" s="34"/>
      <c r="P620" s="34"/>
      <c r="Q620" s="34"/>
      <c r="R620" s="34"/>
      <c r="S620" s="34"/>
      <c r="T620" s="34"/>
      <c r="U620" s="34"/>
      <c r="V620" s="34"/>
      <c r="W620" s="34"/>
      <c r="X620" s="34"/>
      <c r="Y620" s="34"/>
      <c r="Z620" s="34"/>
    </row>
    <row r="621">
      <c r="A621" s="10" t="s">
        <v>946</v>
      </c>
      <c r="B621" s="10" t="s">
        <v>1934</v>
      </c>
      <c r="C621" s="10" t="s">
        <v>57</v>
      </c>
      <c r="D621" s="10">
        <v>10.0</v>
      </c>
      <c r="E621" s="11"/>
      <c r="F621" s="11"/>
      <c r="G621" s="11"/>
      <c r="H621" s="63">
        <v>45935.0</v>
      </c>
      <c r="I621" s="11"/>
      <c r="J621" s="12"/>
      <c r="K621" s="11"/>
      <c r="L621" s="11"/>
      <c r="M621" s="11"/>
      <c r="N621" s="11"/>
      <c r="O621" s="11"/>
      <c r="P621" s="11"/>
      <c r="Q621" s="11"/>
      <c r="R621" s="11"/>
      <c r="S621" s="11"/>
      <c r="T621" s="11"/>
      <c r="U621" s="11"/>
      <c r="V621" s="11"/>
      <c r="W621" s="11"/>
      <c r="X621" s="11"/>
      <c r="Y621" s="11"/>
      <c r="Z621" s="11"/>
    </row>
    <row r="622">
      <c r="A622" s="45" t="s">
        <v>946</v>
      </c>
      <c r="B622" s="45" t="s">
        <v>1935</v>
      </c>
      <c r="C622" s="45" t="s">
        <v>66</v>
      </c>
      <c r="D622" s="45">
        <v>10.0</v>
      </c>
      <c r="E622" s="45">
        <v>25.0</v>
      </c>
      <c r="F622" s="45">
        <v>0.0</v>
      </c>
      <c r="G622" s="46">
        <f>E622-F622-D622</f>
        <v>15</v>
      </c>
      <c r="H622" s="47">
        <v>46096.0</v>
      </c>
      <c r="I622" s="46"/>
      <c r="J622" s="48"/>
      <c r="K622" s="46"/>
      <c r="L622" s="46"/>
      <c r="M622" s="46"/>
      <c r="N622" s="46"/>
      <c r="O622" s="46"/>
      <c r="P622" s="46"/>
      <c r="Q622" s="46"/>
      <c r="R622" s="46"/>
      <c r="S622" s="46"/>
      <c r="T622" s="46"/>
      <c r="U622" s="46"/>
      <c r="V622" s="46"/>
      <c r="W622" s="46"/>
      <c r="X622" s="46"/>
      <c r="Y622" s="46"/>
      <c r="Z622" s="46"/>
    </row>
    <row r="623">
      <c r="A623" s="31" t="s">
        <v>946</v>
      </c>
      <c r="B623" s="31" t="s">
        <v>1936</v>
      </c>
      <c r="C623" s="31" t="s">
        <v>95</v>
      </c>
      <c r="D623" s="31">
        <v>2.5</v>
      </c>
      <c r="E623" s="31">
        <v>35.0</v>
      </c>
      <c r="F623" s="31">
        <v>0.0</v>
      </c>
      <c r="G623" s="34">
        <f>E623-D623</f>
        <v>32.5</v>
      </c>
      <c r="H623" s="36">
        <v>46131.0</v>
      </c>
      <c r="I623" s="34"/>
      <c r="J623" s="35"/>
      <c r="K623" s="34"/>
      <c r="L623" s="34"/>
      <c r="M623" s="34"/>
      <c r="N623" s="34"/>
      <c r="O623" s="34"/>
      <c r="P623" s="34"/>
      <c r="Q623" s="34"/>
      <c r="R623" s="34"/>
      <c r="S623" s="34"/>
      <c r="T623" s="34"/>
      <c r="U623" s="34"/>
      <c r="V623" s="34"/>
      <c r="W623" s="34"/>
      <c r="X623" s="34"/>
      <c r="Y623" s="34"/>
      <c r="Z623" s="34"/>
    </row>
    <row r="624">
      <c r="A624" s="31" t="s">
        <v>946</v>
      </c>
      <c r="B624" s="31" t="s">
        <v>1937</v>
      </c>
      <c r="C624" s="31">
        <v>8.0</v>
      </c>
      <c r="D624" s="31">
        <v>15.0</v>
      </c>
      <c r="E624" s="31">
        <v>35.0</v>
      </c>
      <c r="F624" s="31">
        <v>5.2</v>
      </c>
      <c r="G624" s="34">
        <f t="shared" ref="G624:G625" si="95">E624-F624-D624</f>
        <v>14.8</v>
      </c>
      <c r="H624" s="34"/>
      <c r="I624" s="34"/>
      <c r="J624" s="35"/>
      <c r="K624" s="34"/>
      <c r="L624" s="34"/>
      <c r="M624" s="34"/>
      <c r="N624" s="34"/>
      <c r="O624" s="34"/>
      <c r="P624" s="34"/>
      <c r="Q624" s="34"/>
      <c r="R624" s="34"/>
      <c r="S624" s="34"/>
      <c r="T624" s="34"/>
      <c r="U624" s="34"/>
      <c r="V624" s="34"/>
      <c r="W624" s="34"/>
      <c r="X624" s="34"/>
      <c r="Y624" s="34"/>
      <c r="Z624" s="34"/>
    </row>
    <row r="625">
      <c r="A625" s="31" t="s">
        <v>946</v>
      </c>
      <c r="B625" s="31" t="s">
        <v>1500</v>
      </c>
      <c r="C625" s="31" t="s">
        <v>51</v>
      </c>
      <c r="D625" s="31">
        <v>10.0</v>
      </c>
      <c r="E625" s="31">
        <v>20.0</v>
      </c>
      <c r="F625" s="31">
        <v>3.5</v>
      </c>
      <c r="G625" s="34">
        <f t="shared" si="95"/>
        <v>6.5</v>
      </c>
      <c r="H625" s="31"/>
      <c r="I625" s="31"/>
      <c r="J625" s="35"/>
      <c r="K625" s="34"/>
      <c r="L625" s="34"/>
      <c r="M625" s="34"/>
      <c r="N625" s="34"/>
      <c r="O625" s="34"/>
      <c r="P625" s="34"/>
      <c r="Q625" s="34"/>
      <c r="R625" s="34"/>
      <c r="S625" s="34"/>
      <c r="T625" s="34"/>
      <c r="U625" s="34"/>
      <c r="V625" s="34"/>
      <c r="W625" s="34"/>
      <c r="X625" s="34"/>
      <c r="Y625" s="34"/>
      <c r="Z625" s="34"/>
    </row>
    <row r="626">
      <c r="A626" s="31" t="s">
        <v>946</v>
      </c>
      <c r="B626" s="31" t="s">
        <v>1938</v>
      </c>
      <c r="C626" s="31" t="s">
        <v>1939</v>
      </c>
      <c r="D626" s="31">
        <v>10.0</v>
      </c>
      <c r="E626" s="34"/>
      <c r="F626" s="34"/>
      <c r="G626" s="34"/>
      <c r="H626" s="36">
        <v>45794.0</v>
      </c>
      <c r="I626" s="34"/>
      <c r="J626" s="35"/>
      <c r="K626" s="34"/>
      <c r="L626" s="34"/>
      <c r="M626" s="34"/>
      <c r="N626" s="34"/>
      <c r="O626" s="34"/>
      <c r="P626" s="34"/>
      <c r="Q626" s="34"/>
      <c r="R626" s="34"/>
      <c r="S626" s="34"/>
      <c r="T626" s="34"/>
      <c r="U626" s="34"/>
      <c r="V626" s="34"/>
      <c r="W626" s="34"/>
      <c r="X626" s="34"/>
      <c r="Y626" s="34"/>
      <c r="Z626" s="34"/>
    </row>
    <row r="627">
      <c r="A627" s="45" t="s">
        <v>954</v>
      </c>
      <c r="B627" s="45" t="s">
        <v>1168</v>
      </c>
      <c r="C627" s="45" t="s">
        <v>57</v>
      </c>
      <c r="D627" s="45"/>
      <c r="E627" s="45">
        <v>20.0</v>
      </c>
      <c r="F627" s="45">
        <v>0.0</v>
      </c>
      <c r="G627" s="46">
        <f t="shared" ref="G627:G628" si="96">E627-F627-D627</f>
        <v>20</v>
      </c>
      <c r="H627" s="47">
        <v>46047.0</v>
      </c>
      <c r="I627" s="45"/>
      <c r="J627" s="48"/>
      <c r="K627" s="46"/>
      <c r="L627" s="46"/>
      <c r="M627" s="46"/>
      <c r="N627" s="46"/>
      <c r="O627" s="46"/>
      <c r="P627" s="46"/>
      <c r="Q627" s="46"/>
      <c r="R627" s="46"/>
      <c r="S627" s="46"/>
      <c r="T627" s="46"/>
      <c r="U627" s="46"/>
      <c r="V627" s="46"/>
      <c r="W627" s="46"/>
      <c r="X627" s="46"/>
      <c r="Y627" s="46"/>
      <c r="Z627" s="46"/>
    </row>
    <row r="628">
      <c r="A628" s="10" t="s">
        <v>954</v>
      </c>
      <c r="B628" s="10" t="s">
        <v>1940</v>
      </c>
      <c r="C628" s="10" t="s">
        <v>57</v>
      </c>
      <c r="D628" s="10">
        <v>10.0</v>
      </c>
      <c r="E628" s="10">
        <v>35.0</v>
      </c>
      <c r="F628" s="10">
        <v>0.0</v>
      </c>
      <c r="G628" s="11">
        <f t="shared" si="96"/>
        <v>25</v>
      </c>
      <c r="H628" s="49">
        <v>45976.0</v>
      </c>
      <c r="I628" s="10"/>
      <c r="J628" s="12"/>
      <c r="K628" s="11"/>
      <c r="L628" s="11"/>
      <c r="M628" s="11"/>
      <c r="N628" s="11"/>
      <c r="O628" s="11"/>
      <c r="P628" s="11"/>
      <c r="Q628" s="11"/>
      <c r="R628" s="11"/>
      <c r="S628" s="11"/>
      <c r="T628" s="11"/>
      <c r="U628" s="11"/>
      <c r="V628" s="11"/>
      <c r="W628" s="11"/>
      <c r="X628" s="11"/>
      <c r="Y628" s="11"/>
      <c r="Z628" s="11"/>
    </row>
    <row r="629">
      <c r="A629" s="31" t="s">
        <v>954</v>
      </c>
      <c r="B629" s="31" t="s">
        <v>1941</v>
      </c>
      <c r="C629" s="31" t="s">
        <v>51</v>
      </c>
      <c r="D629" s="31">
        <v>7.0</v>
      </c>
      <c r="E629" s="34"/>
      <c r="F629" s="34"/>
      <c r="G629" s="34"/>
      <c r="H629" s="36">
        <v>45767.0</v>
      </c>
      <c r="I629" s="31"/>
      <c r="J629" s="35"/>
      <c r="K629" s="34"/>
      <c r="L629" s="34"/>
      <c r="M629" s="34"/>
      <c r="N629" s="34"/>
      <c r="O629" s="34"/>
      <c r="P629" s="34"/>
      <c r="Q629" s="34"/>
      <c r="R629" s="34"/>
      <c r="S629" s="34"/>
      <c r="T629" s="34"/>
      <c r="U629" s="34"/>
      <c r="V629" s="34"/>
      <c r="W629" s="34"/>
      <c r="X629" s="34"/>
      <c r="Y629" s="34"/>
      <c r="Z629" s="34"/>
    </row>
    <row r="630">
      <c r="A630" s="31" t="s">
        <v>1942</v>
      </c>
      <c r="B630" s="31" t="s">
        <v>1943</v>
      </c>
      <c r="C630" s="31" t="s">
        <v>51</v>
      </c>
      <c r="D630" s="31">
        <v>10.0</v>
      </c>
      <c r="E630" s="31">
        <v>45.71</v>
      </c>
      <c r="F630" s="31">
        <v>10.71</v>
      </c>
      <c r="G630" s="34">
        <f>E630-F630-D630</f>
        <v>25</v>
      </c>
      <c r="H630" s="37"/>
      <c r="I630" s="34"/>
      <c r="J630" s="35"/>
      <c r="K630" s="34"/>
      <c r="L630" s="34"/>
      <c r="M630" s="34"/>
      <c r="N630" s="34"/>
      <c r="O630" s="34"/>
      <c r="P630" s="34"/>
      <c r="Q630" s="34"/>
      <c r="R630" s="34"/>
      <c r="S630" s="34"/>
      <c r="T630" s="34"/>
      <c r="U630" s="34"/>
      <c r="V630" s="34"/>
      <c r="W630" s="34"/>
      <c r="X630" s="34"/>
      <c r="Y630" s="34"/>
      <c r="Z630" s="34"/>
    </row>
    <row r="631">
      <c r="A631" s="38" t="s">
        <v>1944</v>
      </c>
      <c r="B631" s="38" t="s">
        <v>1945</v>
      </c>
      <c r="C631" s="38" t="s">
        <v>51</v>
      </c>
      <c r="D631" s="38">
        <v>7.0</v>
      </c>
      <c r="E631" s="39"/>
      <c r="F631" s="39"/>
      <c r="G631" s="39"/>
      <c r="H631" s="40">
        <v>45893.0</v>
      </c>
      <c r="I631" s="38"/>
      <c r="J631" s="41"/>
      <c r="K631" s="39"/>
      <c r="L631" s="39"/>
      <c r="M631" s="39"/>
      <c r="N631" s="39"/>
      <c r="O631" s="39"/>
      <c r="P631" s="39"/>
      <c r="Q631" s="39"/>
      <c r="R631" s="39"/>
      <c r="S631" s="39"/>
      <c r="T631" s="39"/>
      <c r="U631" s="39"/>
      <c r="V631" s="39"/>
      <c r="W631" s="39"/>
      <c r="X631" s="39"/>
      <c r="Y631" s="39"/>
      <c r="Z631" s="39"/>
    </row>
    <row r="632">
      <c r="A632" s="10" t="s">
        <v>1946</v>
      </c>
      <c r="B632" s="10" t="s">
        <v>1947</v>
      </c>
      <c r="C632" s="10" t="s">
        <v>66</v>
      </c>
      <c r="D632" s="10"/>
      <c r="E632" s="11"/>
      <c r="F632" s="11"/>
      <c r="G632" s="11"/>
      <c r="H632" s="63">
        <v>45935.0</v>
      </c>
      <c r="I632" s="10"/>
      <c r="J632" s="12"/>
      <c r="K632" s="11"/>
      <c r="L632" s="11"/>
      <c r="M632" s="11"/>
      <c r="N632" s="11"/>
      <c r="O632" s="11"/>
      <c r="P632" s="11"/>
      <c r="Q632" s="11"/>
      <c r="R632" s="11"/>
      <c r="S632" s="11"/>
      <c r="T632" s="11"/>
      <c r="U632" s="11"/>
      <c r="V632" s="11"/>
      <c r="W632" s="11"/>
      <c r="X632" s="11"/>
      <c r="Y632" s="11"/>
      <c r="Z632" s="11"/>
    </row>
    <row r="633">
      <c r="A633" s="10" t="s">
        <v>1946</v>
      </c>
      <c r="B633" s="10" t="s">
        <v>1948</v>
      </c>
      <c r="C633" s="10" t="s">
        <v>51</v>
      </c>
      <c r="D633" s="10"/>
      <c r="E633" s="11"/>
      <c r="F633" s="11"/>
      <c r="G633" s="11"/>
      <c r="H633" s="63">
        <v>45935.0</v>
      </c>
      <c r="I633" s="10"/>
      <c r="J633" s="12"/>
      <c r="K633" s="11"/>
      <c r="L633" s="11"/>
      <c r="M633" s="11"/>
      <c r="N633" s="11"/>
      <c r="O633" s="11"/>
      <c r="P633" s="11"/>
      <c r="Q633" s="11"/>
      <c r="R633" s="11"/>
      <c r="S633" s="11"/>
      <c r="T633" s="11"/>
      <c r="U633" s="11"/>
      <c r="V633" s="11"/>
      <c r="W633" s="11"/>
      <c r="X633" s="11"/>
      <c r="Y633" s="11"/>
      <c r="Z633" s="11"/>
    </row>
    <row r="634">
      <c r="A634" s="38" t="s">
        <v>1949</v>
      </c>
      <c r="B634" s="38" t="s">
        <v>1950</v>
      </c>
      <c r="C634" s="38" t="s">
        <v>51</v>
      </c>
      <c r="D634" s="38">
        <v>15.0</v>
      </c>
      <c r="E634" s="39"/>
      <c r="F634" s="39"/>
      <c r="G634" s="39"/>
      <c r="H634" s="40">
        <v>45893.0</v>
      </c>
      <c r="I634" s="38"/>
      <c r="J634" s="41"/>
      <c r="K634" s="39"/>
      <c r="L634" s="39"/>
      <c r="M634" s="39"/>
      <c r="N634" s="39"/>
      <c r="O634" s="39"/>
      <c r="P634" s="39"/>
      <c r="Q634" s="39"/>
      <c r="R634" s="39"/>
      <c r="S634" s="39"/>
      <c r="T634" s="39"/>
      <c r="U634" s="39"/>
      <c r="V634" s="39"/>
      <c r="W634" s="39"/>
      <c r="X634" s="39"/>
      <c r="Y634" s="39"/>
      <c r="Z634" s="39"/>
    </row>
    <row r="635">
      <c r="A635" s="45" t="s">
        <v>961</v>
      </c>
      <c r="B635" s="45" t="s">
        <v>1951</v>
      </c>
      <c r="C635" s="45" t="s">
        <v>51</v>
      </c>
      <c r="D635" s="45">
        <v>6.5</v>
      </c>
      <c r="E635" s="45">
        <v>25.0</v>
      </c>
      <c r="F635" s="45">
        <v>0.0</v>
      </c>
      <c r="G635" s="46">
        <f>E635-F635-D635</f>
        <v>18.5</v>
      </c>
      <c r="H635" s="47">
        <v>46047.0</v>
      </c>
      <c r="I635" s="45"/>
      <c r="J635" s="48"/>
      <c r="K635" s="46"/>
      <c r="L635" s="46"/>
      <c r="M635" s="46"/>
      <c r="N635" s="46"/>
      <c r="O635" s="46"/>
      <c r="P635" s="46"/>
      <c r="Q635" s="46"/>
      <c r="R635" s="46"/>
      <c r="S635" s="46"/>
      <c r="T635" s="46"/>
      <c r="U635" s="46"/>
      <c r="V635" s="46"/>
      <c r="W635" s="46"/>
      <c r="X635" s="46"/>
      <c r="Y635" s="46"/>
      <c r="Z635" s="46"/>
    </row>
    <row r="636">
      <c r="A636" s="38" t="s">
        <v>1952</v>
      </c>
      <c r="B636" s="38" t="s">
        <v>1953</v>
      </c>
      <c r="C636" s="38"/>
      <c r="D636" s="38">
        <v>17.0</v>
      </c>
      <c r="E636" s="39"/>
      <c r="F636" s="39"/>
      <c r="G636" s="39"/>
      <c r="H636" s="40">
        <v>45893.0</v>
      </c>
      <c r="I636" s="80" t="s">
        <v>1954</v>
      </c>
      <c r="J636" s="41"/>
      <c r="K636" s="39"/>
      <c r="L636" s="39"/>
      <c r="M636" s="39"/>
      <c r="N636" s="39"/>
      <c r="O636" s="39"/>
      <c r="P636" s="39"/>
      <c r="Q636" s="39"/>
      <c r="R636" s="39"/>
      <c r="S636" s="39"/>
      <c r="T636" s="39"/>
      <c r="U636" s="39"/>
      <c r="V636" s="39"/>
      <c r="W636" s="39"/>
      <c r="X636" s="39"/>
      <c r="Y636" s="39"/>
      <c r="Z636" s="39"/>
    </row>
    <row r="637">
      <c r="A637" s="10" t="s">
        <v>1952</v>
      </c>
      <c r="B637" s="10" t="s">
        <v>573</v>
      </c>
      <c r="C637" s="10"/>
      <c r="D637" s="10">
        <v>6.0</v>
      </c>
      <c r="E637" s="10">
        <v>30.0</v>
      </c>
      <c r="F637" s="10">
        <v>0.0</v>
      </c>
      <c r="G637" s="11">
        <f t="shared" ref="G637:G639" si="97">E637-F637-D637</f>
        <v>24</v>
      </c>
      <c r="H637" s="56">
        <v>45976.0</v>
      </c>
      <c r="I637" s="10"/>
      <c r="J637" s="12"/>
      <c r="K637" s="11"/>
      <c r="L637" s="11"/>
      <c r="M637" s="11"/>
      <c r="N637" s="11"/>
      <c r="O637" s="11"/>
      <c r="P637" s="11"/>
      <c r="Q637" s="11"/>
      <c r="R637" s="11"/>
      <c r="S637" s="11"/>
      <c r="T637" s="11"/>
      <c r="U637" s="11"/>
      <c r="V637" s="11"/>
      <c r="W637" s="11"/>
      <c r="X637" s="11"/>
      <c r="Y637" s="11"/>
      <c r="Z637" s="11"/>
    </row>
    <row r="638">
      <c r="A638" s="7" t="s">
        <v>965</v>
      </c>
      <c r="B638" s="7" t="s">
        <v>1955</v>
      </c>
      <c r="C638" s="7" t="s">
        <v>51</v>
      </c>
      <c r="D638" s="7">
        <v>7.0</v>
      </c>
      <c r="E638" s="7">
        <v>19.2</v>
      </c>
      <c r="F638" s="7">
        <v>0.0</v>
      </c>
      <c r="G638" s="8">
        <f t="shared" si="97"/>
        <v>12.2</v>
      </c>
      <c r="H638" s="7"/>
      <c r="I638" s="7" t="s">
        <v>614</v>
      </c>
      <c r="J638" s="9"/>
      <c r="K638" s="8"/>
      <c r="L638" s="8"/>
      <c r="M638" s="8"/>
      <c r="N638" s="8"/>
      <c r="O638" s="8"/>
      <c r="P638" s="8"/>
      <c r="Q638" s="8"/>
      <c r="R638" s="8"/>
      <c r="S638" s="8"/>
      <c r="T638" s="8"/>
      <c r="U638" s="8"/>
      <c r="V638" s="8"/>
      <c r="W638" s="8"/>
      <c r="X638" s="8"/>
      <c r="Y638" s="8"/>
      <c r="Z638" s="8"/>
    </row>
    <row r="639">
      <c r="A639" s="42" t="s">
        <v>965</v>
      </c>
      <c r="B639" s="42" t="s">
        <v>930</v>
      </c>
      <c r="C639" s="42" t="s">
        <v>57</v>
      </c>
      <c r="D639" s="42">
        <v>7.0</v>
      </c>
      <c r="E639" s="42">
        <v>43.09</v>
      </c>
      <c r="F639" s="42">
        <v>5.31</v>
      </c>
      <c r="G639" s="43">
        <f t="shared" si="97"/>
        <v>30.78</v>
      </c>
      <c r="H639" s="42" t="s">
        <v>1202</v>
      </c>
      <c r="I639" s="43"/>
      <c r="J639" s="44"/>
      <c r="K639" s="43"/>
      <c r="L639" s="43"/>
      <c r="M639" s="43"/>
      <c r="N639" s="43"/>
      <c r="O639" s="43"/>
      <c r="P639" s="43"/>
      <c r="Q639" s="43"/>
      <c r="R639" s="43"/>
      <c r="S639" s="43"/>
      <c r="T639" s="43"/>
      <c r="U639" s="43"/>
      <c r="V639" s="43"/>
      <c r="W639" s="43"/>
      <c r="X639" s="43"/>
      <c r="Y639" s="43"/>
      <c r="Z639" s="43"/>
    </row>
    <row r="640">
      <c r="A640" s="45" t="s">
        <v>965</v>
      </c>
      <c r="B640" s="45" t="s">
        <v>1956</v>
      </c>
      <c r="C640" s="45" t="s">
        <v>51</v>
      </c>
      <c r="D640" s="45">
        <v>6.0</v>
      </c>
      <c r="E640" s="45">
        <v>30.0</v>
      </c>
      <c r="F640" s="45">
        <v>0.0</v>
      </c>
      <c r="G640" s="46">
        <f t="shared" ref="G640:G643" si="98">E640-D640</f>
        <v>24</v>
      </c>
      <c r="H640" s="47">
        <v>46096.0</v>
      </c>
      <c r="I640" s="46"/>
      <c r="J640" s="48"/>
      <c r="K640" s="46"/>
      <c r="L640" s="46"/>
      <c r="M640" s="46"/>
      <c r="N640" s="46"/>
      <c r="O640" s="46"/>
      <c r="P640" s="46"/>
      <c r="Q640" s="46"/>
      <c r="R640" s="46"/>
      <c r="S640" s="46"/>
      <c r="T640" s="46"/>
      <c r="U640" s="46"/>
      <c r="V640" s="46"/>
      <c r="W640" s="46"/>
      <c r="X640" s="46"/>
      <c r="Y640" s="46"/>
      <c r="Z640" s="46"/>
    </row>
    <row r="641">
      <c r="A641" s="45" t="s">
        <v>965</v>
      </c>
      <c r="B641" s="45" t="s">
        <v>1957</v>
      </c>
      <c r="C641" s="45" t="s">
        <v>237</v>
      </c>
      <c r="D641" s="45">
        <v>9.0</v>
      </c>
      <c r="E641" s="45">
        <v>40.0</v>
      </c>
      <c r="F641" s="45">
        <v>0.0</v>
      </c>
      <c r="G641" s="46">
        <f t="shared" si="98"/>
        <v>31</v>
      </c>
      <c r="H641" s="47">
        <v>46047.0</v>
      </c>
      <c r="I641" s="46"/>
      <c r="J641" s="48"/>
      <c r="K641" s="46"/>
      <c r="L641" s="46"/>
      <c r="M641" s="46"/>
      <c r="N641" s="46"/>
      <c r="O641" s="46"/>
      <c r="P641" s="46"/>
      <c r="Q641" s="46"/>
      <c r="R641" s="46"/>
      <c r="S641" s="46"/>
      <c r="T641" s="46"/>
      <c r="U641" s="46"/>
      <c r="V641" s="46"/>
      <c r="W641" s="46"/>
      <c r="X641" s="46"/>
      <c r="Y641" s="46"/>
      <c r="Z641" s="46"/>
    </row>
    <row r="642">
      <c r="A642" s="31" t="s">
        <v>965</v>
      </c>
      <c r="B642" s="31" t="s">
        <v>1958</v>
      </c>
      <c r="C642" s="31" t="s">
        <v>57</v>
      </c>
      <c r="D642" s="31">
        <v>4.5</v>
      </c>
      <c r="E642" s="31">
        <v>20.0</v>
      </c>
      <c r="F642" s="31">
        <v>0.0</v>
      </c>
      <c r="G642" s="34">
        <f t="shared" si="98"/>
        <v>15.5</v>
      </c>
      <c r="H642" s="36">
        <v>46131.0</v>
      </c>
      <c r="I642" s="34"/>
      <c r="J642" s="35"/>
      <c r="K642" s="34"/>
      <c r="L642" s="34"/>
      <c r="M642" s="34"/>
      <c r="N642" s="34"/>
      <c r="O642" s="34"/>
      <c r="P642" s="34"/>
      <c r="Q642" s="34"/>
      <c r="R642" s="34"/>
      <c r="S642" s="34"/>
      <c r="T642" s="34"/>
      <c r="U642" s="34"/>
      <c r="V642" s="34"/>
      <c r="W642" s="34"/>
      <c r="X642" s="34"/>
      <c r="Y642" s="34"/>
      <c r="Z642" s="34"/>
    </row>
    <row r="643">
      <c r="A643" s="45" t="s">
        <v>1959</v>
      </c>
      <c r="B643" s="45" t="s">
        <v>1960</v>
      </c>
      <c r="C643" s="45"/>
      <c r="D643" s="45">
        <v>7.5</v>
      </c>
      <c r="E643" s="45">
        <v>35.0</v>
      </c>
      <c r="F643" s="45">
        <v>0.0</v>
      </c>
      <c r="G643" s="46">
        <f t="shared" si="98"/>
        <v>27.5</v>
      </c>
      <c r="H643" s="81">
        <v>46096.0</v>
      </c>
      <c r="I643" s="45"/>
      <c r="J643" s="48"/>
      <c r="K643" s="46"/>
      <c r="L643" s="46"/>
      <c r="M643" s="46"/>
      <c r="N643" s="46"/>
      <c r="O643" s="46"/>
      <c r="P643" s="46"/>
      <c r="Q643" s="46"/>
      <c r="R643" s="46"/>
      <c r="S643" s="46"/>
      <c r="T643" s="46"/>
      <c r="U643" s="46"/>
      <c r="V643" s="46"/>
      <c r="W643" s="46"/>
      <c r="X643" s="46"/>
      <c r="Y643" s="46"/>
      <c r="Z643" s="46"/>
    </row>
    <row r="644">
      <c r="A644" s="31" t="s">
        <v>1961</v>
      </c>
      <c r="B644" s="31" t="s">
        <v>1577</v>
      </c>
      <c r="C644" s="31" t="s">
        <v>66</v>
      </c>
      <c r="D644" s="31">
        <v>13.0</v>
      </c>
      <c r="E644" s="31">
        <v>50.0</v>
      </c>
      <c r="F644" s="31">
        <v>6.57</v>
      </c>
      <c r="G644" s="34">
        <f>E644-F644-D644</f>
        <v>30.43</v>
      </c>
      <c r="H644" s="37"/>
      <c r="I644" s="31"/>
      <c r="J644" s="35"/>
      <c r="K644" s="34"/>
      <c r="L644" s="34"/>
      <c r="M644" s="34"/>
      <c r="N644" s="34"/>
      <c r="O644" s="34"/>
      <c r="P644" s="34"/>
      <c r="Q644" s="34"/>
      <c r="R644" s="34"/>
      <c r="S644" s="34"/>
      <c r="T644" s="34"/>
      <c r="U644" s="34"/>
      <c r="V644" s="34"/>
      <c r="W644" s="34"/>
      <c r="X644" s="34"/>
      <c r="Y644" s="34"/>
      <c r="Z644" s="34"/>
    </row>
    <row r="645">
      <c r="A645" s="38" t="s">
        <v>1961</v>
      </c>
      <c r="B645" s="38" t="s">
        <v>1962</v>
      </c>
      <c r="C645" s="38" t="s">
        <v>57</v>
      </c>
      <c r="D645" s="38">
        <v>4.3</v>
      </c>
      <c r="E645" s="39"/>
      <c r="F645" s="39"/>
      <c r="G645" s="39"/>
      <c r="H645" s="82">
        <v>45893.0</v>
      </c>
      <c r="I645" s="38"/>
      <c r="J645" s="41"/>
      <c r="K645" s="39"/>
      <c r="L645" s="39"/>
      <c r="M645" s="39"/>
      <c r="N645" s="39"/>
      <c r="O645" s="39"/>
      <c r="P645" s="39"/>
      <c r="Q645" s="39"/>
      <c r="R645" s="39"/>
      <c r="S645" s="39"/>
      <c r="T645" s="39"/>
      <c r="U645" s="39"/>
      <c r="V645" s="39"/>
      <c r="W645" s="39"/>
      <c r="X645" s="39"/>
      <c r="Y645" s="39"/>
      <c r="Z645" s="39"/>
    </row>
    <row r="646">
      <c r="A646" s="10" t="s">
        <v>1963</v>
      </c>
      <c r="B646" s="10" t="s">
        <v>1964</v>
      </c>
      <c r="C646" s="10" t="s">
        <v>51</v>
      </c>
      <c r="D646" s="10">
        <v>7.3</v>
      </c>
      <c r="E646" s="11"/>
      <c r="F646" s="11"/>
      <c r="G646" s="11"/>
      <c r="H646" s="63">
        <v>45935.0</v>
      </c>
      <c r="I646" s="11"/>
      <c r="J646" s="12"/>
      <c r="K646" s="11"/>
      <c r="L646" s="11"/>
      <c r="M646" s="11"/>
      <c r="N646" s="11"/>
      <c r="O646" s="11"/>
      <c r="P646" s="11"/>
      <c r="Q646" s="11"/>
      <c r="R646" s="11"/>
      <c r="S646" s="11"/>
      <c r="T646" s="11"/>
      <c r="U646" s="11"/>
      <c r="V646" s="11"/>
      <c r="W646" s="11"/>
      <c r="X646" s="11"/>
      <c r="Y646" s="11"/>
      <c r="Z646" s="11"/>
    </row>
    <row r="647">
      <c r="A647" s="31" t="s">
        <v>987</v>
      </c>
      <c r="B647" s="31" t="s">
        <v>1965</v>
      </c>
      <c r="C647" s="31" t="s">
        <v>51</v>
      </c>
      <c r="D647" s="31">
        <v>0.0</v>
      </c>
      <c r="E647" s="31">
        <v>5.0</v>
      </c>
      <c r="F647" s="31">
        <v>0.0</v>
      </c>
      <c r="G647" s="34">
        <f>E647-F647-D647</f>
        <v>5</v>
      </c>
      <c r="H647" s="31" t="s">
        <v>1190</v>
      </c>
      <c r="I647" s="31"/>
      <c r="J647" s="35"/>
      <c r="K647" s="34"/>
      <c r="L647" s="34"/>
      <c r="M647" s="34"/>
      <c r="N647" s="34"/>
      <c r="O647" s="34"/>
      <c r="P647" s="34"/>
      <c r="Q647" s="34"/>
      <c r="R647" s="34"/>
      <c r="S647" s="34"/>
      <c r="T647" s="34"/>
      <c r="U647" s="34"/>
      <c r="V647" s="34"/>
      <c r="W647" s="34"/>
      <c r="X647" s="34"/>
      <c r="Y647" s="34"/>
      <c r="Z647" s="34"/>
    </row>
    <row r="648">
      <c r="A648" s="45" t="s">
        <v>992</v>
      </c>
      <c r="B648" s="45" t="s">
        <v>1966</v>
      </c>
      <c r="C648" s="45">
        <v>6.0</v>
      </c>
      <c r="D648" s="45">
        <v>8.0</v>
      </c>
      <c r="E648" s="45">
        <v>30.0</v>
      </c>
      <c r="F648" s="45">
        <v>0.0</v>
      </c>
      <c r="G648" s="46">
        <f t="shared" ref="G648:G651" si="99">E648-D648</f>
        <v>22</v>
      </c>
      <c r="H648" s="47">
        <v>46096.0</v>
      </c>
      <c r="I648" s="46"/>
      <c r="J648" s="48"/>
      <c r="K648" s="46"/>
      <c r="L648" s="46"/>
      <c r="M648" s="46"/>
      <c r="N648" s="46"/>
      <c r="O648" s="46"/>
      <c r="P648" s="46"/>
      <c r="Q648" s="46"/>
      <c r="R648" s="46"/>
      <c r="S648" s="46"/>
      <c r="T648" s="46"/>
      <c r="U648" s="46"/>
      <c r="V648" s="46"/>
      <c r="W648" s="46"/>
      <c r="X648" s="46"/>
      <c r="Y648" s="46"/>
      <c r="Z648" s="46"/>
    </row>
    <row r="649">
      <c r="A649" s="45" t="s">
        <v>992</v>
      </c>
      <c r="B649" s="45" t="s">
        <v>1168</v>
      </c>
      <c r="C649" s="45" t="s">
        <v>66</v>
      </c>
      <c r="D649" s="45">
        <v>6.0</v>
      </c>
      <c r="E649" s="45">
        <v>35.0</v>
      </c>
      <c r="F649" s="45">
        <v>0.0</v>
      </c>
      <c r="G649" s="46">
        <f t="shared" si="99"/>
        <v>29</v>
      </c>
      <c r="H649" s="47">
        <v>46096.0</v>
      </c>
      <c r="I649" s="46"/>
      <c r="J649" s="48"/>
      <c r="K649" s="46"/>
      <c r="L649" s="46"/>
      <c r="M649" s="46"/>
      <c r="N649" s="46"/>
      <c r="O649" s="46"/>
      <c r="P649" s="46"/>
      <c r="Q649" s="46"/>
      <c r="R649" s="46"/>
      <c r="S649" s="46"/>
      <c r="T649" s="46"/>
      <c r="U649" s="46"/>
      <c r="V649" s="46"/>
      <c r="W649" s="46"/>
      <c r="X649" s="46"/>
      <c r="Y649" s="46"/>
      <c r="Z649" s="46"/>
    </row>
    <row r="650">
      <c r="A650" s="31" t="s">
        <v>992</v>
      </c>
      <c r="B650" s="31" t="s">
        <v>1967</v>
      </c>
      <c r="C650" s="31">
        <v>8.5</v>
      </c>
      <c r="D650" s="31">
        <v>10.0</v>
      </c>
      <c r="E650" s="31">
        <v>40.0</v>
      </c>
      <c r="F650" s="31">
        <v>0.0</v>
      </c>
      <c r="G650" s="34">
        <f t="shared" si="99"/>
        <v>30</v>
      </c>
      <c r="H650" s="34"/>
      <c r="I650" s="34"/>
      <c r="J650" s="35"/>
      <c r="K650" s="34"/>
      <c r="L650" s="34"/>
      <c r="M650" s="34"/>
      <c r="N650" s="34"/>
      <c r="O650" s="34"/>
      <c r="P650" s="34"/>
      <c r="Q650" s="34"/>
      <c r="R650" s="34"/>
      <c r="S650" s="34"/>
      <c r="T650" s="34"/>
      <c r="U650" s="34"/>
      <c r="V650" s="34"/>
      <c r="W650" s="34"/>
      <c r="X650" s="34"/>
      <c r="Y650" s="34"/>
      <c r="Z650" s="34"/>
    </row>
    <row r="651">
      <c r="A651" s="31" t="s">
        <v>1968</v>
      </c>
      <c r="B651" s="31" t="s">
        <v>1969</v>
      </c>
      <c r="C651" s="31" t="s">
        <v>66</v>
      </c>
      <c r="D651" s="31">
        <v>3.25</v>
      </c>
      <c r="E651" s="31">
        <v>25.0</v>
      </c>
      <c r="F651" s="31">
        <v>0.0</v>
      </c>
      <c r="G651" s="34">
        <f t="shared" si="99"/>
        <v>21.75</v>
      </c>
      <c r="H651" s="36">
        <v>46131.0</v>
      </c>
      <c r="I651" s="34"/>
      <c r="J651" s="35"/>
      <c r="K651" s="34"/>
      <c r="L651" s="34"/>
      <c r="M651" s="34"/>
      <c r="N651" s="34"/>
      <c r="O651" s="34"/>
      <c r="P651" s="34"/>
      <c r="Q651" s="34"/>
      <c r="R651" s="34"/>
      <c r="S651" s="34"/>
      <c r="T651" s="34"/>
      <c r="U651" s="34"/>
      <c r="V651" s="34"/>
      <c r="W651" s="34"/>
      <c r="X651" s="34"/>
      <c r="Y651" s="34"/>
      <c r="Z651" s="34"/>
    </row>
    <row r="652">
      <c r="A652" s="31" t="s">
        <v>1970</v>
      </c>
      <c r="B652" s="31" t="s">
        <v>1971</v>
      </c>
      <c r="C652" s="31" t="s">
        <v>57</v>
      </c>
      <c r="D652" s="31">
        <v>7.0</v>
      </c>
      <c r="E652" s="31">
        <v>22.0</v>
      </c>
      <c r="F652" s="31">
        <v>4.84</v>
      </c>
      <c r="G652" s="34">
        <f t="shared" ref="G652:G653" si="100">E652-F652-D652</f>
        <v>10.16</v>
      </c>
      <c r="H652" s="34"/>
      <c r="I652" s="34"/>
      <c r="J652" s="35"/>
      <c r="K652" s="34"/>
      <c r="L652" s="34"/>
      <c r="M652" s="34"/>
      <c r="N652" s="34"/>
      <c r="O652" s="34"/>
      <c r="P652" s="34"/>
      <c r="Q652" s="34"/>
      <c r="R652" s="34"/>
      <c r="S652" s="34"/>
      <c r="T652" s="34"/>
      <c r="U652" s="34"/>
      <c r="V652" s="34"/>
      <c r="W652" s="34"/>
      <c r="X652" s="34"/>
      <c r="Y652" s="34"/>
      <c r="Z652" s="34"/>
    </row>
    <row r="653">
      <c r="A653" s="31" t="s">
        <v>998</v>
      </c>
      <c r="B653" s="31" t="s">
        <v>1972</v>
      </c>
      <c r="C653" s="31">
        <v>6.0</v>
      </c>
      <c r="D653" s="31">
        <v>12.8</v>
      </c>
      <c r="E653" s="31">
        <v>67.91</v>
      </c>
      <c r="F653" s="31">
        <v>6.07</v>
      </c>
      <c r="G653" s="34">
        <f t="shared" si="100"/>
        <v>49.04</v>
      </c>
      <c r="H653" s="34"/>
      <c r="I653" s="34"/>
      <c r="J653" s="35"/>
      <c r="K653" s="34"/>
      <c r="L653" s="34"/>
      <c r="M653" s="34"/>
      <c r="N653" s="34"/>
      <c r="O653" s="34"/>
      <c r="P653" s="34"/>
      <c r="Q653" s="34"/>
      <c r="R653" s="34"/>
      <c r="S653" s="34"/>
      <c r="T653" s="34"/>
      <c r="U653" s="34"/>
      <c r="V653" s="34"/>
      <c r="W653" s="34"/>
      <c r="X653" s="34"/>
      <c r="Y653" s="34"/>
      <c r="Z653" s="34"/>
    </row>
    <row r="654">
      <c r="A654" s="31" t="s">
        <v>1973</v>
      </c>
      <c r="B654" s="31" t="s">
        <v>1974</v>
      </c>
      <c r="C654" s="31" t="s">
        <v>57</v>
      </c>
      <c r="D654" s="31">
        <v>4.3</v>
      </c>
      <c r="E654" s="34"/>
      <c r="F654" s="34"/>
      <c r="G654" s="34"/>
      <c r="H654" s="37">
        <v>45696.0</v>
      </c>
      <c r="I654" s="34"/>
      <c r="J654" s="35"/>
      <c r="K654" s="34"/>
      <c r="L654" s="34"/>
      <c r="M654" s="34"/>
      <c r="N654" s="34"/>
      <c r="O654" s="34"/>
      <c r="P654" s="34"/>
      <c r="Q654" s="34"/>
      <c r="R654" s="34"/>
      <c r="S654" s="34"/>
      <c r="T654" s="34"/>
      <c r="U654" s="34"/>
      <c r="V654" s="34"/>
      <c r="W654" s="34"/>
      <c r="X654" s="34"/>
      <c r="Y654" s="34"/>
      <c r="Z654" s="34"/>
    </row>
    <row r="655">
      <c r="A655" s="31" t="s">
        <v>1975</v>
      </c>
      <c r="B655" s="31" t="s">
        <v>1976</v>
      </c>
      <c r="C655" s="31">
        <v>10.0</v>
      </c>
      <c r="D655" s="31">
        <v>5.0</v>
      </c>
      <c r="E655" s="34">
        <f>112*0.7</f>
        <v>78.4</v>
      </c>
      <c r="F655" s="31">
        <v>0.0</v>
      </c>
      <c r="G655" s="34">
        <f t="shared" ref="G655:G657" si="101">E655-F655-D655</f>
        <v>73.4</v>
      </c>
      <c r="H655" s="34"/>
      <c r="I655" s="34"/>
      <c r="J655" s="35"/>
      <c r="K655" s="34"/>
      <c r="L655" s="34"/>
      <c r="M655" s="34"/>
      <c r="N655" s="34"/>
      <c r="O655" s="34"/>
      <c r="P655" s="34"/>
      <c r="Q655" s="34"/>
      <c r="R655" s="34"/>
      <c r="S655" s="34"/>
      <c r="T655" s="34"/>
      <c r="U655" s="34"/>
      <c r="V655" s="34"/>
      <c r="W655" s="34"/>
      <c r="X655" s="34"/>
      <c r="Y655" s="34"/>
      <c r="Z655" s="34"/>
    </row>
    <row r="656">
      <c r="A656" s="42" t="s">
        <v>1977</v>
      </c>
      <c r="B656" s="42" t="s">
        <v>1978</v>
      </c>
      <c r="C656" s="42" t="s">
        <v>628</v>
      </c>
      <c r="D656" s="42">
        <v>15.0</v>
      </c>
      <c r="E656" s="42">
        <v>60.0</v>
      </c>
      <c r="F656" s="42">
        <v>4.95</v>
      </c>
      <c r="G656" s="43">
        <f t="shared" si="101"/>
        <v>40.05</v>
      </c>
      <c r="H656" s="42" t="s">
        <v>1202</v>
      </c>
      <c r="I656" s="43"/>
      <c r="J656" s="44"/>
      <c r="K656" s="43"/>
      <c r="L656" s="43"/>
      <c r="M656" s="43"/>
      <c r="N656" s="43"/>
      <c r="O656" s="43"/>
      <c r="P656" s="43"/>
      <c r="Q656" s="43"/>
      <c r="R656" s="43"/>
      <c r="S656" s="43"/>
      <c r="T656" s="43"/>
      <c r="U656" s="43"/>
      <c r="V656" s="43"/>
      <c r="W656" s="43"/>
      <c r="X656" s="43"/>
      <c r="Y656" s="43"/>
      <c r="Z656" s="43"/>
    </row>
    <row r="657">
      <c r="A657" s="45" t="s">
        <v>1979</v>
      </c>
      <c r="B657" s="45" t="s">
        <v>1980</v>
      </c>
      <c r="C657" s="45" t="s">
        <v>57</v>
      </c>
      <c r="D657" s="45">
        <v>7.0</v>
      </c>
      <c r="E657" s="45">
        <v>15.0</v>
      </c>
      <c r="F657" s="45">
        <v>0.0</v>
      </c>
      <c r="G657" s="46">
        <f t="shared" si="101"/>
        <v>8</v>
      </c>
      <c r="H657" s="47">
        <v>46047.0</v>
      </c>
      <c r="I657" s="46"/>
      <c r="J657" s="48"/>
      <c r="K657" s="46"/>
      <c r="L657" s="46"/>
      <c r="M657" s="46"/>
      <c r="N657" s="46"/>
      <c r="O657" s="46"/>
      <c r="P657" s="46"/>
      <c r="Q657" s="46"/>
      <c r="R657" s="46"/>
      <c r="S657" s="46"/>
      <c r="T657" s="46"/>
      <c r="U657" s="46"/>
      <c r="V657" s="46"/>
      <c r="W657" s="46"/>
      <c r="X657" s="46"/>
      <c r="Y657" s="46"/>
      <c r="Z657" s="46"/>
    </row>
    <row r="658">
      <c r="A658" s="45" t="s">
        <v>1005</v>
      </c>
      <c r="B658" s="45" t="s">
        <v>1149</v>
      </c>
      <c r="C658" s="45" t="s">
        <v>51</v>
      </c>
      <c r="D658" s="45">
        <v>3.0</v>
      </c>
      <c r="E658" s="45">
        <v>20.0</v>
      </c>
      <c r="F658" s="45">
        <v>0.0</v>
      </c>
      <c r="G658" s="46">
        <f t="shared" ref="G658:G660" si="102">E658-D658</f>
        <v>17</v>
      </c>
      <c r="H658" s="47">
        <v>46096.0</v>
      </c>
      <c r="I658" s="46"/>
      <c r="J658" s="48"/>
      <c r="K658" s="46"/>
      <c r="L658" s="46"/>
      <c r="M658" s="46"/>
      <c r="N658" s="46"/>
      <c r="O658" s="46"/>
      <c r="P658" s="46"/>
      <c r="Q658" s="46"/>
      <c r="R658" s="46"/>
      <c r="S658" s="46"/>
      <c r="T658" s="46"/>
      <c r="U658" s="46"/>
      <c r="V658" s="46"/>
      <c r="W658" s="46"/>
      <c r="X658" s="46"/>
      <c r="Y658" s="46"/>
      <c r="Z658" s="46"/>
    </row>
    <row r="659">
      <c r="A659" s="45" t="s">
        <v>1005</v>
      </c>
      <c r="B659" s="45" t="s">
        <v>1981</v>
      </c>
      <c r="C659" s="45" t="s">
        <v>51</v>
      </c>
      <c r="D659" s="45">
        <v>8.0</v>
      </c>
      <c r="E659" s="45">
        <v>20.0</v>
      </c>
      <c r="F659" s="45">
        <v>0.0</v>
      </c>
      <c r="G659" s="46">
        <f t="shared" si="102"/>
        <v>12</v>
      </c>
      <c r="H659" s="47">
        <v>46096.0</v>
      </c>
      <c r="I659" s="46"/>
      <c r="J659" s="48"/>
      <c r="K659" s="46"/>
      <c r="L659" s="46"/>
      <c r="M659" s="46"/>
      <c r="N659" s="46"/>
      <c r="O659" s="46"/>
      <c r="P659" s="46"/>
      <c r="Q659" s="46"/>
      <c r="R659" s="46"/>
      <c r="S659" s="46"/>
      <c r="T659" s="46"/>
      <c r="U659" s="46"/>
      <c r="V659" s="46"/>
      <c r="W659" s="46"/>
      <c r="X659" s="46"/>
      <c r="Y659" s="46"/>
      <c r="Z659" s="46"/>
    </row>
    <row r="660">
      <c r="A660" s="45" t="s">
        <v>1005</v>
      </c>
      <c r="B660" s="45" t="s">
        <v>1020</v>
      </c>
      <c r="C660" s="45" t="s">
        <v>57</v>
      </c>
      <c r="D660" s="45">
        <v>9.0</v>
      </c>
      <c r="E660" s="45">
        <v>20.0</v>
      </c>
      <c r="F660" s="45">
        <v>0.0</v>
      </c>
      <c r="G660" s="46">
        <f t="shared" si="102"/>
        <v>11</v>
      </c>
      <c r="H660" s="47">
        <v>46047.0</v>
      </c>
      <c r="I660" s="46"/>
      <c r="J660" s="48"/>
      <c r="K660" s="46"/>
      <c r="L660" s="46"/>
      <c r="M660" s="46"/>
      <c r="N660" s="46"/>
      <c r="O660" s="46"/>
      <c r="P660" s="46"/>
      <c r="Q660" s="46"/>
      <c r="R660" s="46"/>
      <c r="S660" s="46"/>
      <c r="T660" s="46"/>
      <c r="U660" s="46"/>
      <c r="V660" s="46"/>
      <c r="W660" s="46"/>
      <c r="X660" s="46"/>
      <c r="Y660" s="46"/>
      <c r="Z660" s="46"/>
    </row>
    <row r="661">
      <c r="A661" s="7" t="s">
        <v>1005</v>
      </c>
      <c r="B661" s="7" t="s">
        <v>164</v>
      </c>
      <c r="C661" s="7" t="s">
        <v>66</v>
      </c>
      <c r="D661" s="7">
        <v>7.0</v>
      </c>
      <c r="E661" s="7">
        <v>18.0</v>
      </c>
      <c r="F661" s="7">
        <v>0.0</v>
      </c>
      <c r="G661" s="8">
        <f t="shared" ref="G661:G663" si="103">E661-F661-D661</f>
        <v>11</v>
      </c>
      <c r="H661" s="7"/>
      <c r="I661" s="7" t="s">
        <v>614</v>
      </c>
      <c r="J661" s="9"/>
      <c r="K661" s="8"/>
      <c r="L661" s="8"/>
      <c r="M661" s="8"/>
      <c r="N661" s="8"/>
      <c r="O661" s="8"/>
      <c r="P661" s="8"/>
      <c r="Q661" s="8"/>
      <c r="R661" s="8"/>
      <c r="S661" s="8"/>
      <c r="T661" s="8"/>
      <c r="U661" s="8"/>
      <c r="V661" s="8"/>
      <c r="W661" s="8"/>
      <c r="X661" s="8"/>
      <c r="Y661" s="8"/>
      <c r="Z661" s="8"/>
    </row>
    <row r="662">
      <c r="A662" s="7" t="s">
        <v>1005</v>
      </c>
      <c r="B662" s="7" t="s">
        <v>1982</v>
      </c>
      <c r="C662" s="7" t="s">
        <v>66</v>
      </c>
      <c r="D662" s="7">
        <v>7.0</v>
      </c>
      <c r="E662" s="7">
        <v>16.8</v>
      </c>
      <c r="F662" s="7">
        <v>0.0</v>
      </c>
      <c r="G662" s="8">
        <f t="shared" si="103"/>
        <v>9.8</v>
      </c>
      <c r="H662" s="7"/>
      <c r="I662" s="7" t="s">
        <v>614</v>
      </c>
      <c r="J662" s="9"/>
      <c r="K662" s="8"/>
      <c r="L662" s="8"/>
      <c r="M662" s="8"/>
      <c r="N662" s="8"/>
      <c r="O662" s="8"/>
      <c r="P662" s="8"/>
      <c r="Q662" s="8"/>
      <c r="R662" s="8"/>
      <c r="S662" s="8"/>
      <c r="T662" s="8"/>
      <c r="U662" s="8"/>
      <c r="V662" s="8"/>
      <c r="W662" s="8"/>
      <c r="X662" s="8"/>
      <c r="Y662" s="8"/>
      <c r="Z662" s="8"/>
    </row>
    <row r="663">
      <c r="A663" s="7" t="s">
        <v>1005</v>
      </c>
      <c r="B663" s="7" t="s">
        <v>1983</v>
      </c>
      <c r="C663" s="7" t="s">
        <v>1070</v>
      </c>
      <c r="D663" s="7">
        <v>7.0</v>
      </c>
      <c r="E663" s="7">
        <v>16.8</v>
      </c>
      <c r="F663" s="7">
        <v>0.0</v>
      </c>
      <c r="G663" s="8">
        <f t="shared" si="103"/>
        <v>9.8</v>
      </c>
      <c r="H663" s="7"/>
      <c r="I663" s="7" t="s">
        <v>614</v>
      </c>
      <c r="J663" s="9"/>
      <c r="K663" s="8"/>
      <c r="L663" s="8"/>
      <c r="M663" s="8"/>
      <c r="N663" s="8"/>
      <c r="O663" s="8"/>
      <c r="P663" s="8"/>
      <c r="Q663" s="8"/>
      <c r="R663" s="8"/>
      <c r="S663" s="8"/>
      <c r="T663" s="8"/>
      <c r="U663" s="8"/>
      <c r="V663" s="8"/>
      <c r="W663" s="8"/>
      <c r="X663" s="8"/>
      <c r="Y663" s="8"/>
      <c r="Z663" s="8"/>
    </row>
    <row r="664">
      <c r="A664" s="38" t="s">
        <v>1005</v>
      </c>
      <c r="B664" s="38" t="s">
        <v>1984</v>
      </c>
      <c r="C664" s="38" t="s">
        <v>57</v>
      </c>
      <c r="D664" s="38">
        <v>4.0</v>
      </c>
      <c r="E664" s="39"/>
      <c r="F664" s="39"/>
      <c r="G664" s="39"/>
      <c r="H664" s="40">
        <v>45893.0</v>
      </c>
      <c r="I664" s="39"/>
      <c r="J664" s="41"/>
      <c r="K664" s="39"/>
      <c r="L664" s="39"/>
      <c r="M664" s="39"/>
      <c r="N664" s="39"/>
      <c r="O664" s="39"/>
      <c r="P664" s="39"/>
      <c r="Q664" s="39"/>
      <c r="R664" s="39"/>
      <c r="S664" s="39"/>
      <c r="T664" s="39"/>
      <c r="U664" s="39"/>
      <c r="V664" s="39"/>
      <c r="W664" s="39"/>
      <c r="X664" s="39"/>
      <c r="Y664" s="39"/>
      <c r="Z664" s="39"/>
    </row>
    <row r="665">
      <c r="A665" s="38" t="s">
        <v>1005</v>
      </c>
      <c r="B665" s="38" t="s">
        <v>1985</v>
      </c>
      <c r="C665" s="38" t="s">
        <v>66</v>
      </c>
      <c r="D665" s="38">
        <v>3.0</v>
      </c>
      <c r="E665" s="39"/>
      <c r="F665" s="39"/>
      <c r="G665" s="39"/>
      <c r="H665" s="40">
        <v>45893.0</v>
      </c>
      <c r="I665" s="39"/>
      <c r="J665" s="41"/>
      <c r="K665" s="39"/>
      <c r="L665" s="39"/>
      <c r="M665" s="39"/>
      <c r="N665" s="39"/>
      <c r="O665" s="39"/>
      <c r="P665" s="39"/>
      <c r="Q665" s="39"/>
      <c r="R665" s="39"/>
      <c r="S665" s="39"/>
      <c r="T665" s="39"/>
      <c r="U665" s="39"/>
      <c r="V665" s="39"/>
      <c r="W665" s="39"/>
      <c r="X665" s="39"/>
      <c r="Y665" s="39"/>
      <c r="Z665" s="39"/>
    </row>
    <row r="666">
      <c r="A666" s="10" t="s">
        <v>1005</v>
      </c>
      <c r="B666" s="10" t="s">
        <v>1986</v>
      </c>
      <c r="C666" s="10" t="s">
        <v>51</v>
      </c>
      <c r="D666" s="10">
        <v>6.0</v>
      </c>
      <c r="E666" s="10">
        <v>30.0</v>
      </c>
      <c r="F666" s="10">
        <v>0.0</v>
      </c>
      <c r="G666" s="11">
        <f>E666-F666-D666</f>
        <v>24</v>
      </c>
      <c r="H666" s="49">
        <v>45976.0</v>
      </c>
      <c r="I666" s="11"/>
      <c r="J666" s="12"/>
      <c r="K666" s="11"/>
      <c r="L666" s="11"/>
      <c r="M666" s="11"/>
      <c r="N666" s="11"/>
      <c r="O666" s="11"/>
      <c r="P666" s="11"/>
      <c r="Q666" s="11"/>
      <c r="R666" s="11"/>
      <c r="S666" s="11"/>
      <c r="T666" s="11"/>
      <c r="U666" s="11"/>
      <c r="V666" s="11"/>
      <c r="W666" s="11"/>
      <c r="X666" s="11"/>
      <c r="Y666" s="11"/>
      <c r="Z666" s="11"/>
    </row>
    <row r="667">
      <c r="A667" s="10" t="s">
        <v>1005</v>
      </c>
      <c r="B667" s="10" t="s">
        <v>1987</v>
      </c>
      <c r="C667" s="10" t="s">
        <v>57</v>
      </c>
      <c r="D667" s="10">
        <v>9.0</v>
      </c>
      <c r="E667" s="10">
        <v>15.0</v>
      </c>
      <c r="F667" s="10">
        <v>0.0</v>
      </c>
      <c r="G667" s="11">
        <f t="shared" ref="G667:G668" si="104">E667-D667</f>
        <v>6</v>
      </c>
      <c r="H667" s="49">
        <v>45976.0</v>
      </c>
      <c r="I667" s="11"/>
      <c r="J667" s="12"/>
      <c r="K667" s="11"/>
      <c r="L667" s="11"/>
      <c r="M667" s="11"/>
      <c r="N667" s="11"/>
      <c r="O667" s="11"/>
      <c r="P667" s="11"/>
      <c r="Q667" s="11"/>
      <c r="R667" s="11"/>
      <c r="S667" s="11"/>
      <c r="T667" s="11"/>
      <c r="U667" s="11"/>
      <c r="V667" s="11"/>
      <c r="W667" s="11"/>
      <c r="X667" s="11"/>
      <c r="Y667" s="11"/>
      <c r="Z667" s="11"/>
    </row>
    <row r="668">
      <c r="A668" s="31" t="s">
        <v>1005</v>
      </c>
      <c r="B668" s="31" t="s">
        <v>1988</v>
      </c>
      <c r="C668" s="31" t="s">
        <v>66</v>
      </c>
      <c r="D668" s="31">
        <v>5.5</v>
      </c>
      <c r="E668" s="31">
        <v>20.0</v>
      </c>
      <c r="F668" s="31">
        <v>0.0</v>
      </c>
      <c r="G668" s="34">
        <f t="shared" si="104"/>
        <v>14.5</v>
      </c>
      <c r="H668" s="36">
        <v>46131.0</v>
      </c>
      <c r="I668" s="34"/>
      <c r="J668" s="35"/>
      <c r="K668" s="34"/>
      <c r="L668" s="34"/>
      <c r="M668" s="34"/>
      <c r="N668" s="34"/>
      <c r="O668" s="34"/>
      <c r="P668" s="34"/>
      <c r="Q668" s="34"/>
      <c r="R668" s="34"/>
      <c r="S668" s="34"/>
      <c r="T668" s="34"/>
      <c r="U668" s="34"/>
      <c r="V668" s="34"/>
      <c r="W668" s="34"/>
      <c r="X668" s="34"/>
      <c r="Y668" s="34"/>
      <c r="Z668" s="34"/>
    </row>
    <row r="669">
      <c r="A669" s="31" t="s">
        <v>1005</v>
      </c>
      <c r="B669" s="31" t="s">
        <v>1989</v>
      </c>
      <c r="C669" s="31" t="s">
        <v>95</v>
      </c>
      <c r="D669" s="31">
        <v>4.0</v>
      </c>
      <c r="E669" s="31">
        <v>20.0</v>
      </c>
      <c r="F669" s="31">
        <v>2.63</v>
      </c>
      <c r="G669" s="34">
        <f t="shared" ref="G669:G670" si="105">E669-F669-D669</f>
        <v>13.37</v>
      </c>
      <c r="H669" s="31"/>
      <c r="I669" s="31"/>
      <c r="J669" s="35"/>
      <c r="K669" s="34"/>
      <c r="L669" s="34"/>
      <c r="M669" s="34"/>
      <c r="N669" s="34"/>
      <c r="O669" s="34"/>
      <c r="P669" s="34"/>
      <c r="Q669" s="34"/>
      <c r="R669" s="34"/>
      <c r="S669" s="34"/>
      <c r="T669" s="34"/>
      <c r="U669" s="34"/>
      <c r="V669" s="34"/>
      <c r="W669" s="34"/>
      <c r="X669" s="34"/>
      <c r="Y669" s="34"/>
      <c r="Z669" s="34"/>
    </row>
    <row r="670">
      <c r="A670" s="31" t="s">
        <v>1005</v>
      </c>
      <c r="B670" s="31" t="s">
        <v>1990</v>
      </c>
      <c r="C670" s="31" t="s">
        <v>51</v>
      </c>
      <c r="D670" s="31">
        <v>6.0</v>
      </c>
      <c r="E670" s="31">
        <v>20.0</v>
      </c>
      <c r="F670" s="31">
        <v>2.63</v>
      </c>
      <c r="G670" s="34">
        <f t="shared" si="105"/>
        <v>11.37</v>
      </c>
      <c r="H670" s="31"/>
      <c r="I670" s="31"/>
      <c r="J670" s="35"/>
      <c r="K670" s="34"/>
      <c r="L670" s="34"/>
      <c r="M670" s="34"/>
      <c r="N670" s="34"/>
      <c r="O670" s="34"/>
      <c r="P670" s="34"/>
      <c r="Q670" s="34"/>
      <c r="R670" s="34"/>
      <c r="S670" s="34"/>
      <c r="T670" s="34"/>
      <c r="U670" s="34"/>
      <c r="V670" s="34"/>
      <c r="W670" s="34"/>
      <c r="X670" s="34"/>
      <c r="Y670" s="34"/>
      <c r="Z670" s="34"/>
    </row>
    <row r="671">
      <c r="A671" s="31" t="s">
        <v>1005</v>
      </c>
      <c r="B671" s="31" t="s">
        <v>1991</v>
      </c>
      <c r="C671" s="31" t="s">
        <v>57</v>
      </c>
      <c r="D671" s="31">
        <v>6.5</v>
      </c>
      <c r="E671" s="31">
        <v>20.0</v>
      </c>
      <c r="F671" s="31">
        <v>0.0</v>
      </c>
      <c r="G671" s="34">
        <f>E671-D671</f>
        <v>13.5</v>
      </c>
      <c r="H671" s="34"/>
      <c r="I671" s="34"/>
      <c r="J671" s="35"/>
      <c r="K671" s="34"/>
      <c r="L671" s="34"/>
      <c r="M671" s="34"/>
      <c r="N671" s="34"/>
      <c r="O671" s="34"/>
      <c r="P671" s="34"/>
      <c r="Q671" s="34"/>
      <c r="R671" s="34"/>
      <c r="S671" s="34"/>
      <c r="T671" s="34"/>
      <c r="U671" s="34"/>
      <c r="V671" s="34"/>
      <c r="W671" s="34"/>
      <c r="X671" s="34"/>
      <c r="Y671" s="34"/>
      <c r="Z671" s="34"/>
    </row>
    <row r="672">
      <c r="A672" s="31" t="s">
        <v>1005</v>
      </c>
      <c r="B672" s="31" t="s">
        <v>1992</v>
      </c>
      <c r="C672" s="31" t="s">
        <v>481</v>
      </c>
      <c r="D672" s="31">
        <v>5.0</v>
      </c>
      <c r="E672" s="31">
        <v>25.0</v>
      </c>
      <c r="F672" s="31">
        <v>0.0</v>
      </c>
      <c r="G672" s="34">
        <f t="shared" ref="G672:G674" si="106">E672-F672-D672</f>
        <v>20</v>
      </c>
      <c r="H672" s="34"/>
      <c r="I672" s="34"/>
      <c r="J672" s="35"/>
      <c r="K672" s="34"/>
      <c r="L672" s="34"/>
      <c r="M672" s="34"/>
      <c r="N672" s="34"/>
      <c r="O672" s="34"/>
      <c r="P672" s="34"/>
      <c r="Q672" s="34"/>
      <c r="R672" s="34"/>
      <c r="S672" s="34"/>
      <c r="T672" s="34"/>
      <c r="U672" s="34"/>
      <c r="V672" s="34"/>
      <c r="W672" s="34"/>
      <c r="X672" s="34"/>
      <c r="Y672" s="34"/>
      <c r="Z672" s="34"/>
    </row>
    <row r="673">
      <c r="A673" s="31" t="s">
        <v>1005</v>
      </c>
      <c r="B673" s="31" t="s">
        <v>1993</v>
      </c>
      <c r="C673" s="31" t="s">
        <v>95</v>
      </c>
      <c r="D673" s="31">
        <v>7.1</v>
      </c>
      <c r="E673" s="31">
        <v>30.0</v>
      </c>
      <c r="F673" s="31">
        <v>0.0</v>
      </c>
      <c r="G673" s="34">
        <f t="shared" si="106"/>
        <v>22.9</v>
      </c>
      <c r="H673" s="34"/>
      <c r="I673" s="34"/>
      <c r="J673" s="35"/>
      <c r="K673" s="34"/>
      <c r="L673" s="34"/>
      <c r="M673" s="34"/>
      <c r="N673" s="34"/>
      <c r="O673" s="34"/>
      <c r="P673" s="34"/>
      <c r="Q673" s="34"/>
      <c r="R673" s="34"/>
      <c r="S673" s="34"/>
      <c r="T673" s="34"/>
      <c r="U673" s="34"/>
      <c r="V673" s="34"/>
      <c r="W673" s="34"/>
      <c r="X673" s="34"/>
      <c r="Y673" s="34"/>
      <c r="Z673" s="34"/>
    </row>
    <row r="674">
      <c r="A674" s="31" t="s">
        <v>1005</v>
      </c>
      <c r="B674" s="31" t="s">
        <v>234</v>
      </c>
      <c r="C674" s="31" t="s">
        <v>95</v>
      </c>
      <c r="D674" s="31">
        <v>7.0</v>
      </c>
      <c r="E674" s="31">
        <v>30.0</v>
      </c>
      <c r="F674" s="31">
        <v>0.0</v>
      </c>
      <c r="G674" s="34">
        <f t="shared" si="106"/>
        <v>23</v>
      </c>
      <c r="H674" s="34"/>
      <c r="I674" s="34"/>
      <c r="J674" s="35"/>
      <c r="K674" s="34"/>
      <c r="L674" s="34"/>
      <c r="M674" s="34"/>
      <c r="N674" s="34"/>
      <c r="O674" s="34"/>
      <c r="P674" s="34"/>
      <c r="Q674" s="34"/>
      <c r="R674" s="34"/>
      <c r="S674" s="34"/>
      <c r="T674" s="34"/>
      <c r="U674" s="34"/>
      <c r="V674" s="34"/>
      <c r="W674" s="34"/>
      <c r="X674" s="34"/>
      <c r="Y674" s="34"/>
      <c r="Z674" s="34"/>
    </row>
    <row r="675">
      <c r="A675" s="31" t="s">
        <v>1005</v>
      </c>
      <c r="B675" s="31" t="s">
        <v>1045</v>
      </c>
      <c r="C675" s="31" t="s">
        <v>51</v>
      </c>
      <c r="D675" s="31">
        <v>6.5</v>
      </c>
      <c r="E675" s="34"/>
      <c r="F675" s="34"/>
      <c r="G675" s="34"/>
      <c r="H675" s="31" t="s">
        <v>1195</v>
      </c>
      <c r="I675" s="34"/>
      <c r="J675" s="35"/>
      <c r="K675" s="34"/>
      <c r="L675" s="34"/>
      <c r="M675" s="34"/>
      <c r="N675" s="34"/>
      <c r="O675" s="34"/>
      <c r="P675" s="34"/>
      <c r="Q675" s="34"/>
      <c r="R675" s="34"/>
      <c r="S675" s="34"/>
      <c r="T675" s="34"/>
      <c r="U675" s="34"/>
      <c r="V675" s="34"/>
      <c r="W675" s="34"/>
      <c r="X675" s="34"/>
      <c r="Y675" s="34"/>
      <c r="Z675" s="34"/>
    </row>
    <row r="676">
      <c r="A676" s="31" t="s">
        <v>1005</v>
      </c>
      <c r="B676" s="31" t="s">
        <v>1994</v>
      </c>
      <c r="C676" s="31" t="s">
        <v>57</v>
      </c>
      <c r="D676" s="31">
        <v>6.3</v>
      </c>
      <c r="E676" s="34"/>
      <c r="F676" s="34"/>
      <c r="G676" s="34"/>
      <c r="H676" s="31" t="s">
        <v>1195</v>
      </c>
      <c r="I676" s="34"/>
      <c r="J676" s="35"/>
      <c r="K676" s="34"/>
      <c r="L676" s="34"/>
      <c r="M676" s="34"/>
      <c r="N676" s="34"/>
      <c r="O676" s="34"/>
      <c r="P676" s="34"/>
      <c r="Q676" s="34"/>
      <c r="R676" s="34"/>
      <c r="S676" s="34"/>
      <c r="T676" s="34"/>
      <c r="U676" s="34"/>
      <c r="V676" s="34"/>
      <c r="W676" s="34"/>
      <c r="X676" s="34"/>
      <c r="Y676" s="34"/>
      <c r="Z676" s="34"/>
    </row>
    <row r="677">
      <c r="A677" s="31" t="s">
        <v>1005</v>
      </c>
      <c r="B677" s="31" t="s">
        <v>1995</v>
      </c>
      <c r="C677" s="31" t="s">
        <v>57</v>
      </c>
      <c r="D677" s="31"/>
      <c r="E677" s="34"/>
      <c r="F677" s="34"/>
      <c r="G677" s="34"/>
      <c r="H677" s="31" t="s">
        <v>1195</v>
      </c>
      <c r="I677" s="34"/>
      <c r="J677" s="35"/>
      <c r="K677" s="34"/>
      <c r="L677" s="34"/>
      <c r="M677" s="34"/>
      <c r="N677" s="34"/>
      <c r="O677" s="34"/>
      <c r="P677" s="34"/>
      <c r="Q677" s="34"/>
      <c r="R677" s="34"/>
      <c r="S677" s="34"/>
      <c r="T677" s="34"/>
      <c r="U677" s="34"/>
      <c r="V677" s="34"/>
      <c r="W677" s="34"/>
      <c r="X677" s="34"/>
      <c r="Y677" s="34"/>
      <c r="Z677" s="34"/>
    </row>
    <row r="678">
      <c r="A678" s="31" t="s">
        <v>1005</v>
      </c>
      <c r="B678" s="31" t="s">
        <v>1996</v>
      </c>
      <c r="C678" s="31" t="s">
        <v>66</v>
      </c>
      <c r="D678" s="31">
        <v>7.0</v>
      </c>
      <c r="E678" s="34"/>
      <c r="F678" s="34"/>
      <c r="G678" s="34"/>
      <c r="H678" s="36">
        <v>45767.0</v>
      </c>
      <c r="I678" s="34"/>
      <c r="J678" s="35"/>
      <c r="K678" s="34"/>
      <c r="L678" s="34"/>
      <c r="M678" s="34"/>
      <c r="N678" s="34"/>
      <c r="O678" s="34"/>
      <c r="P678" s="34"/>
      <c r="Q678" s="34"/>
      <c r="R678" s="34"/>
      <c r="S678" s="34"/>
      <c r="T678" s="34"/>
      <c r="U678" s="34"/>
      <c r="V678" s="34"/>
      <c r="W678" s="34"/>
      <c r="X678" s="34"/>
      <c r="Y678" s="34"/>
      <c r="Z678" s="34"/>
    </row>
    <row r="679">
      <c r="A679" s="31" t="s">
        <v>1005</v>
      </c>
      <c r="B679" s="31" t="s">
        <v>1997</v>
      </c>
      <c r="C679" s="31" t="s">
        <v>51</v>
      </c>
      <c r="D679" s="31">
        <v>4.29</v>
      </c>
      <c r="E679" s="31">
        <v>30.5</v>
      </c>
      <c r="F679" s="31">
        <v>5.56</v>
      </c>
      <c r="G679" s="34">
        <f t="shared" ref="G679:G681" si="107">E679-F679-D679</f>
        <v>20.65</v>
      </c>
      <c r="H679" s="34"/>
      <c r="I679" s="34"/>
      <c r="J679" s="35"/>
      <c r="K679" s="34"/>
      <c r="L679" s="34"/>
      <c r="M679" s="34"/>
      <c r="N679" s="34"/>
      <c r="O679" s="34"/>
      <c r="P679" s="34"/>
      <c r="Q679" s="34"/>
      <c r="R679" s="34"/>
      <c r="S679" s="34"/>
      <c r="T679" s="34"/>
      <c r="U679" s="34"/>
      <c r="V679" s="34"/>
      <c r="W679" s="34"/>
      <c r="X679" s="34"/>
      <c r="Y679" s="34"/>
      <c r="Z679" s="34"/>
    </row>
    <row r="680">
      <c r="A680" s="31" t="s">
        <v>1005</v>
      </c>
      <c r="B680" s="31" t="s">
        <v>800</v>
      </c>
      <c r="C680" s="31" t="s">
        <v>51</v>
      </c>
      <c r="D680" s="31">
        <v>7.0</v>
      </c>
      <c r="E680" s="31">
        <v>26.61</v>
      </c>
      <c r="F680" s="31">
        <v>6.66</v>
      </c>
      <c r="G680" s="34">
        <f t="shared" si="107"/>
        <v>12.95</v>
      </c>
      <c r="H680" s="34"/>
      <c r="I680" s="34"/>
      <c r="J680" s="35"/>
      <c r="K680" s="34"/>
      <c r="L680" s="34"/>
      <c r="M680" s="34"/>
      <c r="N680" s="34"/>
      <c r="O680" s="34"/>
      <c r="P680" s="34"/>
      <c r="Q680" s="34"/>
      <c r="R680" s="34"/>
      <c r="S680" s="34"/>
      <c r="T680" s="34"/>
      <c r="U680" s="34"/>
      <c r="V680" s="34"/>
      <c r="W680" s="34"/>
      <c r="X680" s="34"/>
      <c r="Y680" s="34"/>
      <c r="Z680" s="34"/>
    </row>
    <row r="681">
      <c r="A681" s="31" t="s">
        <v>1005</v>
      </c>
      <c r="B681" s="31" t="s">
        <v>1998</v>
      </c>
      <c r="C681" s="31" t="s">
        <v>66</v>
      </c>
      <c r="D681" s="31">
        <v>10.0</v>
      </c>
      <c r="E681" s="31">
        <v>35.0</v>
      </c>
      <c r="F681" s="31">
        <v>8.63</v>
      </c>
      <c r="G681" s="34">
        <f t="shared" si="107"/>
        <v>16.37</v>
      </c>
      <c r="H681" s="34"/>
      <c r="I681" s="34"/>
      <c r="J681" s="35"/>
      <c r="K681" s="34"/>
      <c r="L681" s="34"/>
      <c r="M681" s="34"/>
      <c r="N681" s="34"/>
      <c r="O681" s="34"/>
      <c r="P681" s="34"/>
      <c r="Q681" s="34"/>
      <c r="R681" s="34"/>
      <c r="S681" s="34"/>
      <c r="T681" s="34"/>
      <c r="U681" s="34"/>
      <c r="V681" s="34"/>
      <c r="W681" s="34"/>
      <c r="X681" s="34"/>
      <c r="Y681" s="34"/>
      <c r="Z681" s="34"/>
    </row>
    <row r="682">
      <c r="A682" s="31" t="s">
        <v>1005</v>
      </c>
      <c r="B682" s="31" t="s">
        <v>1999</v>
      </c>
      <c r="C682" s="31" t="s">
        <v>57</v>
      </c>
      <c r="D682" s="31">
        <v>7.0</v>
      </c>
      <c r="E682" s="34"/>
      <c r="F682" s="34"/>
      <c r="G682" s="34"/>
      <c r="H682" s="37">
        <v>45696.0</v>
      </c>
      <c r="I682" s="34"/>
      <c r="J682" s="35"/>
      <c r="K682" s="34"/>
      <c r="L682" s="34"/>
      <c r="M682" s="34"/>
      <c r="N682" s="34"/>
      <c r="O682" s="34"/>
      <c r="P682" s="34"/>
      <c r="Q682" s="34"/>
      <c r="R682" s="34"/>
      <c r="S682" s="34"/>
      <c r="T682" s="34"/>
      <c r="U682" s="34"/>
      <c r="V682" s="34"/>
      <c r="W682" s="34"/>
      <c r="X682" s="34"/>
      <c r="Y682" s="34"/>
      <c r="Z682" s="34"/>
    </row>
    <row r="683">
      <c r="A683" s="31" t="s">
        <v>1005</v>
      </c>
      <c r="B683" s="31" t="s">
        <v>2000</v>
      </c>
      <c r="C683" s="31" t="s">
        <v>51</v>
      </c>
      <c r="D683" s="31">
        <v>7.0</v>
      </c>
      <c r="E683" s="34"/>
      <c r="F683" s="34"/>
      <c r="G683" s="34"/>
      <c r="H683" s="37">
        <v>45696.0</v>
      </c>
      <c r="I683" s="34"/>
      <c r="J683" s="35"/>
      <c r="K683" s="34"/>
      <c r="L683" s="34"/>
      <c r="M683" s="34"/>
      <c r="N683" s="34"/>
      <c r="O683" s="34"/>
      <c r="P683" s="34"/>
      <c r="Q683" s="34"/>
      <c r="R683" s="34"/>
      <c r="S683" s="34"/>
      <c r="T683" s="34"/>
      <c r="U683" s="34"/>
      <c r="V683" s="34"/>
      <c r="W683" s="34"/>
      <c r="X683" s="34"/>
      <c r="Y683" s="34"/>
      <c r="Z683" s="34"/>
    </row>
    <row r="684">
      <c r="A684" s="10" t="s">
        <v>1022</v>
      </c>
      <c r="B684" s="10" t="s">
        <v>2001</v>
      </c>
      <c r="C684" s="10"/>
      <c r="D684" s="10">
        <v>2.5</v>
      </c>
      <c r="E684" s="11"/>
      <c r="F684" s="11"/>
      <c r="G684" s="11"/>
      <c r="H684" s="63">
        <v>45935.0</v>
      </c>
      <c r="I684" s="11"/>
      <c r="J684" s="12"/>
      <c r="K684" s="11"/>
      <c r="L684" s="11"/>
      <c r="M684" s="11"/>
      <c r="N684" s="11"/>
      <c r="O684" s="11"/>
      <c r="P684" s="11"/>
      <c r="Q684" s="11"/>
      <c r="R684" s="11"/>
      <c r="S684" s="11"/>
      <c r="T684" s="11"/>
      <c r="U684" s="11"/>
      <c r="V684" s="11"/>
      <c r="W684" s="11"/>
      <c r="X684" s="11"/>
      <c r="Y684" s="11"/>
      <c r="Z684" s="11"/>
    </row>
    <row r="685">
      <c r="A685" s="31" t="s">
        <v>1022</v>
      </c>
      <c r="B685" s="31" t="s">
        <v>1034</v>
      </c>
      <c r="C685" s="31" t="s">
        <v>57</v>
      </c>
      <c r="D685" s="31">
        <v>3.0</v>
      </c>
      <c r="E685" s="31">
        <v>15.0</v>
      </c>
      <c r="F685" s="31">
        <v>0.0</v>
      </c>
      <c r="G685" s="34">
        <f t="shared" ref="G685:G688" si="108">E685-F685-D685</f>
        <v>12</v>
      </c>
      <c r="H685" s="34"/>
      <c r="I685" s="34"/>
      <c r="J685" s="35"/>
      <c r="K685" s="34"/>
      <c r="L685" s="34"/>
      <c r="M685" s="34"/>
      <c r="N685" s="34"/>
      <c r="O685" s="34"/>
      <c r="P685" s="34"/>
      <c r="Q685" s="34"/>
      <c r="R685" s="34"/>
      <c r="S685" s="34"/>
      <c r="T685" s="34"/>
      <c r="U685" s="34"/>
      <c r="V685" s="34"/>
      <c r="W685" s="34"/>
      <c r="X685" s="34"/>
      <c r="Y685" s="34"/>
      <c r="Z685" s="34"/>
    </row>
    <row r="686">
      <c r="A686" s="31" t="s">
        <v>1022</v>
      </c>
      <c r="B686" s="31" t="s">
        <v>2002</v>
      </c>
      <c r="C686" s="31" t="s">
        <v>57</v>
      </c>
      <c r="D686" s="31">
        <v>6.0</v>
      </c>
      <c r="E686" s="31">
        <v>20.0</v>
      </c>
      <c r="F686" s="31">
        <v>0.0</v>
      </c>
      <c r="G686" s="34">
        <f t="shared" si="108"/>
        <v>14</v>
      </c>
      <c r="H686" s="36">
        <v>46131.0</v>
      </c>
      <c r="I686" s="34"/>
      <c r="J686" s="35"/>
      <c r="K686" s="34"/>
      <c r="L686" s="34"/>
      <c r="M686" s="34"/>
      <c r="N686" s="34"/>
      <c r="O686" s="34"/>
      <c r="P686" s="34"/>
      <c r="Q686" s="34"/>
      <c r="R686" s="34"/>
      <c r="S686" s="34"/>
      <c r="T686" s="34"/>
      <c r="U686" s="34"/>
      <c r="V686" s="34"/>
      <c r="W686" s="34"/>
      <c r="X686" s="34"/>
      <c r="Y686" s="34"/>
      <c r="Z686" s="34"/>
    </row>
    <row r="687">
      <c r="A687" s="31" t="s">
        <v>1022</v>
      </c>
      <c r="B687" s="31" t="s">
        <v>2003</v>
      </c>
      <c r="C687" s="31" t="s">
        <v>51</v>
      </c>
      <c r="D687" s="31">
        <v>0.0</v>
      </c>
      <c r="E687" s="31">
        <v>27.5</v>
      </c>
      <c r="F687" s="31">
        <v>4.59</v>
      </c>
      <c r="G687" s="34">
        <f t="shared" si="108"/>
        <v>22.91</v>
      </c>
      <c r="H687" s="34"/>
      <c r="I687" s="34"/>
      <c r="J687" s="35"/>
      <c r="K687" s="34"/>
      <c r="L687" s="34"/>
      <c r="M687" s="34"/>
      <c r="N687" s="34"/>
      <c r="O687" s="34"/>
      <c r="P687" s="34"/>
      <c r="Q687" s="34"/>
      <c r="R687" s="34"/>
      <c r="S687" s="34"/>
      <c r="T687" s="34"/>
      <c r="U687" s="34"/>
      <c r="V687" s="34"/>
      <c r="W687" s="34"/>
      <c r="X687" s="34"/>
      <c r="Y687" s="34"/>
      <c r="Z687" s="34"/>
    </row>
    <row r="688">
      <c r="A688" s="31" t="s">
        <v>1022</v>
      </c>
      <c r="B688" s="31" t="s">
        <v>2004</v>
      </c>
      <c r="C688" s="31" t="s">
        <v>51</v>
      </c>
      <c r="D688" s="31">
        <v>4.5</v>
      </c>
      <c r="E688" s="31">
        <v>27.5</v>
      </c>
      <c r="F688" s="31">
        <v>4.59</v>
      </c>
      <c r="G688" s="34">
        <f t="shared" si="108"/>
        <v>18.41</v>
      </c>
      <c r="H688" s="34"/>
      <c r="I688" s="34"/>
      <c r="J688" s="35"/>
      <c r="K688" s="34"/>
      <c r="L688" s="34"/>
      <c r="M688" s="34"/>
      <c r="N688" s="34"/>
      <c r="O688" s="34"/>
      <c r="P688" s="34"/>
      <c r="Q688" s="34"/>
      <c r="R688" s="34"/>
      <c r="S688" s="34"/>
      <c r="T688" s="34"/>
      <c r="U688" s="34"/>
      <c r="V688" s="34"/>
      <c r="W688" s="34"/>
      <c r="X688" s="34"/>
      <c r="Y688" s="34"/>
      <c r="Z688" s="34"/>
    </row>
    <row r="689">
      <c r="A689" s="31" t="s">
        <v>1022</v>
      </c>
      <c r="B689" s="31" t="s">
        <v>2005</v>
      </c>
      <c r="C689" s="31" t="s">
        <v>57</v>
      </c>
      <c r="D689" s="31">
        <v>6.3</v>
      </c>
      <c r="E689" s="34"/>
      <c r="F689" s="34"/>
      <c r="G689" s="34"/>
      <c r="H689" s="31" t="s">
        <v>1195</v>
      </c>
      <c r="I689" s="34"/>
      <c r="J689" s="35"/>
      <c r="K689" s="34"/>
      <c r="L689" s="34"/>
      <c r="M689" s="34"/>
      <c r="N689" s="34"/>
      <c r="O689" s="34"/>
      <c r="P689" s="34"/>
      <c r="Q689" s="34"/>
      <c r="R689" s="34"/>
      <c r="S689" s="34"/>
      <c r="T689" s="34"/>
      <c r="U689" s="34"/>
      <c r="V689" s="34"/>
      <c r="W689" s="34"/>
      <c r="X689" s="34"/>
      <c r="Y689" s="34"/>
      <c r="Z689" s="34"/>
    </row>
    <row r="690">
      <c r="A690" s="31" t="s">
        <v>1022</v>
      </c>
      <c r="B690" s="31" t="s">
        <v>2006</v>
      </c>
      <c r="C690" s="31" t="s">
        <v>57</v>
      </c>
      <c r="D690" s="31">
        <v>7.0</v>
      </c>
      <c r="E690" s="34"/>
      <c r="F690" s="34"/>
      <c r="G690" s="34"/>
      <c r="H690" s="31" t="s">
        <v>1195</v>
      </c>
      <c r="I690" s="34"/>
      <c r="J690" s="35"/>
      <c r="K690" s="34"/>
      <c r="L690" s="34"/>
      <c r="M690" s="34"/>
      <c r="N690" s="34"/>
      <c r="O690" s="34"/>
      <c r="P690" s="34"/>
      <c r="Q690" s="34"/>
      <c r="R690" s="34"/>
      <c r="S690" s="34"/>
      <c r="T690" s="34"/>
      <c r="U690" s="34"/>
      <c r="V690" s="34"/>
      <c r="W690" s="34"/>
      <c r="X690" s="34"/>
      <c r="Y690" s="34"/>
      <c r="Z690" s="34"/>
    </row>
    <row r="691">
      <c r="A691" s="31" t="s">
        <v>1022</v>
      </c>
      <c r="B691" s="31" t="s">
        <v>2007</v>
      </c>
      <c r="C691" s="31" t="s">
        <v>66</v>
      </c>
      <c r="D691" s="31">
        <v>6.0</v>
      </c>
      <c r="E691" s="34"/>
      <c r="F691" s="34"/>
      <c r="G691" s="34"/>
      <c r="H691" s="36">
        <v>45767.0</v>
      </c>
      <c r="I691" s="34"/>
      <c r="J691" s="35"/>
      <c r="K691" s="34"/>
      <c r="L691" s="34"/>
      <c r="M691" s="34"/>
      <c r="N691" s="34"/>
      <c r="O691" s="34"/>
      <c r="P691" s="34"/>
      <c r="Q691" s="34"/>
      <c r="R691" s="34"/>
      <c r="S691" s="34"/>
      <c r="T691" s="34"/>
      <c r="U691" s="34"/>
      <c r="V691" s="34"/>
      <c r="W691" s="34"/>
      <c r="X691" s="34"/>
      <c r="Y691" s="34"/>
      <c r="Z691" s="34"/>
    </row>
    <row r="692">
      <c r="A692" s="31" t="s">
        <v>1022</v>
      </c>
      <c r="B692" s="31" t="s">
        <v>2008</v>
      </c>
      <c r="C692" s="31" t="s">
        <v>57</v>
      </c>
      <c r="D692" s="31">
        <v>7.5</v>
      </c>
      <c r="E692" s="34"/>
      <c r="F692" s="34"/>
      <c r="G692" s="34"/>
      <c r="H692" s="36">
        <v>45767.0</v>
      </c>
      <c r="I692" s="34"/>
      <c r="J692" s="35"/>
      <c r="K692" s="34"/>
      <c r="L692" s="34"/>
      <c r="M692" s="34"/>
      <c r="N692" s="34"/>
      <c r="O692" s="34"/>
      <c r="P692" s="34"/>
      <c r="Q692" s="34"/>
      <c r="R692" s="34"/>
      <c r="S692" s="34"/>
      <c r="T692" s="34"/>
      <c r="U692" s="34"/>
      <c r="V692" s="34"/>
      <c r="W692" s="34"/>
      <c r="X692" s="34"/>
      <c r="Y692" s="34"/>
      <c r="Z692" s="34"/>
    </row>
    <row r="693">
      <c r="A693" s="31" t="s">
        <v>1022</v>
      </c>
      <c r="B693" s="31" t="s">
        <v>2009</v>
      </c>
      <c r="C693" s="31" t="s">
        <v>66</v>
      </c>
      <c r="D693" s="31">
        <v>10.0</v>
      </c>
      <c r="E693" s="31">
        <v>25.0</v>
      </c>
      <c r="F693" s="31">
        <v>0.0</v>
      </c>
      <c r="G693" s="34">
        <f t="shared" ref="G693:G695" si="109">E693-F693-D693</f>
        <v>15</v>
      </c>
      <c r="H693" s="34"/>
      <c r="I693" s="34"/>
      <c r="J693" s="35"/>
      <c r="K693" s="34"/>
      <c r="L693" s="34"/>
      <c r="M693" s="34"/>
      <c r="N693" s="34"/>
      <c r="O693" s="34"/>
      <c r="P693" s="34"/>
      <c r="Q693" s="34"/>
      <c r="R693" s="34"/>
      <c r="S693" s="34"/>
      <c r="T693" s="34"/>
      <c r="U693" s="34"/>
      <c r="V693" s="34"/>
      <c r="W693" s="34"/>
      <c r="X693" s="34"/>
      <c r="Y693" s="34"/>
      <c r="Z693" s="34"/>
    </row>
    <row r="694">
      <c r="A694" s="31" t="s">
        <v>1022</v>
      </c>
      <c r="B694" s="31" t="s">
        <v>2010</v>
      </c>
      <c r="C694" s="31" t="s">
        <v>57</v>
      </c>
      <c r="D694" s="31">
        <v>7.5</v>
      </c>
      <c r="E694" s="31">
        <v>30.0</v>
      </c>
      <c r="F694" s="31">
        <v>5.65</v>
      </c>
      <c r="G694" s="34">
        <f t="shared" si="109"/>
        <v>16.85</v>
      </c>
      <c r="H694" s="34"/>
      <c r="I694" s="34"/>
      <c r="J694" s="35"/>
      <c r="K694" s="34"/>
      <c r="L694" s="34"/>
      <c r="M694" s="34"/>
      <c r="N694" s="34"/>
      <c r="O694" s="34"/>
      <c r="P694" s="34"/>
      <c r="Q694" s="34"/>
      <c r="R694" s="34"/>
      <c r="S694" s="34"/>
      <c r="T694" s="34"/>
      <c r="U694" s="34"/>
      <c r="V694" s="34"/>
      <c r="W694" s="34"/>
      <c r="X694" s="34"/>
      <c r="Y694" s="34"/>
      <c r="Z694" s="34"/>
    </row>
    <row r="695">
      <c r="A695" s="31" t="s">
        <v>1022</v>
      </c>
      <c r="B695" s="31" t="s">
        <v>2011</v>
      </c>
      <c r="C695" s="31" t="s">
        <v>66</v>
      </c>
      <c r="D695" s="31">
        <v>8.0</v>
      </c>
      <c r="E695" s="31">
        <v>27.5</v>
      </c>
      <c r="F695" s="31">
        <v>5.01</v>
      </c>
      <c r="G695" s="34">
        <f t="shared" si="109"/>
        <v>14.49</v>
      </c>
      <c r="H695" s="34"/>
      <c r="I695" s="34"/>
      <c r="J695" s="35"/>
      <c r="K695" s="34"/>
      <c r="L695" s="34"/>
      <c r="M695" s="34"/>
      <c r="N695" s="34"/>
      <c r="O695" s="34"/>
      <c r="P695" s="34"/>
      <c r="Q695" s="34"/>
      <c r="R695" s="34"/>
      <c r="S695" s="34"/>
      <c r="T695" s="34"/>
      <c r="U695" s="34"/>
      <c r="V695" s="34"/>
      <c r="W695" s="34"/>
      <c r="X695" s="34"/>
      <c r="Y695" s="34"/>
      <c r="Z695" s="34"/>
    </row>
    <row r="696">
      <c r="A696" s="31" t="s">
        <v>1031</v>
      </c>
      <c r="B696" s="31" t="s">
        <v>2012</v>
      </c>
      <c r="C696" s="31"/>
      <c r="D696" s="31">
        <v>2.0</v>
      </c>
      <c r="E696" s="31">
        <v>25.0</v>
      </c>
      <c r="F696" s="31">
        <v>0.0</v>
      </c>
      <c r="G696" s="34">
        <f t="shared" ref="G696:G698" si="110">E696-D696</f>
        <v>23</v>
      </c>
      <c r="H696" s="36">
        <v>46131.0</v>
      </c>
      <c r="I696" s="34"/>
      <c r="J696" s="34"/>
      <c r="K696" s="34"/>
      <c r="L696" s="34"/>
      <c r="M696" s="34"/>
      <c r="N696" s="34"/>
      <c r="O696" s="34"/>
      <c r="P696" s="34"/>
      <c r="Q696" s="34"/>
      <c r="R696" s="34"/>
      <c r="S696" s="34"/>
      <c r="T696" s="34"/>
      <c r="U696" s="34"/>
      <c r="V696" s="34"/>
      <c r="W696" s="34"/>
      <c r="X696" s="34"/>
      <c r="Y696" s="34"/>
      <c r="Z696" s="34"/>
    </row>
    <row r="697">
      <c r="A697" s="31" t="s">
        <v>1031</v>
      </c>
      <c r="B697" s="31" t="s">
        <v>2013</v>
      </c>
      <c r="C697" s="34"/>
      <c r="D697" s="31">
        <v>4.0</v>
      </c>
      <c r="E697" s="31">
        <v>15.0</v>
      </c>
      <c r="F697" s="31">
        <v>0.0</v>
      </c>
      <c r="G697" s="34">
        <f t="shared" si="110"/>
        <v>11</v>
      </c>
      <c r="H697" s="36">
        <v>46131.0</v>
      </c>
      <c r="I697" s="34"/>
      <c r="J697" s="34"/>
      <c r="K697" s="34"/>
      <c r="L697" s="34"/>
      <c r="M697" s="34"/>
      <c r="N697" s="34"/>
      <c r="O697" s="34"/>
      <c r="P697" s="34"/>
      <c r="Q697" s="34"/>
      <c r="R697" s="34"/>
      <c r="S697" s="34"/>
      <c r="T697" s="34"/>
      <c r="U697" s="34"/>
      <c r="V697" s="34"/>
      <c r="W697" s="34"/>
      <c r="X697" s="34"/>
      <c r="Y697" s="34"/>
      <c r="Z697" s="34"/>
    </row>
    <row r="698">
      <c r="A698" s="31" t="s">
        <v>1031</v>
      </c>
      <c r="B698" s="31" t="s">
        <v>2014</v>
      </c>
      <c r="C698" s="34"/>
      <c r="D698" s="31">
        <v>3.5</v>
      </c>
      <c r="E698" s="31">
        <v>25.0</v>
      </c>
      <c r="F698" s="31">
        <v>0.0</v>
      </c>
      <c r="G698" s="34">
        <f t="shared" si="110"/>
        <v>21.5</v>
      </c>
      <c r="H698" s="36">
        <v>46131.0</v>
      </c>
      <c r="I698" s="34"/>
      <c r="J698" s="34"/>
      <c r="K698" s="34"/>
      <c r="L698" s="34"/>
      <c r="M698" s="34"/>
      <c r="N698" s="34"/>
      <c r="O698" s="34"/>
      <c r="P698" s="34"/>
      <c r="Q698" s="34"/>
      <c r="R698" s="34"/>
      <c r="S698" s="34"/>
      <c r="T698" s="34"/>
      <c r="U698" s="34"/>
      <c r="V698" s="34"/>
      <c r="W698" s="34"/>
      <c r="X698" s="34"/>
      <c r="Y698" s="34"/>
      <c r="Z698" s="34"/>
    </row>
    <row r="699">
      <c r="A699" s="31" t="s">
        <v>1031</v>
      </c>
      <c r="B699" s="31" t="s">
        <v>2015</v>
      </c>
      <c r="C699" s="31"/>
      <c r="D699" s="31">
        <v>3.5</v>
      </c>
      <c r="E699" s="31">
        <v>25.0</v>
      </c>
      <c r="F699" s="31">
        <v>0.0</v>
      </c>
      <c r="G699" s="34">
        <f t="shared" ref="G699:G701" si="111">E699-F699-D699</f>
        <v>21.5</v>
      </c>
      <c r="H699" s="31" t="s">
        <v>1190</v>
      </c>
      <c r="I699" s="34"/>
      <c r="J699" s="35"/>
      <c r="K699" s="34"/>
      <c r="L699" s="34"/>
      <c r="M699" s="34"/>
      <c r="N699" s="34"/>
      <c r="O699" s="34"/>
      <c r="P699" s="34"/>
      <c r="Q699" s="34"/>
      <c r="R699" s="34"/>
      <c r="S699" s="34"/>
      <c r="T699" s="34"/>
      <c r="U699" s="34"/>
      <c r="V699" s="34"/>
      <c r="W699" s="34"/>
      <c r="X699" s="34"/>
      <c r="Y699" s="34"/>
      <c r="Z699" s="34"/>
    </row>
    <row r="700">
      <c r="A700" s="31" t="s">
        <v>1031</v>
      </c>
      <c r="B700" s="31" t="s">
        <v>2016</v>
      </c>
      <c r="C700" s="31"/>
      <c r="D700" s="31">
        <v>2.5</v>
      </c>
      <c r="E700" s="31">
        <v>20.0</v>
      </c>
      <c r="F700" s="31">
        <v>0.0</v>
      </c>
      <c r="G700" s="34">
        <f t="shared" si="111"/>
        <v>17.5</v>
      </c>
      <c r="H700" s="31" t="s">
        <v>1190</v>
      </c>
      <c r="I700" s="34"/>
      <c r="J700" s="35"/>
      <c r="K700" s="34"/>
      <c r="L700" s="34"/>
      <c r="M700" s="34"/>
      <c r="N700" s="34"/>
      <c r="O700" s="34"/>
      <c r="P700" s="34"/>
      <c r="Q700" s="34"/>
      <c r="R700" s="34"/>
      <c r="S700" s="34"/>
      <c r="T700" s="34"/>
      <c r="U700" s="34"/>
      <c r="V700" s="34"/>
      <c r="W700" s="34"/>
      <c r="X700" s="34"/>
      <c r="Y700" s="34"/>
      <c r="Z700" s="34"/>
    </row>
    <row r="701">
      <c r="A701" s="31" t="s">
        <v>1031</v>
      </c>
      <c r="B701" s="31" t="s">
        <v>2017</v>
      </c>
      <c r="C701" s="31"/>
      <c r="D701" s="31">
        <v>1.5</v>
      </c>
      <c r="E701" s="31">
        <v>10.0</v>
      </c>
      <c r="F701" s="31">
        <v>0.0</v>
      </c>
      <c r="G701" s="34">
        <f t="shared" si="111"/>
        <v>8.5</v>
      </c>
      <c r="H701" s="31" t="s">
        <v>1190</v>
      </c>
      <c r="I701" s="34"/>
      <c r="J701" s="35"/>
      <c r="K701" s="34"/>
      <c r="L701" s="34"/>
      <c r="M701" s="34"/>
      <c r="N701" s="34"/>
      <c r="O701" s="34"/>
      <c r="P701" s="34"/>
      <c r="Q701" s="34"/>
      <c r="R701" s="34"/>
      <c r="S701" s="34"/>
      <c r="T701" s="34"/>
      <c r="U701" s="34"/>
      <c r="V701" s="34"/>
      <c r="W701" s="34"/>
      <c r="X701" s="34"/>
      <c r="Y701" s="34"/>
      <c r="Z701" s="34"/>
    </row>
    <row r="702">
      <c r="A702" s="10" t="s">
        <v>1031</v>
      </c>
      <c r="B702" s="10" t="s">
        <v>2018</v>
      </c>
      <c r="C702" s="10"/>
      <c r="D702" s="10">
        <v>2.5</v>
      </c>
      <c r="E702" s="10">
        <v>20.0</v>
      </c>
      <c r="F702" s="10">
        <v>0.0</v>
      </c>
      <c r="G702" s="11">
        <f t="shared" ref="G702:G706" si="112">E702-D702</f>
        <v>17.5</v>
      </c>
      <c r="H702" s="49">
        <v>45976.0</v>
      </c>
      <c r="I702" s="11"/>
      <c r="J702" s="12"/>
      <c r="K702" s="11"/>
      <c r="L702" s="11"/>
      <c r="M702" s="11"/>
      <c r="N702" s="11"/>
      <c r="O702" s="11"/>
      <c r="P702" s="11"/>
      <c r="Q702" s="11"/>
      <c r="R702" s="11"/>
      <c r="S702" s="11"/>
      <c r="T702" s="11"/>
      <c r="U702" s="11"/>
      <c r="V702" s="11"/>
      <c r="W702" s="11"/>
      <c r="X702" s="11"/>
      <c r="Y702" s="11"/>
      <c r="Z702" s="11"/>
    </row>
    <row r="703">
      <c r="A703" s="10" t="s">
        <v>1031</v>
      </c>
      <c r="B703" s="10" t="s">
        <v>2019</v>
      </c>
      <c r="C703" s="11"/>
      <c r="D703" s="10">
        <v>2.5</v>
      </c>
      <c r="E703" s="10">
        <v>25.0</v>
      </c>
      <c r="F703" s="10">
        <v>0.0</v>
      </c>
      <c r="G703" s="11">
        <f t="shared" si="112"/>
        <v>22.5</v>
      </c>
      <c r="H703" s="49">
        <v>45976.0</v>
      </c>
      <c r="I703" s="11"/>
      <c r="J703" s="11"/>
      <c r="K703" s="11"/>
      <c r="L703" s="11"/>
      <c r="M703" s="11"/>
      <c r="N703" s="11"/>
      <c r="O703" s="11"/>
      <c r="P703" s="11"/>
      <c r="Q703" s="11"/>
      <c r="R703" s="11"/>
      <c r="S703" s="11"/>
      <c r="T703" s="11"/>
      <c r="U703" s="11"/>
      <c r="V703" s="11"/>
      <c r="W703" s="11"/>
      <c r="X703" s="11"/>
      <c r="Y703" s="11"/>
      <c r="Z703" s="11"/>
    </row>
    <row r="704">
      <c r="A704" s="10" t="s">
        <v>1031</v>
      </c>
      <c r="B704" s="10" t="s">
        <v>2020</v>
      </c>
      <c r="C704" s="10"/>
      <c r="D704" s="10">
        <v>2.5</v>
      </c>
      <c r="E704" s="10">
        <v>20.0</v>
      </c>
      <c r="F704" s="10">
        <v>0.0</v>
      </c>
      <c r="G704" s="11">
        <f t="shared" si="112"/>
        <v>17.5</v>
      </c>
      <c r="H704" s="49">
        <v>45976.0</v>
      </c>
      <c r="I704" s="11"/>
      <c r="J704" s="12"/>
      <c r="K704" s="11"/>
      <c r="L704" s="11"/>
      <c r="M704" s="11"/>
      <c r="N704" s="11"/>
      <c r="O704" s="11"/>
      <c r="P704" s="11"/>
      <c r="Q704" s="11"/>
      <c r="R704" s="11"/>
      <c r="S704" s="11"/>
      <c r="T704" s="11"/>
      <c r="U704" s="11"/>
      <c r="V704" s="11"/>
      <c r="W704" s="11"/>
      <c r="X704" s="11"/>
      <c r="Y704" s="11"/>
      <c r="Z704" s="11"/>
    </row>
    <row r="705">
      <c r="A705" s="10" t="s">
        <v>1031</v>
      </c>
      <c r="B705" s="10" t="s">
        <v>2020</v>
      </c>
      <c r="C705" s="10"/>
      <c r="D705" s="10">
        <v>2.5</v>
      </c>
      <c r="E705" s="10">
        <v>20.0</v>
      </c>
      <c r="F705" s="10">
        <v>0.0</v>
      </c>
      <c r="G705" s="11">
        <f t="shared" si="112"/>
        <v>17.5</v>
      </c>
      <c r="H705" s="49">
        <v>45976.0</v>
      </c>
      <c r="I705" s="11"/>
      <c r="J705" s="12"/>
      <c r="K705" s="11"/>
      <c r="L705" s="11"/>
      <c r="M705" s="11"/>
      <c r="N705" s="11"/>
      <c r="O705" s="11"/>
      <c r="P705" s="11"/>
      <c r="Q705" s="11"/>
      <c r="R705" s="11"/>
      <c r="S705" s="11"/>
      <c r="T705" s="11"/>
      <c r="U705" s="11"/>
      <c r="V705" s="11"/>
      <c r="W705" s="11"/>
      <c r="X705" s="11"/>
      <c r="Y705" s="11"/>
      <c r="Z705" s="11"/>
    </row>
    <row r="706">
      <c r="A706" s="10" t="s">
        <v>1031</v>
      </c>
      <c r="B706" s="10" t="s">
        <v>2021</v>
      </c>
      <c r="C706" s="10"/>
      <c r="D706" s="10">
        <v>5.5</v>
      </c>
      <c r="E706" s="10">
        <v>30.0</v>
      </c>
      <c r="F706" s="10">
        <v>0.0</v>
      </c>
      <c r="G706" s="11">
        <f t="shared" si="112"/>
        <v>24.5</v>
      </c>
      <c r="H706" s="49">
        <v>45976.0</v>
      </c>
      <c r="I706" s="11"/>
      <c r="J706" s="12"/>
      <c r="K706" s="11"/>
      <c r="L706" s="11"/>
      <c r="M706" s="11"/>
      <c r="N706" s="11"/>
      <c r="O706" s="11"/>
      <c r="P706" s="11"/>
      <c r="Q706" s="11"/>
      <c r="R706" s="11"/>
      <c r="S706" s="11"/>
      <c r="T706" s="11"/>
      <c r="U706" s="11"/>
      <c r="V706" s="11"/>
      <c r="W706" s="11"/>
      <c r="X706" s="11"/>
      <c r="Y706" s="11"/>
      <c r="Z706" s="11"/>
    </row>
    <row r="707">
      <c r="A707" s="31" t="s">
        <v>1031</v>
      </c>
      <c r="B707" s="31" t="s">
        <v>2022</v>
      </c>
      <c r="C707" s="31"/>
      <c r="D707" s="31">
        <v>2.5</v>
      </c>
      <c r="E707" s="31">
        <v>25.09</v>
      </c>
      <c r="F707" s="31">
        <v>5.09</v>
      </c>
      <c r="G707" s="34">
        <f>E707-F707-D707</f>
        <v>17.5</v>
      </c>
      <c r="H707" s="34"/>
      <c r="I707" s="34"/>
      <c r="J707" s="35"/>
      <c r="K707" s="34"/>
      <c r="L707" s="34"/>
      <c r="M707" s="34"/>
      <c r="N707" s="34"/>
      <c r="O707" s="34"/>
      <c r="P707" s="34"/>
      <c r="Q707" s="34"/>
      <c r="R707" s="34"/>
      <c r="S707" s="34"/>
      <c r="T707" s="34"/>
      <c r="U707" s="34"/>
      <c r="V707" s="34"/>
      <c r="W707" s="34"/>
      <c r="X707" s="34"/>
      <c r="Y707" s="34"/>
      <c r="Z707" s="34"/>
    </row>
    <row r="708">
      <c r="A708" s="10" t="s">
        <v>1031</v>
      </c>
      <c r="B708" s="10" t="s">
        <v>2023</v>
      </c>
      <c r="C708" s="10"/>
      <c r="D708" s="10">
        <v>1.5</v>
      </c>
      <c r="E708" s="11"/>
      <c r="F708" s="11"/>
      <c r="G708" s="11"/>
      <c r="H708" s="63">
        <v>45935.0</v>
      </c>
      <c r="I708" s="11"/>
      <c r="J708" s="12"/>
      <c r="K708" s="11"/>
      <c r="L708" s="11"/>
      <c r="M708" s="11"/>
      <c r="N708" s="11"/>
      <c r="O708" s="11"/>
      <c r="P708" s="11"/>
      <c r="Q708" s="11"/>
      <c r="R708" s="11"/>
      <c r="S708" s="11"/>
      <c r="T708" s="11"/>
      <c r="U708" s="11"/>
      <c r="V708" s="11"/>
      <c r="W708" s="11"/>
      <c r="X708" s="11"/>
      <c r="Y708" s="11"/>
      <c r="Z708" s="11"/>
    </row>
    <row r="709">
      <c r="A709" s="10" t="s">
        <v>1031</v>
      </c>
      <c r="B709" s="10" t="s">
        <v>2024</v>
      </c>
      <c r="C709" s="10"/>
      <c r="D709" s="10">
        <v>1.5</v>
      </c>
      <c r="E709" s="11"/>
      <c r="F709" s="11"/>
      <c r="G709" s="11"/>
      <c r="H709" s="63">
        <v>45935.0</v>
      </c>
      <c r="I709" s="11"/>
      <c r="J709" s="12"/>
      <c r="K709" s="11"/>
      <c r="L709" s="11"/>
      <c r="M709" s="11"/>
      <c r="N709" s="11"/>
      <c r="O709" s="11"/>
      <c r="P709" s="11"/>
      <c r="Q709" s="11"/>
      <c r="R709" s="11"/>
      <c r="S709" s="11"/>
      <c r="T709" s="11"/>
      <c r="U709" s="11"/>
      <c r="V709" s="11"/>
      <c r="W709" s="11"/>
      <c r="X709" s="11"/>
      <c r="Y709" s="11"/>
      <c r="Z709" s="11"/>
    </row>
    <row r="710">
      <c r="A710" s="57" t="s">
        <v>1031</v>
      </c>
      <c r="B710" s="57" t="s">
        <v>2025</v>
      </c>
      <c r="C710" s="57"/>
      <c r="D710" s="57">
        <v>2.5</v>
      </c>
      <c r="E710" s="57">
        <v>20.0</v>
      </c>
      <c r="F710" s="57">
        <v>0.0</v>
      </c>
      <c r="G710" s="58">
        <f t="shared" ref="G710:G712" si="113">E710-F710-D710</f>
        <v>17.5</v>
      </c>
      <c r="H710" s="58"/>
      <c r="I710" s="58"/>
      <c r="J710" s="59"/>
      <c r="K710" s="58"/>
      <c r="L710" s="58"/>
      <c r="M710" s="58"/>
      <c r="N710" s="58"/>
      <c r="O710" s="58"/>
      <c r="P710" s="58"/>
      <c r="Q710" s="58"/>
      <c r="R710" s="58"/>
      <c r="S710" s="58"/>
      <c r="T710" s="58"/>
      <c r="U710" s="58"/>
      <c r="V710" s="58"/>
      <c r="W710" s="58"/>
      <c r="X710" s="58"/>
      <c r="Y710" s="58"/>
      <c r="Z710" s="58"/>
    </row>
    <row r="711">
      <c r="A711" s="51" t="s">
        <v>1031</v>
      </c>
      <c r="B711" s="51" t="s">
        <v>2026</v>
      </c>
      <c r="C711" s="51"/>
      <c r="D711" s="51">
        <v>10.0</v>
      </c>
      <c r="E711" s="51">
        <v>40.0</v>
      </c>
      <c r="F711" s="51">
        <v>0.0</v>
      </c>
      <c r="G711" s="52">
        <f t="shared" si="113"/>
        <v>30</v>
      </c>
      <c r="H711" s="52"/>
      <c r="I711" s="52"/>
      <c r="J711" s="53"/>
      <c r="K711" s="52"/>
      <c r="L711" s="52"/>
      <c r="M711" s="52"/>
      <c r="N711" s="52"/>
      <c r="O711" s="52"/>
      <c r="P711" s="52"/>
      <c r="Q711" s="52"/>
      <c r="R711" s="52"/>
      <c r="S711" s="52"/>
      <c r="T711" s="52"/>
      <c r="U711" s="52"/>
      <c r="V711" s="52"/>
      <c r="W711" s="52"/>
      <c r="X711" s="52"/>
      <c r="Y711" s="52"/>
      <c r="Z711" s="52"/>
    </row>
    <row r="712">
      <c r="A712" s="51" t="s">
        <v>1031</v>
      </c>
      <c r="B712" s="51" t="s">
        <v>2027</v>
      </c>
      <c r="C712" s="51" t="s">
        <v>57</v>
      </c>
      <c r="D712" s="51">
        <v>7.0</v>
      </c>
      <c r="E712" s="51">
        <v>30.0</v>
      </c>
      <c r="F712" s="51">
        <v>0.0</v>
      </c>
      <c r="G712" s="52">
        <f t="shared" si="113"/>
        <v>23</v>
      </c>
      <c r="H712" s="52"/>
      <c r="I712" s="52"/>
      <c r="J712" s="53"/>
      <c r="K712" s="52"/>
      <c r="L712" s="52"/>
      <c r="M712" s="52"/>
      <c r="N712" s="52"/>
      <c r="O712" s="52"/>
      <c r="P712" s="52"/>
      <c r="Q712" s="52"/>
      <c r="R712" s="52"/>
      <c r="S712" s="52"/>
      <c r="T712" s="52"/>
      <c r="U712" s="52"/>
      <c r="V712" s="52"/>
      <c r="W712" s="52"/>
      <c r="X712" s="52"/>
      <c r="Y712" s="52"/>
      <c r="Z712" s="52"/>
    </row>
    <row r="713">
      <c r="A713" s="31" t="s">
        <v>1031</v>
      </c>
      <c r="B713" s="31" t="s">
        <v>2028</v>
      </c>
      <c r="C713" s="31"/>
      <c r="D713" s="31">
        <v>4.5</v>
      </c>
      <c r="E713" s="34"/>
      <c r="F713" s="34"/>
      <c r="G713" s="34"/>
      <c r="H713" s="37">
        <v>45696.0</v>
      </c>
      <c r="I713" s="69" t="s">
        <v>2029</v>
      </c>
      <c r="J713" s="35"/>
      <c r="K713" s="34"/>
      <c r="L713" s="34"/>
      <c r="M713" s="34"/>
      <c r="N713" s="34"/>
      <c r="O713" s="34"/>
      <c r="P713" s="34"/>
      <c r="Q713" s="34"/>
      <c r="R713" s="34"/>
      <c r="S713" s="34"/>
      <c r="T713" s="34"/>
      <c r="U713" s="34"/>
      <c r="V713" s="34"/>
      <c r="W713" s="34"/>
      <c r="X713" s="34"/>
      <c r="Y713" s="34"/>
      <c r="Z713" s="34"/>
    </row>
    <row r="714">
      <c r="A714" s="42" t="s">
        <v>1057</v>
      </c>
      <c r="B714" s="42" t="s">
        <v>2030</v>
      </c>
      <c r="C714" s="42" t="s">
        <v>66</v>
      </c>
      <c r="D714" s="42">
        <v>7.0</v>
      </c>
      <c r="E714" s="42">
        <v>44.03</v>
      </c>
      <c r="F714" s="42">
        <v>4.8</v>
      </c>
      <c r="G714" s="43">
        <f t="shared" ref="G714:G715" si="114">E714-F714-D714</f>
        <v>32.23</v>
      </c>
      <c r="H714" s="42" t="s">
        <v>1202</v>
      </c>
      <c r="I714" s="42"/>
      <c r="J714" s="44"/>
      <c r="K714" s="43"/>
      <c r="L714" s="43"/>
      <c r="M714" s="43"/>
      <c r="N714" s="43"/>
      <c r="O714" s="43"/>
      <c r="P714" s="43"/>
      <c r="Q714" s="43"/>
      <c r="R714" s="43"/>
      <c r="S714" s="43"/>
      <c r="T714" s="43"/>
      <c r="U714" s="43"/>
      <c r="V714" s="43"/>
      <c r="W714" s="43"/>
      <c r="X714" s="43"/>
      <c r="Y714" s="43"/>
      <c r="Z714" s="43"/>
    </row>
    <row r="715">
      <c r="A715" s="42" t="s">
        <v>1051</v>
      </c>
      <c r="B715" s="42" t="s">
        <v>2031</v>
      </c>
      <c r="C715" s="42" t="s">
        <v>95</v>
      </c>
      <c r="D715" s="42">
        <v>8.0</v>
      </c>
      <c r="E715" s="42">
        <v>34.0</v>
      </c>
      <c r="F715" s="42">
        <v>3.7</v>
      </c>
      <c r="G715" s="43">
        <f t="shared" si="114"/>
        <v>22.3</v>
      </c>
      <c r="H715" s="42" t="s">
        <v>1202</v>
      </c>
      <c r="I715" s="43"/>
      <c r="J715" s="44"/>
      <c r="K715" s="43"/>
      <c r="L715" s="43"/>
      <c r="M715" s="43"/>
      <c r="N715" s="43"/>
      <c r="O715" s="43"/>
      <c r="P715" s="43"/>
      <c r="Q715" s="43"/>
      <c r="R715" s="43"/>
      <c r="S715" s="43"/>
      <c r="T715" s="43"/>
      <c r="U715" s="43"/>
      <c r="V715" s="43"/>
      <c r="W715" s="43"/>
      <c r="X715" s="43"/>
      <c r="Y715" s="43"/>
      <c r="Z715" s="43"/>
    </row>
    <row r="716">
      <c r="A716" s="31" t="s">
        <v>1051</v>
      </c>
      <c r="B716" s="31" t="s">
        <v>2032</v>
      </c>
      <c r="C716" s="31" t="s">
        <v>66</v>
      </c>
      <c r="D716" s="31">
        <v>3.65</v>
      </c>
      <c r="E716" s="31">
        <v>25.0</v>
      </c>
      <c r="F716" s="31">
        <v>0.0</v>
      </c>
      <c r="G716" s="34">
        <f>E716-D716</f>
        <v>21.35</v>
      </c>
      <c r="H716" s="36">
        <v>46131.0</v>
      </c>
      <c r="I716" s="31"/>
      <c r="J716" s="35"/>
      <c r="K716" s="34"/>
      <c r="L716" s="34"/>
      <c r="M716" s="34"/>
      <c r="N716" s="34"/>
      <c r="O716" s="34"/>
      <c r="P716" s="34"/>
      <c r="Q716" s="34"/>
      <c r="R716" s="34"/>
      <c r="S716" s="34"/>
      <c r="T716" s="34"/>
      <c r="U716" s="34"/>
      <c r="V716" s="34"/>
      <c r="W716" s="34"/>
      <c r="X716" s="34"/>
      <c r="Y716" s="34"/>
      <c r="Z716" s="34"/>
    </row>
    <row r="717">
      <c r="A717" s="31" t="s">
        <v>1051</v>
      </c>
      <c r="B717" s="31" t="s">
        <v>2033</v>
      </c>
      <c r="C717" s="31" t="s">
        <v>51</v>
      </c>
      <c r="D717" s="31">
        <v>7.0</v>
      </c>
      <c r="E717" s="34"/>
      <c r="F717" s="34"/>
      <c r="G717" s="34"/>
      <c r="H717" s="36">
        <v>45767.0</v>
      </c>
      <c r="I717" s="31"/>
      <c r="J717" s="35"/>
      <c r="K717" s="34"/>
      <c r="L717" s="34"/>
      <c r="M717" s="34"/>
      <c r="N717" s="34"/>
      <c r="O717" s="34"/>
      <c r="P717" s="34"/>
      <c r="Q717" s="34"/>
      <c r="R717" s="34"/>
      <c r="S717" s="34"/>
      <c r="T717" s="34"/>
      <c r="U717" s="34"/>
      <c r="V717" s="34"/>
      <c r="W717" s="34"/>
      <c r="X717" s="34"/>
      <c r="Y717" s="34"/>
      <c r="Z717" s="34"/>
    </row>
    <row r="718">
      <c r="A718" s="10" t="s">
        <v>1051</v>
      </c>
      <c r="B718" s="10" t="s">
        <v>2034</v>
      </c>
      <c r="C718" s="10">
        <v>6.0</v>
      </c>
      <c r="D718" s="10">
        <v>23.4</v>
      </c>
      <c r="E718" s="10">
        <v>35.0</v>
      </c>
      <c r="F718" s="10">
        <v>0.0</v>
      </c>
      <c r="G718" s="11">
        <f t="shared" ref="G718:G719" si="115">E718-F718-D718</f>
        <v>11.6</v>
      </c>
      <c r="H718" s="49">
        <v>45976.0</v>
      </c>
      <c r="I718" s="10"/>
      <c r="J718" s="12"/>
      <c r="K718" s="11"/>
      <c r="L718" s="11"/>
      <c r="M718" s="11"/>
      <c r="N718" s="11"/>
      <c r="O718" s="11"/>
      <c r="P718" s="11"/>
      <c r="Q718" s="11"/>
      <c r="R718" s="11"/>
      <c r="S718" s="11"/>
      <c r="T718" s="11"/>
      <c r="U718" s="11"/>
      <c r="V718" s="11"/>
      <c r="W718" s="11"/>
      <c r="X718" s="11"/>
      <c r="Y718" s="11"/>
      <c r="Z718" s="11"/>
    </row>
    <row r="719">
      <c r="A719" s="10" t="s">
        <v>2035</v>
      </c>
      <c r="B719" s="10" t="s">
        <v>2036</v>
      </c>
      <c r="C719" s="10">
        <v>4.0</v>
      </c>
      <c r="D719" s="10">
        <v>15.0</v>
      </c>
      <c r="E719" s="10">
        <v>30.0</v>
      </c>
      <c r="F719" s="10">
        <v>0.0</v>
      </c>
      <c r="G719" s="11">
        <f t="shared" si="115"/>
        <v>15</v>
      </c>
      <c r="H719" s="49">
        <v>45976.0</v>
      </c>
      <c r="I719" s="11"/>
      <c r="J719" s="12"/>
      <c r="K719" s="11"/>
      <c r="L719" s="11"/>
      <c r="M719" s="11"/>
      <c r="N719" s="11"/>
      <c r="O719" s="11"/>
      <c r="P719" s="11"/>
      <c r="Q719" s="11"/>
      <c r="R719" s="11"/>
      <c r="S719" s="11"/>
      <c r="T719" s="11"/>
      <c r="U719" s="11"/>
      <c r="V719" s="11"/>
      <c r="W719" s="11"/>
      <c r="X719" s="11"/>
      <c r="Y719" s="11"/>
      <c r="Z719" s="11"/>
    </row>
    <row r="720">
      <c r="A720" s="31" t="s">
        <v>1068</v>
      </c>
      <c r="B720" s="31" t="s">
        <v>2037</v>
      </c>
      <c r="C720" s="31" t="s">
        <v>51</v>
      </c>
      <c r="D720" s="31">
        <v>6.99</v>
      </c>
      <c r="E720" s="34"/>
      <c r="F720" s="34"/>
      <c r="G720" s="34"/>
      <c r="H720" s="31" t="s">
        <v>1195</v>
      </c>
      <c r="I720" s="31"/>
      <c r="J720" s="35"/>
      <c r="K720" s="34"/>
      <c r="L720" s="34"/>
      <c r="M720" s="34"/>
      <c r="N720" s="34"/>
      <c r="O720" s="34"/>
      <c r="P720" s="34"/>
      <c r="Q720" s="34"/>
      <c r="R720" s="34"/>
      <c r="S720" s="34"/>
      <c r="T720" s="34"/>
      <c r="U720" s="34"/>
      <c r="V720" s="34"/>
      <c r="W720" s="34"/>
      <c r="X720" s="34"/>
      <c r="Y720" s="34"/>
      <c r="Z720" s="34"/>
    </row>
    <row r="721">
      <c r="A721" s="10" t="s">
        <v>2038</v>
      </c>
      <c r="B721" s="10" t="s">
        <v>2039</v>
      </c>
      <c r="C721" s="10"/>
      <c r="D721" s="10">
        <v>5.5</v>
      </c>
      <c r="E721" s="10">
        <v>25.0</v>
      </c>
      <c r="F721" s="10">
        <v>0.0</v>
      </c>
      <c r="G721" s="11">
        <f>E721-D721</f>
        <v>19.5</v>
      </c>
      <c r="H721" s="49">
        <v>45976.0</v>
      </c>
      <c r="I721" s="10"/>
      <c r="J721" s="12"/>
      <c r="K721" s="11"/>
      <c r="L721" s="11"/>
      <c r="M721" s="11"/>
      <c r="N721" s="11"/>
      <c r="O721" s="11"/>
      <c r="P721" s="11"/>
      <c r="Q721" s="11"/>
      <c r="R721" s="11"/>
      <c r="S721" s="11"/>
      <c r="T721" s="11"/>
      <c r="U721" s="11"/>
      <c r="V721" s="11"/>
      <c r="W721" s="11"/>
      <c r="X721" s="11"/>
      <c r="Y721" s="11"/>
      <c r="Z721" s="11"/>
    </row>
    <row r="722">
      <c r="A722" s="42" t="s">
        <v>2040</v>
      </c>
      <c r="B722" s="42" t="s">
        <v>285</v>
      </c>
      <c r="C722" s="42" t="s">
        <v>2041</v>
      </c>
      <c r="D722" s="42">
        <v>8.6</v>
      </c>
      <c r="E722" s="42">
        <v>79.34</v>
      </c>
      <c r="F722" s="42">
        <v>5.83</v>
      </c>
      <c r="G722" s="43">
        <f>E722-F722-D722</f>
        <v>64.91</v>
      </c>
      <c r="H722" s="42" t="s">
        <v>1202</v>
      </c>
      <c r="I722" s="42"/>
      <c r="J722" s="44"/>
      <c r="K722" s="43"/>
      <c r="L722" s="43"/>
      <c r="M722" s="43"/>
      <c r="N722" s="43"/>
      <c r="O722" s="43"/>
      <c r="P722" s="43"/>
      <c r="Q722" s="43"/>
      <c r="R722" s="43"/>
      <c r="S722" s="43"/>
      <c r="T722" s="43"/>
      <c r="U722" s="43"/>
      <c r="V722" s="43"/>
      <c r="W722" s="43"/>
      <c r="X722" s="43"/>
      <c r="Y722" s="43"/>
      <c r="Z722" s="43"/>
    </row>
    <row r="723">
      <c r="A723" s="45" t="s">
        <v>2042</v>
      </c>
      <c r="B723" s="45" t="s">
        <v>2043</v>
      </c>
      <c r="C723" s="45" t="s">
        <v>57</v>
      </c>
      <c r="D723" s="45">
        <v>7.5</v>
      </c>
      <c r="E723" s="45">
        <v>40.0</v>
      </c>
      <c r="F723" s="45">
        <v>0.0</v>
      </c>
      <c r="G723" s="46">
        <f t="shared" ref="G723:G724" si="116">E723-D723</f>
        <v>32.5</v>
      </c>
      <c r="H723" s="47">
        <v>46047.0</v>
      </c>
      <c r="I723" s="45"/>
      <c r="J723" s="48"/>
      <c r="K723" s="46"/>
      <c r="L723" s="46"/>
      <c r="M723" s="46"/>
      <c r="N723" s="46"/>
      <c r="O723" s="46"/>
      <c r="P723" s="46"/>
      <c r="Q723" s="46"/>
      <c r="R723" s="46"/>
      <c r="S723" s="46"/>
      <c r="T723" s="46"/>
      <c r="U723" s="46"/>
      <c r="V723" s="46"/>
      <c r="W723" s="46"/>
      <c r="X723" s="46"/>
      <c r="Y723" s="46"/>
      <c r="Z723" s="46"/>
    </row>
    <row r="724">
      <c r="A724" s="45" t="s">
        <v>2044</v>
      </c>
      <c r="B724" s="45" t="s">
        <v>2045</v>
      </c>
      <c r="C724" s="45" t="s">
        <v>57</v>
      </c>
      <c r="D724" s="45">
        <v>7.0</v>
      </c>
      <c r="E724" s="45">
        <v>20.0</v>
      </c>
      <c r="F724" s="45">
        <v>0.0</v>
      </c>
      <c r="G724" s="46">
        <f t="shared" si="116"/>
        <v>13</v>
      </c>
      <c r="H724" s="47">
        <v>46047.0</v>
      </c>
      <c r="I724" s="46"/>
      <c r="J724" s="48"/>
      <c r="K724" s="46"/>
      <c r="L724" s="46"/>
      <c r="M724" s="46"/>
      <c r="N724" s="46"/>
      <c r="O724" s="46"/>
      <c r="P724" s="46"/>
      <c r="Q724" s="46"/>
      <c r="R724" s="46"/>
      <c r="S724" s="46"/>
      <c r="T724" s="46"/>
      <c r="U724" s="46"/>
      <c r="V724" s="46"/>
      <c r="W724" s="46"/>
      <c r="X724" s="46"/>
      <c r="Y724" s="46"/>
      <c r="Z724" s="46"/>
    </row>
    <row r="725">
      <c r="A725" s="31" t="s">
        <v>2046</v>
      </c>
      <c r="B725" s="31" t="s">
        <v>328</v>
      </c>
      <c r="C725" s="31" t="s">
        <v>51</v>
      </c>
      <c r="D725" s="31">
        <v>4.0</v>
      </c>
      <c r="E725" s="34"/>
      <c r="F725" s="34"/>
      <c r="G725" s="34"/>
      <c r="H725" s="31" t="s">
        <v>1195</v>
      </c>
      <c r="I725" s="34"/>
      <c r="J725" s="35"/>
      <c r="K725" s="34"/>
      <c r="L725" s="34"/>
      <c r="M725" s="34"/>
      <c r="N725" s="34"/>
      <c r="O725" s="34"/>
      <c r="P725" s="34"/>
      <c r="Q725" s="34"/>
      <c r="R725" s="34"/>
      <c r="S725" s="34"/>
      <c r="T725" s="34"/>
      <c r="U725" s="34"/>
      <c r="V725" s="34"/>
      <c r="W725" s="34"/>
      <c r="X725" s="34"/>
      <c r="Y725" s="34"/>
      <c r="Z725" s="34"/>
    </row>
    <row r="726">
      <c r="A726" s="31" t="s">
        <v>2047</v>
      </c>
      <c r="B726" s="31" t="s">
        <v>2048</v>
      </c>
      <c r="C726" s="31" t="s">
        <v>66</v>
      </c>
      <c r="D726" s="31"/>
      <c r="E726" s="34"/>
      <c r="F726" s="34"/>
      <c r="G726" s="34"/>
      <c r="H726" s="31" t="s">
        <v>1195</v>
      </c>
      <c r="I726" s="34"/>
      <c r="J726" s="35"/>
      <c r="K726" s="34"/>
      <c r="L726" s="34"/>
      <c r="M726" s="34"/>
      <c r="N726" s="34"/>
      <c r="O726" s="34"/>
      <c r="P726" s="34"/>
      <c r="Q726" s="34"/>
      <c r="R726" s="34"/>
      <c r="S726" s="34"/>
      <c r="T726" s="34"/>
      <c r="U726" s="34"/>
      <c r="V726" s="34"/>
      <c r="W726" s="34"/>
      <c r="X726" s="34"/>
      <c r="Y726" s="34"/>
      <c r="Z726" s="34"/>
    </row>
    <row r="727">
      <c r="A727" s="31" t="s">
        <v>2049</v>
      </c>
      <c r="B727" s="31" t="s">
        <v>2050</v>
      </c>
      <c r="C727" s="31" t="s">
        <v>628</v>
      </c>
      <c r="D727" s="31">
        <v>7.0</v>
      </c>
      <c r="E727" s="31">
        <v>20.0</v>
      </c>
      <c r="F727" s="31">
        <v>0.0</v>
      </c>
      <c r="G727" s="34">
        <f>E727-F727-D727</f>
        <v>13</v>
      </c>
      <c r="H727" s="37">
        <v>45822.0</v>
      </c>
      <c r="I727" s="34"/>
      <c r="J727" s="35"/>
      <c r="K727" s="34"/>
      <c r="L727" s="34"/>
      <c r="M727" s="34"/>
      <c r="N727" s="34"/>
      <c r="O727" s="34"/>
      <c r="P727" s="34"/>
      <c r="Q727" s="34"/>
      <c r="R727" s="34"/>
      <c r="S727" s="34"/>
      <c r="T727" s="34"/>
      <c r="U727" s="34"/>
      <c r="V727" s="34"/>
      <c r="W727" s="34"/>
      <c r="X727" s="34"/>
      <c r="Y727" s="34"/>
      <c r="Z727" s="34"/>
    </row>
    <row r="728">
      <c r="A728" s="38" t="s">
        <v>2049</v>
      </c>
      <c r="B728" s="38" t="s">
        <v>2051</v>
      </c>
      <c r="C728" s="38" t="s">
        <v>2052</v>
      </c>
      <c r="D728" s="38">
        <v>6.3</v>
      </c>
      <c r="E728" s="39"/>
      <c r="F728" s="39"/>
      <c r="G728" s="39"/>
      <c r="H728" s="40">
        <v>45893.0</v>
      </c>
      <c r="I728" s="39"/>
      <c r="J728" s="41"/>
      <c r="K728" s="39"/>
      <c r="L728" s="39"/>
      <c r="M728" s="39"/>
      <c r="N728" s="39"/>
      <c r="O728" s="39"/>
      <c r="P728" s="39"/>
      <c r="Q728" s="39"/>
      <c r="R728" s="39"/>
      <c r="S728" s="39"/>
      <c r="T728" s="39"/>
      <c r="U728" s="39"/>
      <c r="V728" s="39"/>
      <c r="W728" s="39"/>
      <c r="X728" s="39"/>
      <c r="Y728" s="39"/>
      <c r="Z728" s="39"/>
    </row>
    <row r="729">
      <c r="A729" s="42" t="s">
        <v>1088</v>
      </c>
      <c r="B729" s="42" t="s">
        <v>1140</v>
      </c>
      <c r="C729" s="42" t="s">
        <v>57</v>
      </c>
      <c r="D729" s="42">
        <v>4.0</v>
      </c>
      <c r="E729" s="42">
        <v>49.78</v>
      </c>
      <c r="F729" s="42">
        <v>5.77</v>
      </c>
      <c r="G729" s="43">
        <f t="shared" ref="G729:G731" si="117">E729-F729-D729</f>
        <v>40.01</v>
      </c>
      <c r="H729" s="42" t="s">
        <v>1202</v>
      </c>
      <c r="I729" s="43"/>
      <c r="J729" s="44"/>
      <c r="K729" s="43"/>
      <c r="L729" s="43"/>
      <c r="M729" s="43"/>
      <c r="N729" s="43"/>
      <c r="O729" s="43"/>
      <c r="P729" s="43"/>
      <c r="Q729" s="43"/>
      <c r="R729" s="43"/>
      <c r="S729" s="43"/>
      <c r="T729" s="43"/>
      <c r="U729" s="43"/>
      <c r="V729" s="43"/>
      <c r="W729" s="43"/>
      <c r="X729" s="43"/>
      <c r="Y729" s="43"/>
      <c r="Z729" s="43"/>
    </row>
    <row r="730">
      <c r="A730" s="42" t="s">
        <v>2053</v>
      </c>
      <c r="B730" s="42" t="s">
        <v>2054</v>
      </c>
      <c r="C730" s="42" t="s">
        <v>51</v>
      </c>
      <c r="D730" s="42">
        <v>7.1</v>
      </c>
      <c r="E730" s="42">
        <v>57.88</v>
      </c>
      <c r="F730" s="42">
        <v>5.77</v>
      </c>
      <c r="G730" s="43">
        <f t="shared" si="117"/>
        <v>45.01</v>
      </c>
      <c r="H730" s="42" t="s">
        <v>1202</v>
      </c>
      <c r="I730" s="43"/>
      <c r="J730" s="44"/>
      <c r="K730" s="43"/>
      <c r="L730" s="43"/>
      <c r="M730" s="43"/>
      <c r="N730" s="43"/>
      <c r="O730" s="43"/>
      <c r="P730" s="43"/>
      <c r="Q730" s="43"/>
      <c r="R730" s="43"/>
      <c r="S730" s="43"/>
      <c r="T730" s="43"/>
      <c r="U730" s="43"/>
      <c r="V730" s="43"/>
      <c r="W730" s="43"/>
      <c r="X730" s="43"/>
      <c r="Y730" s="43"/>
      <c r="Z730" s="43"/>
    </row>
    <row r="731">
      <c r="A731" s="42" t="s">
        <v>2055</v>
      </c>
      <c r="B731" s="42" t="s">
        <v>2056</v>
      </c>
      <c r="C731" s="42"/>
      <c r="D731" s="42">
        <v>2.5</v>
      </c>
      <c r="E731" s="42">
        <v>64.81</v>
      </c>
      <c r="F731" s="42">
        <v>4.71</v>
      </c>
      <c r="G731" s="43">
        <f t="shared" si="117"/>
        <v>57.6</v>
      </c>
      <c r="H731" s="42" t="s">
        <v>1202</v>
      </c>
      <c r="I731" s="79" t="s">
        <v>2057</v>
      </c>
      <c r="J731" s="44"/>
      <c r="K731" s="43"/>
      <c r="L731" s="43"/>
      <c r="M731" s="43"/>
      <c r="N731" s="43"/>
      <c r="O731" s="43"/>
      <c r="P731" s="43"/>
      <c r="Q731" s="43"/>
      <c r="R731" s="43"/>
      <c r="S731" s="43"/>
      <c r="T731" s="43"/>
      <c r="U731" s="43"/>
      <c r="V731" s="43"/>
      <c r="W731" s="43"/>
      <c r="X731" s="43"/>
      <c r="Y731" s="43"/>
      <c r="Z731" s="43"/>
    </row>
    <row r="732">
      <c r="A732" s="38" t="s">
        <v>2058</v>
      </c>
      <c r="B732" s="38" t="s">
        <v>79</v>
      </c>
      <c r="C732" s="38" t="s">
        <v>57</v>
      </c>
      <c r="D732" s="38">
        <v>8.3</v>
      </c>
      <c r="E732" s="39"/>
      <c r="F732" s="39"/>
      <c r="G732" s="39"/>
      <c r="H732" s="40">
        <v>45893.0</v>
      </c>
      <c r="I732" s="38"/>
      <c r="J732" s="41"/>
      <c r="K732" s="39"/>
      <c r="L732" s="39"/>
      <c r="M732" s="39"/>
      <c r="N732" s="39"/>
      <c r="O732" s="39"/>
      <c r="P732" s="39"/>
      <c r="Q732" s="39"/>
      <c r="R732" s="39"/>
      <c r="S732" s="39"/>
      <c r="T732" s="39"/>
      <c r="U732" s="39"/>
      <c r="V732" s="39"/>
      <c r="W732" s="39"/>
      <c r="X732" s="39"/>
      <c r="Y732" s="39"/>
      <c r="Z732" s="39"/>
    </row>
    <row r="733">
      <c r="A733" s="38" t="s">
        <v>1092</v>
      </c>
      <c r="B733" s="38" t="s">
        <v>2059</v>
      </c>
      <c r="C733" s="38" t="s">
        <v>51</v>
      </c>
      <c r="D733" s="38">
        <v>7.5</v>
      </c>
      <c r="E733" s="39"/>
      <c r="F733" s="39"/>
      <c r="G733" s="39"/>
      <c r="H733" s="40">
        <v>45893.0</v>
      </c>
      <c r="I733" s="39"/>
      <c r="J733" s="41"/>
      <c r="K733" s="39"/>
      <c r="L733" s="39"/>
      <c r="M733" s="39"/>
      <c r="N733" s="39"/>
      <c r="O733" s="39"/>
      <c r="P733" s="39"/>
      <c r="Q733" s="39"/>
      <c r="R733" s="39"/>
      <c r="S733" s="39"/>
      <c r="T733" s="39"/>
      <c r="U733" s="39"/>
      <c r="V733" s="39"/>
      <c r="W733" s="39"/>
      <c r="X733" s="39"/>
      <c r="Y733" s="39"/>
      <c r="Z733" s="39"/>
    </row>
    <row r="734">
      <c r="A734" s="31" t="s">
        <v>1094</v>
      </c>
      <c r="B734" s="31" t="s">
        <v>2060</v>
      </c>
      <c r="C734" s="31" t="s">
        <v>51</v>
      </c>
      <c r="D734" s="31">
        <v>7.0</v>
      </c>
      <c r="E734" s="31"/>
      <c r="F734" s="31"/>
      <c r="G734" s="34"/>
      <c r="H734" s="37">
        <v>45696.0</v>
      </c>
      <c r="I734" s="34"/>
      <c r="J734" s="35"/>
      <c r="K734" s="34"/>
      <c r="L734" s="34"/>
      <c r="M734" s="34"/>
      <c r="N734" s="34"/>
      <c r="O734" s="34"/>
      <c r="P734" s="34"/>
      <c r="Q734" s="34"/>
      <c r="R734" s="34"/>
      <c r="S734" s="34"/>
      <c r="T734" s="34"/>
      <c r="U734" s="34"/>
      <c r="V734" s="34"/>
      <c r="W734" s="34"/>
      <c r="X734" s="34"/>
      <c r="Y734" s="34"/>
      <c r="Z734" s="34"/>
    </row>
    <row r="735">
      <c r="A735" s="31" t="s">
        <v>1094</v>
      </c>
      <c r="B735" s="31" t="s">
        <v>2061</v>
      </c>
      <c r="C735" s="31" t="s">
        <v>51</v>
      </c>
      <c r="D735" s="31">
        <v>0.0</v>
      </c>
      <c r="E735" s="31">
        <v>25.0</v>
      </c>
      <c r="F735" s="31">
        <v>7.5</v>
      </c>
      <c r="G735" s="34">
        <f t="shared" ref="G735:G737" si="118">E735-F735-D735</f>
        <v>17.5</v>
      </c>
      <c r="H735" s="34"/>
      <c r="I735" s="34"/>
      <c r="J735" s="35"/>
      <c r="K735" s="34"/>
      <c r="L735" s="34"/>
      <c r="M735" s="34"/>
      <c r="N735" s="34"/>
      <c r="O735" s="34"/>
      <c r="P735" s="34"/>
      <c r="Q735" s="34"/>
      <c r="R735" s="34"/>
      <c r="S735" s="34"/>
      <c r="T735" s="34"/>
      <c r="U735" s="34"/>
      <c r="V735" s="34"/>
      <c r="W735" s="34"/>
      <c r="X735" s="34"/>
      <c r="Y735" s="34"/>
      <c r="Z735" s="34"/>
    </row>
    <row r="736">
      <c r="A736" s="57" t="s">
        <v>1092</v>
      </c>
      <c r="B736" s="57" t="s">
        <v>2062</v>
      </c>
      <c r="C736" s="57" t="s">
        <v>51</v>
      </c>
      <c r="D736" s="57">
        <v>0.0</v>
      </c>
      <c r="E736" s="57">
        <v>15.0</v>
      </c>
      <c r="F736" s="57">
        <v>0.0</v>
      </c>
      <c r="G736" s="58">
        <f t="shared" si="118"/>
        <v>15</v>
      </c>
      <c r="H736" s="58"/>
      <c r="I736" s="58"/>
      <c r="J736" s="59"/>
      <c r="K736" s="58"/>
      <c r="L736" s="58"/>
      <c r="M736" s="58"/>
      <c r="N736" s="58"/>
      <c r="O736" s="58"/>
      <c r="P736" s="58"/>
      <c r="Q736" s="58"/>
      <c r="R736" s="58"/>
      <c r="S736" s="58"/>
      <c r="T736" s="58"/>
      <c r="U736" s="58"/>
      <c r="V736" s="58"/>
      <c r="W736" s="58"/>
      <c r="X736" s="58"/>
      <c r="Y736" s="58"/>
      <c r="Z736" s="58"/>
    </row>
    <row r="737">
      <c r="A737" s="31" t="s">
        <v>1092</v>
      </c>
      <c r="B737" s="31" t="s">
        <v>2063</v>
      </c>
      <c r="C737" s="31" t="s">
        <v>51</v>
      </c>
      <c r="D737" s="31">
        <v>9.0</v>
      </c>
      <c r="E737" s="31">
        <v>35.0</v>
      </c>
      <c r="F737" s="31">
        <v>0.0</v>
      </c>
      <c r="G737" s="34">
        <f t="shared" si="118"/>
        <v>26</v>
      </c>
      <c r="H737" s="34"/>
      <c r="I737" s="34"/>
      <c r="J737" s="35"/>
      <c r="K737" s="34"/>
      <c r="L737" s="34"/>
      <c r="M737" s="34"/>
      <c r="N737" s="34"/>
      <c r="O737" s="34"/>
      <c r="P737" s="34"/>
      <c r="Q737" s="34"/>
      <c r="R737" s="34"/>
      <c r="S737" s="34"/>
      <c r="T737" s="34"/>
      <c r="U737" s="34"/>
      <c r="V737" s="34"/>
      <c r="W737" s="34"/>
      <c r="X737" s="34"/>
      <c r="Y737" s="34"/>
      <c r="Z737" s="34"/>
    </row>
    <row r="738">
      <c r="A738" s="31" t="s">
        <v>1094</v>
      </c>
      <c r="B738" s="31" t="s">
        <v>2064</v>
      </c>
      <c r="C738" s="31" t="s">
        <v>57</v>
      </c>
      <c r="D738" s="31">
        <v>7.29</v>
      </c>
      <c r="E738" s="34"/>
      <c r="F738" s="34"/>
      <c r="G738" s="34"/>
      <c r="H738" s="36">
        <v>45767.0</v>
      </c>
      <c r="I738" s="34"/>
      <c r="J738" s="35"/>
      <c r="K738" s="34"/>
      <c r="L738" s="34"/>
      <c r="M738" s="34"/>
      <c r="N738" s="34"/>
      <c r="O738" s="34"/>
      <c r="P738" s="34"/>
      <c r="Q738" s="34"/>
      <c r="R738" s="34"/>
      <c r="S738" s="34"/>
      <c r="T738" s="34"/>
      <c r="U738" s="34"/>
      <c r="V738" s="34"/>
      <c r="W738" s="34"/>
      <c r="X738" s="34"/>
      <c r="Y738" s="34"/>
      <c r="Z738" s="34"/>
    </row>
    <row r="739">
      <c r="A739" s="31" t="s">
        <v>1094</v>
      </c>
      <c r="B739" s="31" t="s">
        <v>2065</v>
      </c>
      <c r="C739" s="31" t="s">
        <v>51</v>
      </c>
      <c r="D739" s="31">
        <v>10.0</v>
      </c>
      <c r="E739" s="34"/>
      <c r="F739" s="34"/>
      <c r="G739" s="34"/>
      <c r="H739" s="36">
        <v>45767.0</v>
      </c>
      <c r="I739" s="34"/>
      <c r="J739" s="35"/>
      <c r="K739" s="34"/>
      <c r="L739" s="34"/>
      <c r="M739" s="34"/>
      <c r="N739" s="34"/>
      <c r="O739" s="34"/>
      <c r="P739" s="34"/>
      <c r="Q739" s="34"/>
      <c r="R739" s="34"/>
      <c r="S739" s="34"/>
      <c r="T739" s="34"/>
      <c r="U739" s="34"/>
      <c r="V739" s="34"/>
      <c r="W739" s="34"/>
      <c r="X739" s="34"/>
      <c r="Y739" s="34"/>
      <c r="Z739" s="34"/>
    </row>
    <row r="740">
      <c r="A740" s="31" t="s">
        <v>1092</v>
      </c>
      <c r="B740" s="31" t="s">
        <v>2066</v>
      </c>
      <c r="C740" s="31" t="s">
        <v>57</v>
      </c>
      <c r="D740" s="31">
        <v>4.0</v>
      </c>
      <c r="E740" s="34"/>
      <c r="F740" s="34"/>
      <c r="G740" s="34"/>
      <c r="H740" s="36">
        <v>45767.0</v>
      </c>
      <c r="I740" s="34"/>
      <c r="J740" s="35"/>
      <c r="K740" s="34"/>
      <c r="L740" s="34"/>
      <c r="M740" s="34"/>
      <c r="N740" s="34"/>
      <c r="O740" s="34"/>
      <c r="P740" s="34"/>
      <c r="Q740" s="34"/>
      <c r="R740" s="34"/>
      <c r="S740" s="34"/>
      <c r="T740" s="34"/>
      <c r="U740" s="34"/>
      <c r="V740" s="34"/>
      <c r="W740" s="34"/>
      <c r="X740" s="34"/>
      <c r="Y740" s="34"/>
      <c r="Z740" s="34"/>
    </row>
    <row r="741">
      <c r="A741" s="31" t="s">
        <v>1094</v>
      </c>
      <c r="B741" s="31" t="s">
        <v>2067</v>
      </c>
      <c r="C741" s="31" t="s">
        <v>51</v>
      </c>
      <c r="D741" s="31">
        <v>14.0</v>
      </c>
      <c r="E741" s="31">
        <v>46.46</v>
      </c>
      <c r="F741" s="31">
        <v>6.46</v>
      </c>
      <c r="G741" s="34">
        <f t="shared" ref="G741:G742" si="119">E741-F741-D741</f>
        <v>26</v>
      </c>
      <c r="H741" s="34"/>
      <c r="I741" s="34"/>
      <c r="J741" s="35"/>
      <c r="K741" s="34"/>
      <c r="L741" s="34"/>
      <c r="M741" s="34"/>
      <c r="N741" s="34"/>
      <c r="O741" s="34"/>
      <c r="P741" s="34"/>
      <c r="Q741" s="34"/>
      <c r="R741" s="34"/>
      <c r="S741" s="34"/>
      <c r="T741" s="34"/>
      <c r="U741" s="34"/>
      <c r="V741" s="34"/>
      <c r="W741" s="34"/>
      <c r="X741" s="34"/>
      <c r="Y741" s="34"/>
      <c r="Z741" s="34"/>
    </row>
    <row r="742">
      <c r="A742" s="31" t="s">
        <v>1092</v>
      </c>
      <c r="B742" s="31" t="s">
        <v>469</v>
      </c>
      <c r="C742" s="31" t="s">
        <v>57</v>
      </c>
      <c r="D742" s="31">
        <v>3.0</v>
      </c>
      <c r="E742" s="31">
        <v>20.0</v>
      </c>
      <c r="F742" s="31">
        <v>5.52</v>
      </c>
      <c r="G742" s="34">
        <f t="shared" si="119"/>
        <v>11.48</v>
      </c>
      <c r="H742" s="34"/>
      <c r="I742" s="34"/>
      <c r="J742" s="34"/>
      <c r="K742" s="34"/>
      <c r="L742" s="34"/>
      <c r="M742" s="34"/>
      <c r="N742" s="34"/>
      <c r="O742" s="34"/>
      <c r="P742" s="34"/>
      <c r="Q742" s="34"/>
      <c r="R742" s="34"/>
      <c r="S742" s="34"/>
      <c r="T742" s="34"/>
      <c r="U742" s="34"/>
      <c r="V742" s="34"/>
      <c r="W742" s="34"/>
      <c r="X742" s="34"/>
      <c r="Y742" s="34"/>
      <c r="Z742" s="34"/>
    </row>
    <row r="743">
      <c r="A743" s="31" t="s">
        <v>1092</v>
      </c>
      <c r="B743" s="31" t="s">
        <v>1990</v>
      </c>
      <c r="C743" s="31" t="s">
        <v>51</v>
      </c>
      <c r="D743" s="31">
        <v>3.0</v>
      </c>
      <c r="E743" s="31">
        <v>15.0</v>
      </c>
      <c r="F743" s="31">
        <v>0.0</v>
      </c>
      <c r="G743" s="34">
        <f>E743-D743</f>
        <v>12</v>
      </c>
      <c r="H743" s="36">
        <v>46131.0</v>
      </c>
      <c r="I743" s="34"/>
      <c r="J743" s="34"/>
      <c r="K743" s="34"/>
      <c r="L743" s="34"/>
      <c r="M743" s="34"/>
      <c r="N743" s="34"/>
      <c r="O743" s="34"/>
      <c r="P743" s="34"/>
      <c r="Q743" s="34"/>
      <c r="R743" s="34"/>
      <c r="S743" s="34"/>
      <c r="T743" s="34"/>
      <c r="U743" s="34"/>
      <c r="V743" s="34"/>
      <c r="W743" s="34"/>
      <c r="X743" s="34"/>
      <c r="Y743" s="34"/>
      <c r="Z743" s="34"/>
    </row>
    <row r="744">
      <c r="A744" s="2"/>
      <c r="B744" s="2"/>
      <c r="C744" s="2"/>
      <c r="D744" s="2"/>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row r="904">
      <c r="J904" s="6"/>
    </row>
    <row r="905">
      <c r="J905" s="6"/>
    </row>
    <row r="906">
      <c r="J906" s="6"/>
    </row>
    <row r="907">
      <c r="J907" s="6"/>
    </row>
    <row r="908">
      <c r="J908" s="6"/>
    </row>
    <row r="909">
      <c r="J909" s="6"/>
    </row>
    <row r="910">
      <c r="J910" s="6"/>
    </row>
    <row r="911">
      <c r="J911" s="6"/>
    </row>
    <row r="912">
      <c r="J912" s="6"/>
    </row>
    <row r="913">
      <c r="J913" s="6"/>
    </row>
    <row r="914">
      <c r="J914" s="6"/>
    </row>
    <row r="915">
      <c r="J915" s="6"/>
    </row>
    <row r="916">
      <c r="J916" s="6"/>
    </row>
    <row r="917">
      <c r="J917" s="6"/>
    </row>
    <row r="918">
      <c r="J918" s="6"/>
    </row>
    <row r="919">
      <c r="J919" s="6"/>
    </row>
    <row r="920">
      <c r="J920" s="6"/>
    </row>
    <row r="921">
      <c r="J921" s="6"/>
    </row>
    <row r="922">
      <c r="J922" s="6"/>
    </row>
    <row r="923">
      <c r="J923" s="6"/>
    </row>
    <row r="924">
      <c r="J924" s="6"/>
    </row>
    <row r="925">
      <c r="J925" s="6"/>
    </row>
    <row r="926">
      <c r="J926" s="6"/>
    </row>
    <row r="927">
      <c r="J927" s="6"/>
    </row>
    <row r="928">
      <c r="J928" s="6"/>
    </row>
    <row r="929">
      <c r="J929" s="6"/>
    </row>
    <row r="930">
      <c r="J930" s="6"/>
    </row>
    <row r="931">
      <c r="J931" s="6"/>
    </row>
    <row r="932">
      <c r="J932" s="6"/>
    </row>
    <row r="933">
      <c r="J933" s="6"/>
    </row>
    <row r="934">
      <c r="J934" s="6"/>
    </row>
    <row r="935">
      <c r="J935" s="6"/>
    </row>
    <row r="936">
      <c r="J936" s="6"/>
    </row>
    <row r="937">
      <c r="J937" s="6"/>
    </row>
    <row r="938">
      <c r="J938" s="6"/>
    </row>
    <row r="939">
      <c r="J939" s="6"/>
    </row>
    <row r="940">
      <c r="J940" s="6"/>
    </row>
    <row r="941">
      <c r="J941" s="6"/>
    </row>
    <row r="942">
      <c r="J942" s="6"/>
    </row>
    <row r="943">
      <c r="J943" s="6"/>
    </row>
    <row r="944">
      <c r="J944" s="6"/>
    </row>
    <row r="945">
      <c r="J945" s="6"/>
    </row>
    <row r="946">
      <c r="J946" s="6"/>
    </row>
    <row r="947">
      <c r="J947" s="6"/>
    </row>
    <row r="948">
      <c r="J948" s="6"/>
    </row>
    <row r="949">
      <c r="J949" s="6"/>
    </row>
    <row r="950">
      <c r="J950" s="6"/>
    </row>
    <row r="951">
      <c r="J951" s="6"/>
    </row>
    <row r="952">
      <c r="J952" s="6"/>
    </row>
    <row r="953">
      <c r="J953" s="6"/>
    </row>
    <row r="954">
      <c r="J954" s="6"/>
    </row>
    <row r="955">
      <c r="J955" s="6"/>
    </row>
    <row r="956">
      <c r="J956" s="6"/>
    </row>
    <row r="957">
      <c r="J957" s="6"/>
    </row>
    <row r="958">
      <c r="J958" s="6"/>
    </row>
    <row r="959">
      <c r="J959" s="6"/>
    </row>
    <row r="960">
      <c r="J960" s="6"/>
    </row>
    <row r="961">
      <c r="J961" s="6"/>
    </row>
    <row r="962">
      <c r="J962" s="6"/>
    </row>
    <row r="963">
      <c r="J963" s="6"/>
    </row>
    <row r="964">
      <c r="J964" s="6"/>
    </row>
    <row r="965">
      <c r="J965" s="6"/>
    </row>
    <row r="966">
      <c r="J966" s="6"/>
    </row>
    <row r="967">
      <c r="J967" s="6"/>
    </row>
    <row r="968">
      <c r="J968" s="6"/>
    </row>
    <row r="969">
      <c r="J969" s="6"/>
    </row>
    <row r="970">
      <c r="J970" s="6"/>
    </row>
    <row r="971">
      <c r="J971" s="6"/>
    </row>
    <row r="972">
      <c r="J972" s="6"/>
    </row>
    <row r="973">
      <c r="J973" s="6"/>
    </row>
    <row r="974">
      <c r="J974" s="6"/>
    </row>
    <row r="975">
      <c r="J975" s="6"/>
    </row>
    <row r="976">
      <c r="J976" s="6"/>
    </row>
    <row r="977">
      <c r="J977" s="6"/>
    </row>
    <row r="978">
      <c r="J978" s="6"/>
    </row>
    <row r="979">
      <c r="J979" s="6"/>
    </row>
    <row r="980">
      <c r="J980" s="6"/>
    </row>
    <row r="981">
      <c r="J981" s="6"/>
    </row>
    <row r="982">
      <c r="J982" s="6"/>
    </row>
    <row r="983">
      <c r="J983" s="6"/>
    </row>
    <row r="984">
      <c r="J984" s="6"/>
    </row>
    <row r="985">
      <c r="J985" s="6"/>
    </row>
    <row r="986">
      <c r="J986" s="6"/>
    </row>
    <row r="987">
      <c r="J987" s="6"/>
    </row>
    <row r="988">
      <c r="J988" s="6"/>
    </row>
    <row r="989">
      <c r="J989" s="6"/>
    </row>
    <row r="990">
      <c r="J990" s="6"/>
    </row>
    <row r="991">
      <c r="J991" s="6"/>
    </row>
    <row r="992">
      <c r="J992" s="6"/>
    </row>
    <row r="993">
      <c r="J993" s="6"/>
    </row>
    <row r="994">
      <c r="J994" s="6"/>
    </row>
    <row r="995">
      <c r="J995" s="6"/>
    </row>
    <row r="996">
      <c r="J996" s="6"/>
    </row>
    <row r="997">
      <c r="J997" s="6"/>
    </row>
    <row r="998">
      <c r="J998" s="6"/>
    </row>
    <row r="999">
      <c r="J999" s="6"/>
    </row>
    <row r="1000">
      <c r="J1000" s="6"/>
    </row>
    <row r="1001">
      <c r="J1001" s="6"/>
    </row>
    <row r="1002">
      <c r="J1002" s="6"/>
    </row>
    <row r="1003">
      <c r="J1003" s="6"/>
    </row>
    <row r="1004">
      <c r="J1004" s="6"/>
    </row>
    <row r="1005">
      <c r="J1005" s="6"/>
    </row>
    <row r="1006">
      <c r="J1006" s="6"/>
    </row>
    <row r="1007">
      <c r="J1007" s="6"/>
    </row>
    <row r="1008">
      <c r="J1008" s="6"/>
    </row>
    <row r="1009">
      <c r="J1009" s="6"/>
    </row>
    <row r="1010">
      <c r="J1010" s="6"/>
    </row>
    <row r="1011">
      <c r="J1011" s="6"/>
    </row>
    <row r="1012">
      <c r="J1012" s="6"/>
    </row>
    <row r="1013">
      <c r="J1013" s="6"/>
    </row>
    <row r="1014">
      <c r="J1014" s="6"/>
    </row>
    <row r="1015">
      <c r="J1015" s="6"/>
    </row>
    <row r="1016">
      <c r="J1016" s="6"/>
    </row>
    <row r="1017">
      <c r="J1017" s="6"/>
    </row>
    <row r="1018">
      <c r="J1018" s="6"/>
    </row>
    <row r="1019">
      <c r="J1019" s="6"/>
    </row>
    <row r="1020">
      <c r="J1020" s="6"/>
    </row>
    <row r="1021">
      <c r="J1021" s="6"/>
    </row>
    <row r="1022">
      <c r="J1022" s="6"/>
    </row>
    <row r="1023">
      <c r="J1023" s="6"/>
    </row>
    <row r="1024">
      <c r="J1024" s="6"/>
    </row>
    <row r="1025">
      <c r="J1025" s="6"/>
    </row>
    <row r="1026">
      <c r="J1026" s="6"/>
    </row>
    <row r="1027">
      <c r="J1027" s="6"/>
    </row>
    <row r="1028">
      <c r="J1028" s="6"/>
    </row>
    <row r="1029">
      <c r="J1029" s="6"/>
    </row>
    <row r="1030">
      <c r="J1030" s="6"/>
    </row>
    <row r="1031">
      <c r="J1031" s="6"/>
    </row>
    <row r="1032">
      <c r="J1032" s="6"/>
    </row>
    <row r="1033">
      <c r="J1033" s="6"/>
    </row>
    <row r="1034">
      <c r="J1034" s="6"/>
    </row>
    <row r="1035">
      <c r="J1035" s="6"/>
    </row>
    <row r="1036">
      <c r="J1036" s="6"/>
    </row>
    <row r="1037">
      <c r="J1037" s="6"/>
    </row>
    <row r="1038">
      <c r="J1038" s="6"/>
    </row>
    <row r="1039">
      <c r="J1039" s="6"/>
    </row>
    <row r="1040">
      <c r="J1040" s="6"/>
    </row>
    <row r="1041">
      <c r="J1041" s="6"/>
    </row>
    <row r="1042">
      <c r="J1042" s="6"/>
    </row>
    <row r="1043">
      <c r="J1043" s="6"/>
    </row>
    <row r="1044">
      <c r="J1044" s="6"/>
    </row>
    <row r="1045">
      <c r="J1045" s="6"/>
    </row>
    <row r="1046">
      <c r="J1046" s="6"/>
    </row>
    <row r="1047">
      <c r="J1047" s="6"/>
    </row>
    <row r="1048">
      <c r="J1048" s="6"/>
    </row>
    <row r="1049">
      <c r="J1049" s="6"/>
    </row>
    <row r="1050">
      <c r="J1050" s="6"/>
    </row>
    <row r="1051">
      <c r="J1051" s="6"/>
    </row>
    <row r="1052">
      <c r="J1052" s="6"/>
    </row>
    <row r="1053">
      <c r="J1053" s="6"/>
    </row>
    <row r="1054">
      <c r="J1054" s="6"/>
    </row>
    <row r="1055">
      <c r="J1055" s="6"/>
    </row>
    <row r="1056">
      <c r="J1056" s="6"/>
    </row>
    <row r="1057">
      <c r="J1057" s="6"/>
    </row>
    <row r="1058">
      <c r="J1058" s="6"/>
    </row>
    <row r="1059">
      <c r="J1059" s="6"/>
    </row>
    <row r="1060">
      <c r="J1060" s="6"/>
    </row>
    <row r="1061">
      <c r="J1061" s="6"/>
    </row>
    <row r="1062">
      <c r="J1062" s="6"/>
    </row>
    <row r="1063">
      <c r="J1063" s="6"/>
    </row>
    <row r="1064">
      <c r="J1064" s="6"/>
    </row>
    <row r="1065">
      <c r="J1065" s="6"/>
    </row>
    <row r="1066">
      <c r="J1066" s="6"/>
    </row>
    <row r="1067">
      <c r="J1067" s="6"/>
    </row>
    <row r="1068">
      <c r="J1068" s="6"/>
    </row>
    <row r="1069">
      <c r="J1069" s="6"/>
    </row>
    <row r="1070">
      <c r="J1070" s="6"/>
    </row>
    <row r="1071">
      <c r="J1071" s="6"/>
    </row>
    <row r="1072">
      <c r="J1072" s="6"/>
    </row>
    <row r="1073">
      <c r="J1073" s="6"/>
    </row>
    <row r="1074">
      <c r="J1074" s="6"/>
    </row>
    <row r="1075">
      <c r="J1075" s="6"/>
    </row>
    <row r="1076">
      <c r="J1076" s="6"/>
    </row>
    <row r="1077">
      <c r="J1077" s="6"/>
    </row>
    <row r="1078">
      <c r="J1078" s="6"/>
    </row>
    <row r="1079">
      <c r="J1079" s="6"/>
    </row>
    <row r="1080">
      <c r="J1080" s="6"/>
    </row>
    <row r="1081">
      <c r="J1081" s="6"/>
    </row>
    <row r="1082">
      <c r="J1082" s="6"/>
    </row>
    <row r="1083">
      <c r="J1083" s="6"/>
    </row>
    <row r="1084">
      <c r="J1084" s="6"/>
    </row>
    <row r="1085">
      <c r="J1085" s="6"/>
    </row>
    <row r="1086">
      <c r="J1086" s="6"/>
    </row>
    <row r="1087">
      <c r="J1087" s="6"/>
    </row>
    <row r="1088">
      <c r="J1088" s="6"/>
    </row>
    <row r="1089">
      <c r="J1089" s="6"/>
    </row>
    <row r="1090">
      <c r="J1090" s="6"/>
    </row>
    <row r="1091">
      <c r="J1091" s="6"/>
    </row>
    <row r="1092">
      <c r="J1092" s="6"/>
    </row>
    <row r="1093">
      <c r="J1093" s="6"/>
    </row>
    <row r="1094">
      <c r="J1094" s="6"/>
    </row>
    <row r="1095">
      <c r="J1095" s="6"/>
    </row>
    <row r="1096">
      <c r="J1096" s="6"/>
    </row>
    <row r="1097">
      <c r="J1097" s="6"/>
    </row>
    <row r="1098">
      <c r="J1098" s="6"/>
    </row>
    <row r="1099">
      <c r="J1099" s="6"/>
    </row>
    <row r="1100">
      <c r="J1100" s="6"/>
    </row>
    <row r="1101">
      <c r="J1101" s="6"/>
    </row>
    <row r="1102">
      <c r="J1102" s="6"/>
    </row>
    <row r="1103">
      <c r="J1103" s="6"/>
    </row>
    <row r="1104">
      <c r="J1104" s="6"/>
    </row>
    <row r="1105">
      <c r="J1105" s="6"/>
    </row>
    <row r="1106">
      <c r="J1106" s="6"/>
    </row>
    <row r="1107">
      <c r="J1107" s="6"/>
    </row>
    <row r="1108">
      <c r="J1108" s="6"/>
    </row>
    <row r="1109">
      <c r="J1109" s="6"/>
    </row>
    <row r="1110">
      <c r="J1110" s="6"/>
    </row>
    <row r="1111">
      <c r="J1111" s="6"/>
    </row>
    <row r="1112">
      <c r="J1112" s="6"/>
    </row>
    <row r="1113">
      <c r="J1113" s="6"/>
    </row>
    <row r="1114">
      <c r="J1114" s="6"/>
    </row>
    <row r="1115">
      <c r="J1115" s="6"/>
    </row>
    <row r="1116">
      <c r="J1116" s="6"/>
    </row>
    <row r="1117">
      <c r="J1117" s="6"/>
    </row>
    <row r="1118">
      <c r="J1118" s="6"/>
    </row>
    <row r="1119">
      <c r="J1119" s="6"/>
    </row>
    <row r="1120">
      <c r="J1120" s="6"/>
    </row>
    <row r="1121">
      <c r="J1121" s="6"/>
    </row>
    <row r="1122">
      <c r="J1122" s="6"/>
    </row>
    <row r="1123">
      <c r="J1123" s="6"/>
    </row>
    <row r="1124">
      <c r="J1124" s="6"/>
    </row>
    <row r="1125">
      <c r="J1125" s="6"/>
    </row>
    <row r="1126">
      <c r="J1126" s="6"/>
    </row>
    <row r="1127">
      <c r="J1127" s="6"/>
    </row>
    <row r="1128">
      <c r="J1128" s="6"/>
    </row>
    <row r="1129">
      <c r="J1129" s="6"/>
    </row>
    <row r="1130">
      <c r="J1130" s="6"/>
    </row>
    <row r="1131">
      <c r="J1131" s="6"/>
    </row>
    <row r="1132">
      <c r="J1132" s="6"/>
    </row>
    <row r="1133">
      <c r="J1133" s="6"/>
    </row>
    <row r="1134">
      <c r="J1134" s="6"/>
    </row>
    <row r="1135">
      <c r="J1135" s="6"/>
    </row>
    <row r="1136">
      <c r="J1136" s="6"/>
    </row>
    <row r="1137">
      <c r="J1137" s="6"/>
    </row>
    <row r="1138">
      <c r="J1138" s="6"/>
    </row>
    <row r="1139">
      <c r="J1139" s="6"/>
    </row>
    <row r="1140">
      <c r="J1140" s="6"/>
    </row>
    <row r="1141">
      <c r="J1141" s="6"/>
    </row>
    <row r="1142">
      <c r="J1142" s="6"/>
    </row>
    <row r="1143">
      <c r="J1143" s="6"/>
    </row>
    <row r="1144">
      <c r="J1144" s="6"/>
    </row>
    <row r="1145">
      <c r="J1145" s="6"/>
    </row>
    <row r="1146">
      <c r="J1146" s="6"/>
    </row>
    <row r="1147">
      <c r="J1147" s="6"/>
    </row>
    <row r="1148">
      <c r="J1148" s="6"/>
    </row>
    <row r="1149">
      <c r="J1149" s="6"/>
    </row>
    <row r="1150">
      <c r="J1150" s="6"/>
    </row>
    <row r="1151">
      <c r="J1151" s="6"/>
    </row>
    <row r="1152">
      <c r="J1152" s="6"/>
    </row>
    <row r="1153">
      <c r="J1153" s="6"/>
    </row>
    <row r="1154">
      <c r="J1154" s="6"/>
    </row>
    <row r="1155">
      <c r="J1155" s="6"/>
    </row>
    <row r="1156">
      <c r="J1156" s="6"/>
    </row>
    <row r="1157">
      <c r="J1157" s="6"/>
    </row>
    <row r="1158">
      <c r="J1158" s="6"/>
    </row>
    <row r="1159">
      <c r="J1159" s="6"/>
    </row>
    <row r="1160">
      <c r="J1160" s="6"/>
    </row>
    <row r="1161">
      <c r="J1161" s="6"/>
    </row>
    <row r="1162">
      <c r="J1162" s="6"/>
    </row>
    <row r="1163">
      <c r="J1163" s="6"/>
    </row>
    <row r="1164">
      <c r="J1164" s="6"/>
    </row>
    <row r="1165">
      <c r="J1165" s="6"/>
    </row>
    <row r="1166">
      <c r="J1166" s="6"/>
    </row>
    <row r="1167">
      <c r="J1167" s="6"/>
    </row>
    <row r="1168">
      <c r="J1168" s="6"/>
    </row>
    <row r="1169">
      <c r="J1169" s="6"/>
    </row>
    <row r="1170">
      <c r="J1170" s="6"/>
    </row>
    <row r="1171">
      <c r="J1171" s="6"/>
    </row>
    <row r="1172">
      <c r="J1172" s="6"/>
    </row>
    <row r="1173">
      <c r="J1173" s="6"/>
    </row>
    <row r="1174">
      <c r="J1174" s="6"/>
    </row>
    <row r="1175">
      <c r="J1175" s="6"/>
    </row>
    <row r="1176">
      <c r="J1176" s="6"/>
    </row>
    <row r="1177">
      <c r="J1177" s="6"/>
    </row>
    <row r="1178">
      <c r="J1178" s="6"/>
    </row>
    <row r="1179">
      <c r="J1179" s="6"/>
    </row>
    <row r="1180">
      <c r="J1180" s="6"/>
    </row>
    <row r="1181">
      <c r="J1181" s="6"/>
    </row>
    <row r="1182">
      <c r="J1182" s="6"/>
    </row>
    <row r="1183">
      <c r="J1183" s="6"/>
    </row>
    <row r="1184">
      <c r="J1184" s="6"/>
    </row>
    <row r="1185">
      <c r="J1185" s="6"/>
    </row>
    <row r="1186">
      <c r="J1186" s="6"/>
    </row>
    <row r="1187">
      <c r="J1187" s="6"/>
    </row>
    <row r="1188">
      <c r="J1188" s="6"/>
    </row>
    <row r="1189">
      <c r="J1189" s="6"/>
    </row>
    <row r="1190">
      <c r="J1190" s="6"/>
    </row>
    <row r="1191">
      <c r="J1191" s="6"/>
    </row>
    <row r="1192">
      <c r="J1192" s="6"/>
    </row>
    <row r="1193">
      <c r="J1193" s="6"/>
    </row>
    <row r="1194">
      <c r="J1194" s="6"/>
    </row>
    <row r="1195">
      <c r="J1195" s="6"/>
    </row>
    <row r="1196">
      <c r="J1196" s="6"/>
    </row>
    <row r="1197">
      <c r="J1197" s="6"/>
    </row>
    <row r="1198">
      <c r="J1198" s="6"/>
    </row>
    <row r="1199">
      <c r="J1199" s="6"/>
    </row>
    <row r="1200">
      <c r="J1200" s="6"/>
    </row>
    <row r="1201">
      <c r="J1201" s="6"/>
    </row>
    <row r="1202">
      <c r="J1202" s="6"/>
    </row>
    <row r="1203">
      <c r="J1203" s="6"/>
    </row>
    <row r="1204">
      <c r="J1204" s="6"/>
    </row>
    <row r="1205">
      <c r="J1205" s="6"/>
    </row>
    <row r="1206">
      <c r="J1206" s="6"/>
    </row>
    <row r="1207">
      <c r="J1207" s="6"/>
    </row>
    <row r="1208">
      <c r="J1208" s="6"/>
    </row>
    <row r="1209">
      <c r="J1209" s="6"/>
    </row>
    <row r="1210">
      <c r="J1210" s="6"/>
    </row>
    <row r="1211">
      <c r="J1211" s="6"/>
    </row>
    <row r="1212">
      <c r="J1212" s="6"/>
    </row>
    <row r="1213">
      <c r="J1213" s="6"/>
    </row>
    <row r="1214">
      <c r="J1214" s="6"/>
    </row>
    <row r="1215">
      <c r="J1215" s="6"/>
    </row>
    <row r="1216">
      <c r="J1216" s="6"/>
    </row>
    <row r="1217">
      <c r="J1217" s="6"/>
    </row>
    <row r="1218">
      <c r="J1218" s="6"/>
    </row>
    <row r="1219">
      <c r="J1219" s="6"/>
    </row>
    <row r="1220">
      <c r="J1220" s="6"/>
    </row>
    <row r="1221">
      <c r="J1221" s="6"/>
    </row>
    <row r="1222">
      <c r="J1222" s="6"/>
    </row>
    <row r="1223">
      <c r="J1223" s="6"/>
    </row>
    <row r="1224">
      <c r="J1224" s="6"/>
    </row>
    <row r="1225">
      <c r="J1225" s="6"/>
    </row>
    <row r="1226">
      <c r="J1226" s="6"/>
    </row>
    <row r="1227">
      <c r="J1227" s="6"/>
    </row>
    <row r="1228">
      <c r="J1228" s="6"/>
    </row>
    <row r="1229">
      <c r="J1229" s="6"/>
    </row>
    <row r="1230">
      <c r="J1230" s="6"/>
    </row>
    <row r="1231">
      <c r="J1231" s="6"/>
    </row>
    <row r="1232">
      <c r="J1232" s="6"/>
    </row>
    <row r="1233">
      <c r="J1233" s="6"/>
    </row>
    <row r="1234">
      <c r="J1234" s="6"/>
    </row>
    <row r="1235">
      <c r="J1235" s="6"/>
    </row>
    <row r="1236">
      <c r="J1236" s="6"/>
    </row>
    <row r="1237">
      <c r="J1237" s="6"/>
    </row>
    <row r="1238">
      <c r="J1238" s="6"/>
    </row>
    <row r="1239">
      <c r="J1239" s="6"/>
    </row>
    <row r="1240">
      <c r="J1240" s="6"/>
    </row>
    <row r="1241">
      <c r="J1241" s="6"/>
    </row>
    <row r="1242">
      <c r="J1242" s="6"/>
    </row>
    <row r="1243">
      <c r="J1243" s="6"/>
    </row>
    <row r="1244">
      <c r="J1244" s="6"/>
    </row>
    <row r="1245">
      <c r="J1245" s="6"/>
    </row>
    <row r="1246">
      <c r="J1246" s="6"/>
    </row>
    <row r="1247">
      <c r="J1247" s="6"/>
    </row>
    <row r="1248">
      <c r="J1248" s="6"/>
    </row>
    <row r="1249">
      <c r="J1249" s="6"/>
    </row>
    <row r="1250">
      <c r="J1250" s="6"/>
    </row>
    <row r="1251">
      <c r="J1251" s="6"/>
    </row>
    <row r="1252">
      <c r="J1252" s="6"/>
    </row>
    <row r="1253">
      <c r="J1253" s="6"/>
    </row>
    <row r="1254">
      <c r="J1254" s="6"/>
    </row>
    <row r="1255">
      <c r="J1255" s="6"/>
    </row>
    <row r="1256">
      <c r="J1256" s="6"/>
    </row>
    <row r="1257">
      <c r="J1257" s="6"/>
    </row>
    <row r="1258">
      <c r="J1258" s="6"/>
    </row>
    <row r="1259">
      <c r="J1259" s="6"/>
    </row>
    <row r="1260">
      <c r="J1260" s="6"/>
    </row>
    <row r="1261">
      <c r="J1261" s="6"/>
    </row>
    <row r="1262">
      <c r="J1262" s="6"/>
    </row>
    <row r="1263">
      <c r="J1263" s="6"/>
    </row>
    <row r="1264">
      <c r="J1264" s="6"/>
    </row>
    <row r="1265">
      <c r="J1265" s="6"/>
    </row>
    <row r="1266">
      <c r="J1266" s="6"/>
    </row>
    <row r="1267">
      <c r="J1267" s="6"/>
    </row>
    <row r="1268">
      <c r="J1268" s="6"/>
    </row>
    <row r="1269">
      <c r="J1269" s="6"/>
    </row>
    <row r="1270">
      <c r="J1270" s="6"/>
    </row>
    <row r="1271">
      <c r="J1271" s="6"/>
    </row>
    <row r="1272">
      <c r="J1272" s="6"/>
    </row>
    <row r="1273">
      <c r="J1273" s="6"/>
    </row>
    <row r="1274">
      <c r="J1274" s="6"/>
    </row>
    <row r="1275">
      <c r="J1275" s="6"/>
    </row>
    <row r="1276">
      <c r="J1276" s="6"/>
    </row>
    <row r="1277">
      <c r="J1277" s="6"/>
    </row>
    <row r="1278">
      <c r="J1278" s="6"/>
    </row>
    <row r="1279">
      <c r="J1279" s="6"/>
    </row>
    <row r="1280">
      <c r="J1280" s="6"/>
    </row>
    <row r="1281">
      <c r="J1281" s="6"/>
    </row>
    <row r="1282">
      <c r="J1282" s="6"/>
    </row>
    <row r="1283">
      <c r="J1283" s="6"/>
    </row>
    <row r="1284">
      <c r="J1284" s="6"/>
    </row>
    <row r="1285">
      <c r="J1285" s="6"/>
    </row>
    <row r="1286">
      <c r="J1286" s="6"/>
    </row>
    <row r="1287">
      <c r="J1287" s="6"/>
    </row>
    <row r="1288">
      <c r="J1288" s="6"/>
    </row>
    <row r="1289">
      <c r="J1289" s="6"/>
    </row>
    <row r="1290">
      <c r="J1290" s="6"/>
    </row>
    <row r="1291">
      <c r="J1291" s="6"/>
    </row>
    <row r="1292">
      <c r="J1292" s="6"/>
    </row>
    <row r="1293">
      <c r="J1293" s="6"/>
    </row>
    <row r="1294">
      <c r="J1294" s="6"/>
    </row>
    <row r="1295">
      <c r="J1295" s="6"/>
    </row>
    <row r="1296">
      <c r="J1296" s="6"/>
    </row>
    <row r="1297">
      <c r="J1297" s="6"/>
    </row>
    <row r="1298">
      <c r="J1298" s="6"/>
    </row>
    <row r="1299">
      <c r="J1299" s="6"/>
    </row>
    <row r="1300">
      <c r="J1300" s="6"/>
    </row>
    <row r="1301">
      <c r="J1301" s="6"/>
    </row>
    <row r="1302">
      <c r="J1302" s="6"/>
    </row>
    <row r="1303">
      <c r="J1303" s="6"/>
    </row>
    <row r="1304">
      <c r="J1304" s="6"/>
    </row>
    <row r="1305">
      <c r="J1305" s="6"/>
    </row>
    <row r="1306">
      <c r="J1306" s="6"/>
    </row>
    <row r="1307">
      <c r="J1307" s="6"/>
    </row>
    <row r="1308">
      <c r="J1308" s="6"/>
    </row>
    <row r="1309">
      <c r="J1309" s="6"/>
    </row>
    <row r="1310">
      <c r="J1310" s="6"/>
    </row>
    <row r="1311">
      <c r="J1311" s="6"/>
    </row>
    <row r="1312">
      <c r="J1312" s="6"/>
    </row>
    <row r="1313">
      <c r="J1313" s="6"/>
    </row>
    <row r="1314">
      <c r="J1314" s="6"/>
    </row>
    <row r="1315">
      <c r="J1315" s="6"/>
    </row>
    <row r="1316">
      <c r="J1316" s="6"/>
    </row>
    <row r="1317">
      <c r="J1317" s="6"/>
    </row>
    <row r="1318">
      <c r="J1318" s="6"/>
    </row>
    <row r="1319">
      <c r="J1319" s="6"/>
    </row>
    <row r="1320">
      <c r="J1320" s="6"/>
    </row>
    <row r="1321">
      <c r="J1321" s="6"/>
    </row>
    <row r="1322">
      <c r="J1322" s="6"/>
    </row>
    <row r="1323">
      <c r="J1323" s="6"/>
    </row>
    <row r="1324">
      <c r="J1324" s="6"/>
    </row>
    <row r="1325">
      <c r="J1325" s="6"/>
    </row>
    <row r="1326">
      <c r="J1326" s="6"/>
    </row>
    <row r="1327">
      <c r="J1327" s="6"/>
    </row>
    <row r="1328">
      <c r="J1328" s="6"/>
    </row>
    <row r="1329">
      <c r="J1329" s="6"/>
    </row>
    <row r="1330">
      <c r="J1330" s="6"/>
    </row>
    <row r="1331">
      <c r="J1331" s="6"/>
    </row>
    <row r="1332">
      <c r="J1332" s="6"/>
    </row>
    <row r="1333">
      <c r="J1333" s="6"/>
    </row>
    <row r="1334">
      <c r="J1334" s="6"/>
    </row>
    <row r="1335">
      <c r="J1335" s="6"/>
    </row>
    <row r="1336">
      <c r="J1336" s="6"/>
    </row>
    <row r="1337">
      <c r="J1337" s="6"/>
    </row>
    <row r="1338">
      <c r="J1338" s="6"/>
    </row>
    <row r="1339">
      <c r="J1339" s="6"/>
    </row>
    <row r="1340">
      <c r="J1340" s="6"/>
    </row>
    <row r="1341">
      <c r="J1341" s="6"/>
    </row>
    <row r="1342">
      <c r="J1342" s="6"/>
    </row>
    <row r="1343">
      <c r="J1343" s="6"/>
    </row>
    <row r="1344">
      <c r="J1344" s="6"/>
    </row>
    <row r="1345">
      <c r="J1345" s="6"/>
    </row>
    <row r="1346">
      <c r="J1346" s="6"/>
    </row>
    <row r="1347">
      <c r="J1347" s="6"/>
    </row>
    <row r="1348">
      <c r="J1348" s="6"/>
    </row>
    <row r="1349">
      <c r="J1349" s="6"/>
    </row>
    <row r="1350">
      <c r="J1350" s="6"/>
    </row>
    <row r="1351">
      <c r="J1351" s="6"/>
    </row>
    <row r="1352">
      <c r="J1352" s="6"/>
    </row>
    <row r="1353">
      <c r="J1353" s="6"/>
    </row>
    <row r="1354">
      <c r="J1354" s="6"/>
    </row>
    <row r="1355">
      <c r="J1355" s="6"/>
    </row>
    <row r="1356">
      <c r="J1356" s="6"/>
    </row>
    <row r="1357">
      <c r="J1357" s="6"/>
    </row>
    <row r="1358">
      <c r="J1358" s="6"/>
    </row>
    <row r="1359">
      <c r="J1359" s="6"/>
    </row>
    <row r="1360">
      <c r="J1360" s="6"/>
    </row>
    <row r="1361">
      <c r="J1361" s="6"/>
    </row>
    <row r="1362">
      <c r="J1362" s="6"/>
    </row>
    <row r="1363">
      <c r="J1363" s="6"/>
    </row>
    <row r="1364">
      <c r="J1364" s="6"/>
    </row>
    <row r="1365">
      <c r="J1365" s="6"/>
    </row>
    <row r="1366">
      <c r="J1366" s="6"/>
    </row>
    <row r="1367">
      <c r="J1367" s="6"/>
    </row>
    <row r="1368">
      <c r="J1368" s="6"/>
    </row>
    <row r="1369">
      <c r="J1369" s="6"/>
    </row>
    <row r="1370">
      <c r="J1370" s="6"/>
    </row>
    <row r="1371">
      <c r="J1371" s="6"/>
    </row>
    <row r="1372">
      <c r="J1372" s="6"/>
    </row>
    <row r="1373">
      <c r="J1373" s="6"/>
    </row>
    <row r="1374">
      <c r="J1374" s="6"/>
    </row>
    <row r="1375">
      <c r="J1375" s="6"/>
    </row>
    <row r="1376">
      <c r="J1376" s="6"/>
    </row>
    <row r="1377">
      <c r="J1377" s="6"/>
    </row>
    <row r="1378">
      <c r="J1378" s="6"/>
    </row>
    <row r="1379">
      <c r="J1379" s="6"/>
    </row>
    <row r="1380">
      <c r="J1380" s="6"/>
    </row>
    <row r="1381">
      <c r="J1381" s="6"/>
    </row>
    <row r="1382">
      <c r="J1382" s="6"/>
    </row>
    <row r="1383">
      <c r="J1383" s="6"/>
    </row>
    <row r="1384">
      <c r="J1384" s="6"/>
    </row>
    <row r="1385">
      <c r="J1385" s="6"/>
    </row>
    <row r="1386">
      <c r="J1386" s="6"/>
    </row>
    <row r="1387">
      <c r="J1387" s="6"/>
    </row>
    <row r="1388">
      <c r="J1388" s="6"/>
    </row>
    <row r="1389">
      <c r="J1389" s="6"/>
    </row>
    <row r="1390">
      <c r="J1390" s="6"/>
    </row>
    <row r="1391">
      <c r="J1391" s="6"/>
    </row>
    <row r="1392">
      <c r="J1392" s="6"/>
    </row>
    <row r="1393">
      <c r="J1393" s="6"/>
    </row>
    <row r="1394">
      <c r="J1394" s="6"/>
    </row>
    <row r="1395">
      <c r="J1395" s="6"/>
    </row>
    <row r="1396">
      <c r="J1396" s="6"/>
    </row>
    <row r="1397">
      <c r="J1397" s="6"/>
    </row>
    <row r="1398">
      <c r="J1398" s="6"/>
    </row>
    <row r="1399">
      <c r="J1399" s="6"/>
    </row>
    <row r="1400">
      <c r="J1400" s="6"/>
    </row>
    <row r="1401">
      <c r="J1401" s="6"/>
    </row>
    <row r="1402">
      <c r="J1402" s="6"/>
    </row>
    <row r="1403">
      <c r="J1403" s="6"/>
    </row>
    <row r="1404">
      <c r="J1404" s="6"/>
    </row>
    <row r="1405">
      <c r="J1405" s="6"/>
    </row>
    <row r="1406">
      <c r="J1406" s="6"/>
    </row>
    <row r="1407">
      <c r="J1407" s="6"/>
    </row>
    <row r="1408">
      <c r="J1408" s="6"/>
    </row>
    <row r="1409">
      <c r="J1409" s="6"/>
    </row>
    <row r="1410">
      <c r="J1410" s="6"/>
    </row>
    <row r="1411">
      <c r="J1411" s="6"/>
    </row>
    <row r="1412">
      <c r="J1412" s="6"/>
    </row>
    <row r="1413">
      <c r="J1413" s="6"/>
    </row>
    <row r="1414">
      <c r="J1414" s="6"/>
    </row>
    <row r="1415">
      <c r="J1415" s="6"/>
    </row>
    <row r="1416">
      <c r="J1416" s="6"/>
    </row>
    <row r="1417">
      <c r="J1417" s="6"/>
    </row>
    <row r="1418">
      <c r="J1418" s="6"/>
    </row>
    <row r="1419">
      <c r="J1419" s="6"/>
    </row>
    <row r="1420">
      <c r="J1420" s="6"/>
    </row>
    <row r="1421">
      <c r="J1421" s="6"/>
    </row>
    <row r="1422">
      <c r="J1422" s="6"/>
    </row>
    <row r="1423">
      <c r="J1423" s="6"/>
    </row>
    <row r="1424">
      <c r="J1424" s="6"/>
    </row>
    <row r="1425">
      <c r="J1425" s="6"/>
    </row>
    <row r="1426">
      <c r="J1426" s="6"/>
    </row>
    <row r="1427">
      <c r="J1427" s="6"/>
    </row>
    <row r="1428">
      <c r="J1428" s="6"/>
    </row>
    <row r="1429">
      <c r="J1429" s="6"/>
    </row>
    <row r="1430">
      <c r="J1430" s="6"/>
    </row>
    <row r="1431">
      <c r="J1431" s="6"/>
    </row>
    <row r="1432">
      <c r="J1432" s="6"/>
    </row>
    <row r="1433">
      <c r="J1433" s="6"/>
    </row>
    <row r="1434">
      <c r="J1434" s="6"/>
    </row>
    <row r="1435">
      <c r="J1435" s="6"/>
    </row>
    <row r="1436">
      <c r="J1436" s="6"/>
    </row>
    <row r="1437">
      <c r="J1437" s="6"/>
    </row>
    <row r="1438">
      <c r="J1438" s="6"/>
    </row>
    <row r="1439">
      <c r="J1439" s="6"/>
    </row>
    <row r="1440">
      <c r="J1440" s="6"/>
    </row>
    <row r="1441">
      <c r="J1441" s="6"/>
    </row>
    <row r="1442">
      <c r="J1442" s="6"/>
    </row>
    <row r="1443">
      <c r="J1443" s="6"/>
    </row>
    <row r="1444">
      <c r="J1444" s="6"/>
    </row>
    <row r="1445">
      <c r="J1445" s="6"/>
    </row>
    <row r="1446">
      <c r="J1446" s="6"/>
    </row>
    <row r="1447">
      <c r="J1447" s="6"/>
    </row>
    <row r="1448">
      <c r="J1448" s="6"/>
    </row>
    <row r="1449">
      <c r="J1449" s="6"/>
    </row>
    <row r="1450">
      <c r="J1450" s="6"/>
    </row>
    <row r="1451">
      <c r="J1451" s="6"/>
    </row>
    <row r="1452">
      <c r="J1452" s="6"/>
    </row>
    <row r="1453">
      <c r="J1453" s="6"/>
    </row>
    <row r="1454">
      <c r="J1454" s="6"/>
    </row>
    <row r="1455">
      <c r="J1455" s="6"/>
    </row>
    <row r="1456">
      <c r="J1456" s="6"/>
    </row>
    <row r="1457">
      <c r="J1457" s="6"/>
    </row>
    <row r="1458">
      <c r="J1458" s="6"/>
    </row>
    <row r="1459">
      <c r="J1459" s="6"/>
    </row>
    <row r="1460">
      <c r="J1460" s="6"/>
    </row>
    <row r="1461">
      <c r="J1461" s="6"/>
    </row>
    <row r="1462">
      <c r="J1462" s="6"/>
    </row>
    <row r="1463">
      <c r="J1463" s="6"/>
    </row>
    <row r="1464">
      <c r="J1464" s="6"/>
    </row>
    <row r="1465">
      <c r="J1465" s="6"/>
    </row>
    <row r="1466">
      <c r="J1466" s="6"/>
    </row>
    <row r="1467">
      <c r="J1467" s="6"/>
    </row>
    <row r="1468">
      <c r="J1468" s="6"/>
    </row>
    <row r="1469">
      <c r="J1469" s="6"/>
    </row>
    <row r="1470">
      <c r="J1470" s="6"/>
    </row>
    <row r="1471">
      <c r="J1471" s="6"/>
    </row>
    <row r="1472">
      <c r="J1472" s="6"/>
    </row>
    <row r="1473">
      <c r="J1473" s="6"/>
    </row>
    <row r="1474">
      <c r="J1474" s="6"/>
    </row>
    <row r="1475">
      <c r="J1475" s="6"/>
    </row>
    <row r="1476">
      <c r="J1476" s="6"/>
    </row>
    <row r="1477">
      <c r="J1477" s="6"/>
    </row>
    <row r="1478">
      <c r="J1478" s="6"/>
    </row>
    <row r="1479">
      <c r="J1479" s="6"/>
    </row>
    <row r="1480">
      <c r="J1480" s="6"/>
    </row>
    <row r="1481">
      <c r="J1481" s="6"/>
    </row>
    <row r="1482">
      <c r="J1482" s="6"/>
    </row>
    <row r="1483">
      <c r="J1483" s="6"/>
    </row>
    <row r="1484">
      <c r="J1484" s="6"/>
    </row>
    <row r="1485">
      <c r="J1485" s="6"/>
    </row>
    <row r="1486">
      <c r="J1486" s="6"/>
    </row>
    <row r="1487">
      <c r="J1487" s="6"/>
    </row>
    <row r="1488">
      <c r="J1488" s="6"/>
    </row>
    <row r="1489">
      <c r="J1489" s="6"/>
    </row>
    <row r="1490">
      <c r="J1490" s="6"/>
    </row>
    <row r="1491">
      <c r="J1491" s="6"/>
    </row>
    <row r="1492">
      <c r="J1492" s="6"/>
    </row>
    <row r="1493">
      <c r="J1493" s="6"/>
    </row>
    <row r="1494">
      <c r="J1494" s="6"/>
    </row>
    <row r="1495">
      <c r="J1495" s="6"/>
    </row>
    <row r="1496">
      <c r="J1496" s="6"/>
    </row>
    <row r="1497">
      <c r="J1497" s="6"/>
    </row>
    <row r="1498">
      <c r="J1498" s="6"/>
    </row>
    <row r="1499">
      <c r="J1499" s="6"/>
    </row>
    <row r="1500">
      <c r="J1500" s="6"/>
    </row>
    <row r="1501">
      <c r="J1501" s="6"/>
    </row>
    <row r="1502">
      <c r="J1502" s="6"/>
    </row>
    <row r="1503">
      <c r="J1503" s="6"/>
    </row>
    <row r="1504">
      <c r="J1504" s="6"/>
    </row>
    <row r="1505">
      <c r="J1505" s="6"/>
    </row>
    <row r="1506">
      <c r="J1506" s="6"/>
    </row>
    <row r="1507">
      <c r="J1507" s="6"/>
    </row>
    <row r="1508">
      <c r="J1508" s="6"/>
    </row>
    <row r="1509">
      <c r="J1509" s="6"/>
    </row>
    <row r="1510">
      <c r="J1510" s="6"/>
    </row>
    <row r="1511">
      <c r="J1511" s="6"/>
    </row>
    <row r="1512">
      <c r="J1512" s="6"/>
    </row>
    <row r="1513">
      <c r="J1513" s="6"/>
    </row>
    <row r="1514">
      <c r="J1514" s="6"/>
    </row>
    <row r="1515">
      <c r="J1515" s="6"/>
    </row>
    <row r="1516">
      <c r="J1516" s="6"/>
    </row>
    <row r="1517">
      <c r="J1517" s="6"/>
    </row>
    <row r="1518">
      <c r="J1518" s="6"/>
    </row>
    <row r="1519">
      <c r="J1519" s="6"/>
    </row>
    <row r="1520">
      <c r="J1520" s="6"/>
    </row>
    <row r="1521">
      <c r="J1521" s="6"/>
    </row>
    <row r="1522">
      <c r="J1522" s="6"/>
    </row>
    <row r="1523">
      <c r="J1523" s="6"/>
    </row>
    <row r="1524">
      <c r="J1524" s="6"/>
    </row>
    <row r="1525">
      <c r="J1525" s="6"/>
    </row>
    <row r="1526">
      <c r="J1526" s="6"/>
    </row>
    <row r="1527">
      <c r="J1527" s="6"/>
    </row>
    <row r="1528">
      <c r="J1528" s="6"/>
    </row>
    <row r="1529">
      <c r="J1529" s="6"/>
    </row>
    <row r="1530">
      <c r="J1530" s="6"/>
    </row>
    <row r="1531">
      <c r="J1531" s="6"/>
    </row>
    <row r="1532">
      <c r="J1532" s="6"/>
    </row>
    <row r="1533">
      <c r="J1533" s="6"/>
    </row>
    <row r="1534">
      <c r="J1534" s="6"/>
    </row>
    <row r="1535">
      <c r="J1535" s="6"/>
    </row>
    <row r="1536">
      <c r="J1536" s="6"/>
    </row>
    <row r="1537">
      <c r="J1537" s="6"/>
    </row>
    <row r="1538">
      <c r="J1538" s="6"/>
    </row>
    <row r="1539">
      <c r="J1539" s="6"/>
    </row>
    <row r="1540">
      <c r="J1540" s="6"/>
    </row>
    <row r="1541">
      <c r="J1541" s="6"/>
    </row>
    <row r="1542">
      <c r="J1542" s="6"/>
    </row>
    <row r="1543">
      <c r="J1543" s="6"/>
    </row>
    <row r="1544">
      <c r="J1544" s="6"/>
    </row>
    <row r="1545">
      <c r="J1545" s="6"/>
    </row>
    <row r="1546">
      <c r="J1546" s="6"/>
    </row>
    <row r="1547">
      <c r="J1547" s="6"/>
    </row>
    <row r="1548">
      <c r="J1548" s="6"/>
    </row>
    <row r="1549">
      <c r="J1549" s="6"/>
    </row>
    <row r="1550">
      <c r="J1550" s="6"/>
    </row>
    <row r="1551">
      <c r="J1551" s="6"/>
    </row>
    <row r="1552">
      <c r="J1552" s="6"/>
    </row>
    <row r="1553">
      <c r="J1553" s="6"/>
    </row>
    <row r="1554">
      <c r="J1554" s="6"/>
    </row>
    <row r="1555">
      <c r="J1555" s="6"/>
    </row>
    <row r="1556">
      <c r="J1556" s="6"/>
    </row>
    <row r="1557">
      <c r="J1557" s="6"/>
    </row>
    <row r="1558">
      <c r="J1558" s="6"/>
    </row>
    <row r="1559">
      <c r="J1559" s="6"/>
    </row>
    <row r="1560">
      <c r="J1560" s="6"/>
    </row>
    <row r="1561">
      <c r="J1561" s="6"/>
    </row>
    <row r="1562">
      <c r="J1562" s="6"/>
    </row>
    <row r="1563">
      <c r="J1563" s="6"/>
    </row>
    <row r="1564">
      <c r="J1564" s="6"/>
    </row>
    <row r="1565">
      <c r="J1565" s="6"/>
    </row>
    <row r="1566">
      <c r="J1566" s="6"/>
    </row>
    <row r="1567">
      <c r="J1567" s="6"/>
    </row>
    <row r="1568">
      <c r="J1568" s="6"/>
    </row>
    <row r="1569">
      <c r="J1569" s="6"/>
    </row>
    <row r="1570">
      <c r="J1570" s="6"/>
    </row>
    <row r="1571">
      <c r="J1571" s="6"/>
    </row>
    <row r="1572">
      <c r="J1572" s="6"/>
    </row>
    <row r="1573">
      <c r="J1573" s="6"/>
    </row>
    <row r="1574">
      <c r="J1574" s="6"/>
    </row>
    <row r="1575">
      <c r="J1575" s="6"/>
    </row>
    <row r="1576">
      <c r="J1576" s="6"/>
    </row>
    <row r="1577">
      <c r="J1577" s="6"/>
    </row>
    <row r="1578">
      <c r="J1578" s="6"/>
    </row>
    <row r="1579">
      <c r="J1579" s="6"/>
    </row>
    <row r="1580">
      <c r="J1580" s="6"/>
    </row>
    <row r="1581">
      <c r="J1581" s="6"/>
    </row>
    <row r="1582">
      <c r="J1582" s="6"/>
    </row>
    <row r="1583">
      <c r="J1583" s="6"/>
    </row>
    <row r="1584">
      <c r="J1584" s="6"/>
    </row>
    <row r="1585">
      <c r="J1585" s="6"/>
    </row>
    <row r="1586">
      <c r="J1586" s="6"/>
    </row>
    <row r="1587">
      <c r="J1587" s="6"/>
    </row>
    <row r="1588">
      <c r="J1588" s="6"/>
    </row>
  </sheetData>
  <hyperlinks>
    <hyperlink r:id="rId1" ref="I134"/>
    <hyperlink r:id="rId2" ref="I195"/>
    <hyperlink r:id="rId3" ref="I196"/>
    <hyperlink r:id="rId4" ref="I219"/>
    <hyperlink r:id="rId5" ref="I259"/>
    <hyperlink r:id="rId6" ref="I447"/>
    <hyperlink r:id="rId7" ref="I464"/>
    <hyperlink r:id="rId8" ref="I503"/>
    <hyperlink r:id="rId9" ref="I532"/>
    <hyperlink r:id="rId10" ref="I539"/>
    <hyperlink r:id="rId11" ref="I573"/>
    <hyperlink r:id="rId12" ref="I616"/>
    <hyperlink r:id="rId13" ref="I636"/>
    <hyperlink r:id="rId14" ref="I713"/>
    <hyperlink r:id="rId15" ref="I731"/>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10" max="10" width="57.5"/>
  </cols>
  <sheetData>
    <row r="1">
      <c r="A1" s="1" t="s">
        <v>40</v>
      </c>
      <c r="B1" s="1" t="s">
        <v>41</v>
      </c>
      <c r="C1" s="1" t="s">
        <v>42</v>
      </c>
      <c r="D1" s="1" t="s">
        <v>43</v>
      </c>
      <c r="E1" s="1" t="s">
        <v>44</v>
      </c>
      <c r="F1" s="1" t="s">
        <v>45</v>
      </c>
      <c r="G1" s="1" t="s">
        <v>46</v>
      </c>
      <c r="H1" s="1" t="s">
        <v>47</v>
      </c>
      <c r="I1" s="1" t="s">
        <v>48</v>
      </c>
      <c r="J1" s="4"/>
      <c r="K1" s="5"/>
      <c r="L1" s="5"/>
      <c r="M1" s="5"/>
      <c r="N1" s="5"/>
      <c r="O1" s="5"/>
      <c r="P1" s="5"/>
      <c r="Q1" s="5"/>
      <c r="R1" s="5"/>
      <c r="S1" s="5"/>
      <c r="T1" s="5"/>
      <c r="U1" s="5"/>
      <c r="V1" s="5"/>
      <c r="W1" s="5"/>
      <c r="X1" s="5"/>
      <c r="Y1" s="5"/>
      <c r="Z1" s="5"/>
    </row>
    <row r="2">
      <c r="A2" s="2"/>
      <c r="B2" s="83"/>
      <c r="C2" s="2"/>
      <c r="D2" s="84">
        <f>SUM(D5:D610)</f>
        <v>86.65</v>
      </c>
      <c r="E2" s="84">
        <f t="shared" ref="E2:F2" si="1">SUM(E11:E610)</f>
        <v>0</v>
      </c>
      <c r="F2" s="84">
        <f t="shared" si="1"/>
        <v>0</v>
      </c>
      <c r="G2" s="84"/>
      <c r="H2" s="85"/>
      <c r="J2" s="86">
        <v>641.0</v>
      </c>
    </row>
    <row r="3">
      <c r="A3" s="2" t="s">
        <v>2068</v>
      </c>
      <c r="B3" s="2" t="s">
        <v>2069</v>
      </c>
      <c r="C3" s="2" t="s">
        <v>2070</v>
      </c>
      <c r="D3" s="2">
        <v>2.0</v>
      </c>
      <c r="I3" s="2"/>
      <c r="J3" s="6"/>
    </row>
    <row r="4">
      <c r="A4" s="2" t="s">
        <v>2071</v>
      </c>
      <c r="B4" s="2" t="s">
        <v>2072</v>
      </c>
      <c r="C4" s="2">
        <v>12.0</v>
      </c>
      <c r="D4" s="2">
        <v>0.0</v>
      </c>
      <c r="I4" s="2"/>
      <c r="J4" s="6"/>
    </row>
    <row r="5">
      <c r="A5" s="2" t="s">
        <v>2071</v>
      </c>
      <c r="B5" s="2" t="s">
        <v>1217</v>
      </c>
      <c r="C5" s="2">
        <v>8.0</v>
      </c>
      <c r="D5" s="2">
        <v>0.0</v>
      </c>
      <c r="I5" s="2"/>
      <c r="J5" s="6"/>
    </row>
    <row r="6">
      <c r="A6" s="2" t="s">
        <v>2071</v>
      </c>
      <c r="B6" s="2" t="s">
        <v>405</v>
      </c>
      <c r="C6" s="2">
        <v>6.0</v>
      </c>
      <c r="D6" s="2">
        <v>0.0</v>
      </c>
      <c r="I6" s="2"/>
      <c r="J6" s="6"/>
    </row>
    <row r="7">
      <c r="A7" s="2" t="s">
        <v>2073</v>
      </c>
      <c r="B7" s="2" t="s">
        <v>2074</v>
      </c>
      <c r="C7" s="2" t="s">
        <v>2075</v>
      </c>
      <c r="D7" s="2">
        <v>3.0</v>
      </c>
      <c r="I7" s="2"/>
      <c r="J7" s="6"/>
    </row>
    <row r="8">
      <c r="A8" s="2" t="s">
        <v>2076</v>
      </c>
      <c r="B8" s="2" t="s">
        <v>2077</v>
      </c>
      <c r="C8" s="2" t="s">
        <v>57</v>
      </c>
      <c r="D8" s="2">
        <v>9.0</v>
      </c>
      <c r="I8" s="2"/>
      <c r="J8" s="6"/>
    </row>
    <row r="9">
      <c r="A9" s="2" t="s">
        <v>2078</v>
      </c>
      <c r="B9" s="2" t="s">
        <v>2079</v>
      </c>
      <c r="C9" s="2">
        <v>4.0</v>
      </c>
      <c r="D9" s="2">
        <v>0.0</v>
      </c>
      <c r="I9" s="2"/>
      <c r="J9" s="6"/>
    </row>
    <row r="10">
      <c r="A10" s="2" t="s">
        <v>2080</v>
      </c>
      <c r="B10" s="2" t="s">
        <v>2081</v>
      </c>
      <c r="C10" s="2">
        <v>3.0</v>
      </c>
      <c r="D10" s="2">
        <v>0.0</v>
      </c>
      <c r="I10" s="2"/>
      <c r="J10" s="6"/>
    </row>
    <row r="11">
      <c r="A11" s="2" t="s">
        <v>2082</v>
      </c>
      <c r="B11" s="2" t="s">
        <v>2083</v>
      </c>
      <c r="C11" s="2">
        <v>6.0</v>
      </c>
      <c r="D11" s="2">
        <v>2.0</v>
      </c>
      <c r="I11" s="2" t="s">
        <v>2084</v>
      </c>
      <c r="J11" s="6"/>
    </row>
    <row r="12">
      <c r="A12" s="2" t="s">
        <v>2085</v>
      </c>
      <c r="B12" s="2" t="s">
        <v>2086</v>
      </c>
      <c r="C12" s="2">
        <v>1.0</v>
      </c>
      <c r="D12" s="2">
        <v>4.0</v>
      </c>
      <c r="J12" s="6"/>
    </row>
    <row r="13">
      <c r="A13" s="2" t="s">
        <v>2087</v>
      </c>
      <c r="B13" s="2" t="s">
        <v>2088</v>
      </c>
      <c r="C13" s="2" t="s">
        <v>2070</v>
      </c>
      <c r="D13" s="2">
        <v>2.0</v>
      </c>
      <c r="I13" s="2"/>
      <c r="J13" s="6"/>
    </row>
    <row r="14">
      <c r="A14" s="2" t="s">
        <v>2087</v>
      </c>
      <c r="B14" s="2" t="s">
        <v>2089</v>
      </c>
      <c r="C14" s="2">
        <v>2.0</v>
      </c>
      <c r="D14" s="2">
        <v>2.5</v>
      </c>
      <c r="I14" s="2"/>
      <c r="J14" s="6"/>
    </row>
    <row r="15">
      <c r="A15" s="2" t="s">
        <v>2090</v>
      </c>
      <c r="B15" s="2" t="s">
        <v>2091</v>
      </c>
      <c r="C15" s="2">
        <v>11.0</v>
      </c>
      <c r="D15" s="2">
        <v>0.0</v>
      </c>
      <c r="J15" s="6"/>
    </row>
    <row r="16">
      <c r="A16" s="2" t="s">
        <v>2090</v>
      </c>
      <c r="B16" s="2" t="s">
        <v>2092</v>
      </c>
      <c r="C16" s="2">
        <v>1.0</v>
      </c>
      <c r="D16" s="2">
        <v>1.5</v>
      </c>
      <c r="J16" s="6"/>
    </row>
    <row r="17">
      <c r="A17" s="2" t="s">
        <v>2090</v>
      </c>
      <c r="B17" s="2" t="s">
        <v>2093</v>
      </c>
      <c r="C17" s="2">
        <v>12.0</v>
      </c>
      <c r="D17" s="2">
        <v>0.0</v>
      </c>
      <c r="J17" s="6"/>
    </row>
    <row r="18">
      <c r="A18" s="2" t="s">
        <v>2090</v>
      </c>
      <c r="B18" s="2" t="s">
        <v>2094</v>
      </c>
      <c r="C18" s="2">
        <v>4.0</v>
      </c>
      <c r="D18" s="2">
        <v>3.0</v>
      </c>
      <c r="J18" s="6"/>
    </row>
    <row r="19">
      <c r="A19" s="2" t="s">
        <v>2090</v>
      </c>
      <c r="B19" s="2" t="s">
        <v>2095</v>
      </c>
      <c r="C19" s="2">
        <v>3.0</v>
      </c>
      <c r="D19" s="2">
        <v>4.0</v>
      </c>
      <c r="J19" s="6"/>
    </row>
    <row r="20">
      <c r="A20" s="2" t="s">
        <v>1356</v>
      </c>
      <c r="B20" s="2" t="s">
        <v>2096</v>
      </c>
      <c r="C20" s="2">
        <v>2.0</v>
      </c>
      <c r="D20" s="2">
        <v>2.0</v>
      </c>
      <c r="I20" s="2"/>
      <c r="J20" s="6"/>
    </row>
    <row r="21">
      <c r="A21" s="2" t="s">
        <v>2097</v>
      </c>
      <c r="B21" s="2" t="s">
        <v>2098</v>
      </c>
      <c r="C21" s="2">
        <v>5.0</v>
      </c>
      <c r="D21" s="2">
        <v>0.0</v>
      </c>
      <c r="I21" s="2"/>
      <c r="J21" s="6"/>
    </row>
    <row r="22">
      <c r="A22" s="2" t="s">
        <v>2097</v>
      </c>
      <c r="B22" s="2" t="s">
        <v>2099</v>
      </c>
      <c r="C22" s="2">
        <v>5.0</v>
      </c>
      <c r="D22" s="2">
        <v>0.0</v>
      </c>
      <c r="I22" s="2"/>
      <c r="J22" s="6"/>
    </row>
    <row r="23">
      <c r="A23" s="2" t="s">
        <v>284</v>
      </c>
      <c r="B23" s="2" t="s">
        <v>2100</v>
      </c>
      <c r="C23" s="2">
        <v>8.0</v>
      </c>
      <c r="D23" s="2">
        <v>0.0</v>
      </c>
      <c r="I23" s="2"/>
      <c r="J23" s="6"/>
    </row>
    <row r="24">
      <c r="A24" s="2" t="s">
        <v>284</v>
      </c>
      <c r="B24" s="2" t="s">
        <v>2101</v>
      </c>
      <c r="C24" s="2">
        <v>8.0</v>
      </c>
      <c r="D24" s="2">
        <v>4.0</v>
      </c>
      <c r="I24" s="2"/>
      <c r="J24" s="6"/>
    </row>
    <row r="25">
      <c r="A25" s="2" t="s">
        <v>2102</v>
      </c>
      <c r="B25" s="2" t="s">
        <v>2103</v>
      </c>
      <c r="C25" s="2"/>
      <c r="D25" s="2">
        <v>0.0</v>
      </c>
      <c r="I25" s="2"/>
      <c r="J25" s="6"/>
    </row>
    <row r="26">
      <c r="A26" s="2" t="s">
        <v>2104</v>
      </c>
      <c r="B26" s="2" t="s">
        <v>2105</v>
      </c>
      <c r="C26" s="2" t="s">
        <v>2075</v>
      </c>
      <c r="D26" s="2">
        <v>4.0</v>
      </c>
      <c r="I26" s="2"/>
      <c r="J26" s="6"/>
    </row>
    <row r="27">
      <c r="A27" s="2" t="s">
        <v>2106</v>
      </c>
      <c r="B27" s="2" t="s">
        <v>2107</v>
      </c>
      <c r="C27" s="2">
        <v>12.0</v>
      </c>
      <c r="D27" s="2">
        <v>0.0</v>
      </c>
      <c r="I27" s="2"/>
      <c r="J27" s="6"/>
    </row>
    <row r="28">
      <c r="A28" s="2" t="s">
        <v>2106</v>
      </c>
      <c r="B28" s="2" t="s">
        <v>2108</v>
      </c>
      <c r="C28" s="2">
        <v>10.0</v>
      </c>
      <c r="D28" s="2">
        <v>0.0</v>
      </c>
      <c r="I28" s="2"/>
      <c r="J28" s="6"/>
    </row>
    <row r="29">
      <c r="A29" s="2" t="s">
        <v>2109</v>
      </c>
      <c r="B29" s="2" t="s">
        <v>2110</v>
      </c>
      <c r="C29" s="2">
        <v>10.0</v>
      </c>
      <c r="D29" s="2">
        <v>0.0</v>
      </c>
      <c r="I29" s="2"/>
      <c r="J29" s="6"/>
    </row>
    <row r="30">
      <c r="A30" s="2" t="s">
        <v>2109</v>
      </c>
      <c r="B30" s="2" t="s">
        <v>2111</v>
      </c>
      <c r="C30" s="2" t="s">
        <v>2112</v>
      </c>
      <c r="D30" s="2">
        <v>0.0</v>
      </c>
      <c r="I30" s="2"/>
      <c r="J30" s="6"/>
    </row>
    <row r="31">
      <c r="A31" s="2" t="s">
        <v>2113</v>
      </c>
      <c r="B31" s="2" t="s">
        <v>2114</v>
      </c>
      <c r="C31" s="2"/>
      <c r="D31" s="2">
        <v>0.0</v>
      </c>
      <c r="I31" s="2"/>
      <c r="J31" s="6"/>
    </row>
    <row r="32">
      <c r="A32" s="2" t="s">
        <v>2115</v>
      </c>
      <c r="B32" s="2" t="s">
        <v>2116</v>
      </c>
      <c r="C32" s="2">
        <v>5.0</v>
      </c>
      <c r="D32" s="2">
        <v>0.0</v>
      </c>
      <c r="I32" s="2"/>
      <c r="J32" s="6"/>
    </row>
    <row r="33">
      <c r="A33" s="2" t="s">
        <v>1521</v>
      </c>
      <c r="B33" s="2" t="s">
        <v>2117</v>
      </c>
      <c r="C33" s="2">
        <v>10.0</v>
      </c>
      <c r="D33" s="2">
        <v>5.0</v>
      </c>
      <c r="I33" s="2"/>
      <c r="J33" s="6"/>
    </row>
    <row r="34">
      <c r="A34" s="2" t="s">
        <v>2118</v>
      </c>
      <c r="B34" s="2" t="s">
        <v>2119</v>
      </c>
      <c r="C34" s="2">
        <v>8.0</v>
      </c>
      <c r="D34" s="2">
        <v>1.0</v>
      </c>
      <c r="J34" s="6"/>
    </row>
    <row r="35">
      <c r="A35" s="2" t="s">
        <v>2120</v>
      </c>
      <c r="B35" s="2" t="s">
        <v>2121</v>
      </c>
      <c r="C35" s="2" t="s">
        <v>2112</v>
      </c>
      <c r="D35" s="2">
        <v>0.0</v>
      </c>
      <c r="J35" s="6"/>
    </row>
    <row r="36">
      <c r="A36" s="2" t="s">
        <v>2122</v>
      </c>
      <c r="B36" s="2" t="s">
        <v>2123</v>
      </c>
      <c r="C36" s="2">
        <v>5.0</v>
      </c>
      <c r="D36" s="2">
        <v>1.15</v>
      </c>
      <c r="J36" s="6"/>
    </row>
    <row r="37">
      <c r="A37" s="2" t="s">
        <v>2124</v>
      </c>
      <c r="B37" s="2" t="s">
        <v>2125</v>
      </c>
      <c r="C37" s="2">
        <v>12.0</v>
      </c>
      <c r="D37" s="2">
        <v>0.0</v>
      </c>
      <c r="J37" s="6"/>
    </row>
    <row r="38">
      <c r="A38" s="2" t="s">
        <v>2126</v>
      </c>
      <c r="B38" s="2" t="s">
        <v>59</v>
      </c>
      <c r="C38" s="2">
        <v>10.0</v>
      </c>
      <c r="D38" s="2">
        <v>0.0</v>
      </c>
      <c r="J38" s="6"/>
    </row>
    <row r="39">
      <c r="A39" s="2" t="s">
        <v>2126</v>
      </c>
      <c r="B39" s="2" t="s">
        <v>2127</v>
      </c>
      <c r="C39" s="2">
        <v>1.0</v>
      </c>
      <c r="D39" s="2">
        <v>2.5</v>
      </c>
      <c r="J39" s="6"/>
    </row>
    <row r="40">
      <c r="A40" s="2" t="s">
        <v>2126</v>
      </c>
      <c r="B40" s="2" t="s">
        <v>2128</v>
      </c>
      <c r="C40" s="2">
        <v>18.0</v>
      </c>
      <c r="D40" s="2">
        <v>4.0</v>
      </c>
      <c r="J40" s="6"/>
    </row>
    <row r="41">
      <c r="A41" s="2" t="s">
        <v>2129</v>
      </c>
      <c r="B41" s="2" t="s">
        <v>2130</v>
      </c>
      <c r="D41" s="2">
        <v>2.5</v>
      </c>
      <c r="J41" s="6"/>
    </row>
    <row r="42">
      <c r="A42" s="2" t="s">
        <v>2129</v>
      </c>
      <c r="B42" s="2" t="s">
        <v>2131</v>
      </c>
      <c r="C42" s="2">
        <v>14.0</v>
      </c>
      <c r="D42" s="2">
        <v>0.0</v>
      </c>
      <c r="J42" s="6"/>
    </row>
    <row r="43">
      <c r="A43" s="2" t="s">
        <v>486</v>
      </c>
      <c r="B43" s="2" t="s">
        <v>1168</v>
      </c>
      <c r="C43" s="2" t="s">
        <v>2132</v>
      </c>
      <c r="D43" s="2">
        <v>2.0</v>
      </c>
      <c r="J43" s="6"/>
    </row>
    <row r="44">
      <c r="A44" s="2" t="s">
        <v>2133</v>
      </c>
      <c r="B44" s="2" t="s">
        <v>2134</v>
      </c>
      <c r="C44" s="2">
        <v>7.0</v>
      </c>
      <c r="D44" s="2">
        <v>8.5</v>
      </c>
      <c r="J44" s="6"/>
    </row>
    <row r="45">
      <c r="A45" s="2" t="s">
        <v>2135</v>
      </c>
      <c r="B45" s="2" t="s">
        <v>2136</v>
      </c>
      <c r="C45" s="2">
        <v>4.0</v>
      </c>
      <c r="D45" s="2">
        <v>0.0</v>
      </c>
      <c r="J45" s="6"/>
    </row>
    <row r="46">
      <c r="A46" s="2" t="s">
        <v>2137</v>
      </c>
      <c r="B46" s="2" t="s">
        <v>2079</v>
      </c>
      <c r="C46" s="2">
        <v>4.0</v>
      </c>
      <c r="D46" s="2">
        <v>0.0</v>
      </c>
      <c r="J46" s="6"/>
    </row>
    <row r="47">
      <c r="A47" s="2" t="s">
        <v>2137</v>
      </c>
      <c r="B47" s="2" t="s">
        <v>2138</v>
      </c>
      <c r="C47" s="2">
        <v>4.0</v>
      </c>
      <c r="D47" s="2">
        <v>2.0</v>
      </c>
      <c r="J47" s="6"/>
    </row>
    <row r="48">
      <c r="A48" s="2" t="s">
        <v>512</v>
      </c>
      <c r="B48" s="2" t="s">
        <v>928</v>
      </c>
      <c r="C48" s="2">
        <v>11.0</v>
      </c>
      <c r="D48" s="2">
        <v>2.0</v>
      </c>
      <c r="J48" s="6"/>
    </row>
    <row r="49">
      <c r="A49" s="2" t="s">
        <v>2139</v>
      </c>
      <c r="B49" s="2" t="s">
        <v>2140</v>
      </c>
      <c r="C49" s="2">
        <v>4.0</v>
      </c>
      <c r="D49" s="2">
        <v>0.0</v>
      </c>
      <c r="J49" s="6"/>
    </row>
    <row r="50">
      <c r="A50" s="2" t="s">
        <v>2139</v>
      </c>
      <c r="B50" s="2" t="s">
        <v>2141</v>
      </c>
      <c r="C50" s="2" t="s">
        <v>2112</v>
      </c>
      <c r="D50" s="2">
        <v>0.0</v>
      </c>
      <c r="J50" s="6"/>
    </row>
    <row r="51">
      <c r="A51" s="10" t="s">
        <v>2142</v>
      </c>
      <c r="B51" s="10" t="s">
        <v>2143</v>
      </c>
      <c r="C51" s="10">
        <v>4.0</v>
      </c>
      <c r="D51" s="10">
        <v>0.0</v>
      </c>
      <c r="E51" s="11"/>
      <c r="F51" s="11"/>
      <c r="G51" s="11"/>
      <c r="H51" s="10" t="s">
        <v>139</v>
      </c>
      <c r="I51" s="11"/>
      <c r="J51" s="12"/>
      <c r="K51" s="11"/>
      <c r="L51" s="11"/>
      <c r="M51" s="11"/>
      <c r="N51" s="11"/>
      <c r="O51" s="11"/>
      <c r="P51" s="11"/>
      <c r="Q51" s="11"/>
      <c r="R51" s="11"/>
      <c r="S51" s="11"/>
      <c r="T51" s="11"/>
      <c r="U51" s="11"/>
      <c r="V51" s="11"/>
      <c r="W51" s="11"/>
      <c r="X51" s="11"/>
      <c r="Y51" s="11"/>
      <c r="Z51" s="11"/>
    </row>
    <row r="52">
      <c r="A52" s="2" t="s">
        <v>2144</v>
      </c>
      <c r="B52" s="2" t="s">
        <v>2145</v>
      </c>
      <c r="C52" s="2">
        <v>5.0</v>
      </c>
      <c r="D52" s="2">
        <v>2.0</v>
      </c>
      <c r="J52" s="6"/>
    </row>
    <row r="53">
      <c r="A53" s="2" t="s">
        <v>2146</v>
      </c>
      <c r="B53" s="2" t="s">
        <v>2147</v>
      </c>
      <c r="C53" s="2">
        <v>18.0</v>
      </c>
      <c r="D53" s="2">
        <v>3.5</v>
      </c>
      <c r="J53" s="6"/>
    </row>
    <row r="54">
      <c r="A54" s="2" t="s">
        <v>2148</v>
      </c>
      <c r="B54" s="2" t="s">
        <v>2149</v>
      </c>
      <c r="C54" s="2">
        <v>5.0</v>
      </c>
      <c r="D54" s="2">
        <v>0.0</v>
      </c>
      <c r="J54" s="6"/>
    </row>
    <row r="55">
      <c r="A55" s="2" t="s">
        <v>1784</v>
      </c>
      <c r="B55" s="2" t="s">
        <v>2150</v>
      </c>
      <c r="C55" s="2">
        <v>4.0</v>
      </c>
      <c r="D55" s="2">
        <v>0.0</v>
      </c>
      <c r="J55" s="6"/>
    </row>
    <row r="56">
      <c r="A56" s="2" t="s">
        <v>1784</v>
      </c>
      <c r="B56" s="2" t="s">
        <v>2151</v>
      </c>
      <c r="C56" s="2">
        <v>12.0</v>
      </c>
      <c r="D56" s="2">
        <v>0.0</v>
      </c>
      <c r="J56" s="6"/>
    </row>
    <row r="57">
      <c r="A57" s="2" t="s">
        <v>1784</v>
      </c>
      <c r="B57" s="2" t="s">
        <v>1179</v>
      </c>
      <c r="C57" s="2">
        <v>12.0</v>
      </c>
      <c r="D57" s="2">
        <v>0.0</v>
      </c>
      <c r="J57" s="6"/>
    </row>
    <row r="58">
      <c r="A58" s="2" t="s">
        <v>2152</v>
      </c>
      <c r="B58" s="2" t="s">
        <v>2153</v>
      </c>
      <c r="C58" s="2">
        <v>2.0</v>
      </c>
      <c r="D58" s="2">
        <v>3.0</v>
      </c>
      <c r="J58" s="6"/>
    </row>
    <row r="59">
      <c r="A59" s="2" t="s">
        <v>1808</v>
      </c>
      <c r="B59" s="2" t="s">
        <v>2154</v>
      </c>
      <c r="C59" s="2">
        <v>5.0</v>
      </c>
      <c r="D59" s="2">
        <v>0.0</v>
      </c>
      <c r="J59" s="6"/>
    </row>
    <row r="60">
      <c r="A60" s="2" t="s">
        <v>1808</v>
      </c>
      <c r="B60" s="2" t="s">
        <v>991</v>
      </c>
      <c r="C60" s="2">
        <v>8.0</v>
      </c>
      <c r="D60" s="2">
        <v>0.0</v>
      </c>
      <c r="J60" s="6"/>
    </row>
    <row r="61">
      <c r="A61" s="2" t="s">
        <v>1808</v>
      </c>
      <c r="B61" s="2" t="s">
        <v>1741</v>
      </c>
      <c r="C61" s="2">
        <v>12.0</v>
      </c>
      <c r="D61" s="2">
        <v>0.0</v>
      </c>
      <c r="J61" s="6"/>
    </row>
    <row r="62">
      <c r="A62" s="2" t="s">
        <v>808</v>
      </c>
      <c r="B62" s="2" t="s">
        <v>2155</v>
      </c>
      <c r="C62" s="2">
        <v>10.0</v>
      </c>
      <c r="D62" s="2">
        <v>0.0</v>
      </c>
      <c r="J62" s="6"/>
    </row>
    <row r="63">
      <c r="A63" s="2" t="s">
        <v>2156</v>
      </c>
      <c r="B63" s="2" t="s">
        <v>2157</v>
      </c>
      <c r="C63" s="2">
        <v>10.0</v>
      </c>
      <c r="D63" s="2">
        <v>0.0</v>
      </c>
      <c r="J63" s="6"/>
    </row>
    <row r="64">
      <c r="A64" s="2" t="s">
        <v>2158</v>
      </c>
      <c r="B64" s="2" t="s">
        <v>2159</v>
      </c>
      <c r="C64" s="2">
        <v>12.0</v>
      </c>
      <c r="D64" s="2">
        <v>0.0</v>
      </c>
      <c r="J64" s="6"/>
    </row>
    <row r="65">
      <c r="A65" s="2" t="s">
        <v>2160</v>
      </c>
      <c r="B65" s="2" t="s">
        <v>2161</v>
      </c>
      <c r="C65" s="2" t="s">
        <v>2112</v>
      </c>
      <c r="D65" s="2">
        <v>0.0</v>
      </c>
      <c r="J65" s="6"/>
    </row>
    <row r="66">
      <c r="A66" s="2" t="s">
        <v>2160</v>
      </c>
      <c r="B66" s="2" t="s">
        <v>2162</v>
      </c>
      <c r="C66" s="2"/>
      <c r="D66" s="2">
        <v>0.0</v>
      </c>
      <c r="J66" s="6"/>
    </row>
    <row r="67">
      <c r="A67" s="2" t="s">
        <v>2163</v>
      </c>
      <c r="B67" s="2" t="s">
        <v>2164</v>
      </c>
      <c r="C67" s="2">
        <v>10.0</v>
      </c>
      <c r="D67" s="2">
        <v>5.0</v>
      </c>
      <c r="J67" s="6"/>
    </row>
    <row r="68">
      <c r="A68" s="2" t="s">
        <v>2165</v>
      </c>
      <c r="B68" s="2" t="s">
        <v>952</v>
      </c>
      <c r="C68" s="2">
        <v>8.0</v>
      </c>
      <c r="D68" s="2">
        <v>0.0</v>
      </c>
      <c r="J68" s="6"/>
    </row>
    <row r="69">
      <c r="A69" s="2" t="s">
        <v>2166</v>
      </c>
      <c r="B69" s="2" t="s">
        <v>759</v>
      </c>
      <c r="C69" s="2">
        <v>4.0</v>
      </c>
      <c r="D69" s="2">
        <v>0.0</v>
      </c>
      <c r="J69" s="6"/>
    </row>
    <row r="70">
      <c r="A70" s="2" t="s">
        <v>2167</v>
      </c>
      <c r="B70" s="2" t="s">
        <v>2168</v>
      </c>
      <c r="C70" s="87">
        <v>45973.0</v>
      </c>
      <c r="D70" s="2">
        <v>1.5</v>
      </c>
      <c r="J70" s="6"/>
    </row>
    <row r="71">
      <c r="A71" s="2" t="s">
        <v>1094</v>
      </c>
      <c r="B71" s="2" t="s">
        <v>2169</v>
      </c>
      <c r="C71" s="2">
        <v>5.0</v>
      </c>
      <c r="D71" s="2">
        <v>0.0</v>
      </c>
      <c r="J71" s="6"/>
    </row>
    <row r="72">
      <c r="J72" s="6"/>
    </row>
    <row r="73">
      <c r="J73" s="6"/>
    </row>
    <row r="74">
      <c r="J74" s="6"/>
    </row>
    <row r="75">
      <c r="J75" s="6"/>
    </row>
    <row r="76">
      <c r="J76" s="6"/>
    </row>
    <row r="77">
      <c r="J77" s="6"/>
    </row>
    <row r="78">
      <c r="J78" s="6"/>
    </row>
    <row r="79">
      <c r="J79" s="6"/>
    </row>
    <row r="80">
      <c r="J80" s="6"/>
    </row>
    <row r="81">
      <c r="J81" s="6"/>
    </row>
    <row r="82">
      <c r="J82" s="6"/>
    </row>
    <row r="83">
      <c r="J83" s="6"/>
    </row>
    <row r="84">
      <c r="J84" s="6"/>
    </row>
    <row r="85">
      <c r="J85" s="6"/>
    </row>
    <row r="86">
      <c r="J86" s="6"/>
    </row>
    <row r="87">
      <c r="J87" s="6"/>
    </row>
    <row r="88">
      <c r="J88" s="6"/>
    </row>
    <row r="89">
      <c r="J89" s="6"/>
    </row>
    <row r="90">
      <c r="J90" s="6"/>
    </row>
    <row r="91">
      <c r="J91" s="6"/>
    </row>
    <row r="92">
      <c r="J92" s="6"/>
    </row>
    <row r="93">
      <c r="J93" s="6"/>
    </row>
    <row r="94">
      <c r="J94" s="6"/>
    </row>
    <row r="95">
      <c r="J95" s="6"/>
    </row>
    <row r="96">
      <c r="J96" s="6"/>
    </row>
    <row r="97">
      <c r="J97" s="6"/>
    </row>
    <row r="98">
      <c r="J98" s="6"/>
    </row>
    <row r="99">
      <c r="J99" s="6"/>
    </row>
    <row r="100">
      <c r="J100" s="6"/>
    </row>
    <row r="101">
      <c r="J101" s="6"/>
    </row>
    <row r="102">
      <c r="J102" s="6"/>
    </row>
    <row r="103">
      <c r="J103" s="6"/>
    </row>
    <row r="104">
      <c r="J104" s="6"/>
    </row>
    <row r="105">
      <c r="J105" s="6"/>
    </row>
    <row r="106">
      <c r="J106" s="6"/>
    </row>
    <row r="107">
      <c r="J107" s="6"/>
    </row>
    <row r="108">
      <c r="J108" s="6"/>
    </row>
    <row r="109">
      <c r="J109" s="6"/>
    </row>
    <row r="110">
      <c r="J110" s="6"/>
    </row>
    <row r="111">
      <c r="J111" s="6"/>
    </row>
    <row r="112">
      <c r="J112" s="6"/>
    </row>
    <row r="113">
      <c r="J113" s="6"/>
    </row>
    <row r="114">
      <c r="J114" s="6"/>
    </row>
    <row r="115">
      <c r="J115" s="6"/>
    </row>
    <row r="116">
      <c r="J116" s="6"/>
    </row>
    <row r="117">
      <c r="J117" s="6"/>
    </row>
    <row r="118">
      <c r="J118" s="6"/>
    </row>
    <row r="119">
      <c r="J119" s="6"/>
    </row>
    <row r="120">
      <c r="J120" s="6"/>
    </row>
    <row r="121">
      <c r="J121" s="6"/>
    </row>
    <row r="122">
      <c r="J122" s="6"/>
    </row>
    <row r="123">
      <c r="J123" s="6"/>
    </row>
    <row r="124">
      <c r="J124" s="6"/>
    </row>
    <row r="125">
      <c r="J125" s="6"/>
    </row>
    <row r="126">
      <c r="J126" s="6"/>
    </row>
    <row r="127">
      <c r="J127" s="6"/>
    </row>
    <row r="128">
      <c r="J128" s="6"/>
    </row>
    <row r="129">
      <c r="J129" s="6"/>
    </row>
    <row r="130">
      <c r="J130" s="6"/>
    </row>
    <row r="131">
      <c r="J131" s="6"/>
    </row>
    <row r="132">
      <c r="J132" s="6"/>
    </row>
    <row r="133">
      <c r="J133" s="6"/>
    </row>
    <row r="134">
      <c r="J134" s="6"/>
    </row>
    <row r="135">
      <c r="J135" s="6"/>
    </row>
    <row r="136">
      <c r="J136" s="6"/>
    </row>
    <row r="137">
      <c r="J137" s="6"/>
    </row>
    <row r="138">
      <c r="J138" s="6"/>
    </row>
    <row r="139">
      <c r="J139" s="6"/>
    </row>
    <row r="140">
      <c r="J140" s="6"/>
    </row>
    <row r="141">
      <c r="J141" s="6"/>
    </row>
    <row r="142">
      <c r="J142" s="6"/>
    </row>
    <row r="143">
      <c r="J143" s="6"/>
    </row>
    <row r="144">
      <c r="J144" s="6"/>
    </row>
    <row r="145">
      <c r="J145" s="6"/>
    </row>
    <row r="146">
      <c r="J146" s="6"/>
    </row>
    <row r="147">
      <c r="J147" s="6"/>
    </row>
    <row r="148">
      <c r="J148" s="6"/>
    </row>
    <row r="149">
      <c r="J149" s="6"/>
    </row>
    <row r="150">
      <c r="J150" s="6"/>
    </row>
    <row r="151">
      <c r="J151" s="6"/>
    </row>
    <row r="152">
      <c r="J152" s="6"/>
    </row>
    <row r="153">
      <c r="J153" s="6"/>
    </row>
    <row r="154">
      <c r="J154" s="6"/>
    </row>
    <row r="155">
      <c r="J155" s="6"/>
    </row>
    <row r="156">
      <c r="J156" s="6"/>
    </row>
    <row r="157">
      <c r="J157" s="6"/>
    </row>
    <row r="158">
      <c r="J158" s="6"/>
    </row>
    <row r="159">
      <c r="J159" s="6"/>
    </row>
    <row r="160">
      <c r="J160" s="6"/>
    </row>
    <row r="161">
      <c r="J161" s="6"/>
    </row>
    <row r="162">
      <c r="J162" s="6"/>
    </row>
    <row r="163">
      <c r="J163" s="6"/>
    </row>
    <row r="164">
      <c r="J164" s="6"/>
    </row>
    <row r="165">
      <c r="J165" s="6"/>
    </row>
    <row r="166">
      <c r="J166" s="6"/>
    </row>
    <row r="167">
      <c r="J167" s="6"/>
    </row>
    <row r="168">
      <c r="J168" s="6"/>
    </row>
    <row r="169">
      <c r="J169" s="6"/>
    </row>
    <row r="170">
      <c r="J170" s="6"/>
    </row>
    <row r="171">
      <c r="J171" s="6"/>
    </row>
    <row r="172">
      <c r="J172" s="6"/>
    </row>
    <row r="173">
      <c r="J173" s="6"/>
    </row>
    <row r="174">
      <c r="J174" s="6"/>
    </row>
    <row r="175">
      <c r="J175" s="6"/>
    </row>
    <row r="176">
      <c r="J176" s="6"/>
    </row>
    <row r="177">
      <c r="J177" s="6"/>
    </row>
    <row r="178">
      <c r="J178" s="6"/>
    </row>
    <row r="179">
      <c r="J179" s="6"/>
    </row>
    <row r="180">
      <c r="J180" s="6"/>
    </row>
    <row r="181">
      <c r="J181" s="6"/>
    </row>
    <row r="182">
      <c r="J182" s="6"/>
    </row>
    <row r="183">
      <c r="J183" s="6"/>
    </row>
    <row r="184">
      <c r="J184" s="6"/>
    </row>
    <row r="185">
      <c r="J185" s="6"/>
    </row>
    <row r="186">
      <c r="J186" s="6"/>
    </row>
    <row r="187">
      <c r="J187" s="6"/>
    </row>
    <row r="188">
      <c r="J188" s="6"/>
    </row>
    <row r="189">
      <c r="J189" s="6"/>
    </row>
    <row r="190">
      <c r="J190" s="6"/>
    </row>
    <row r="191">
      <c r="J191" s="6"/>
    </row>
    <row r="192">
      <c r="J192" s="6"/>
    </row>
    <row r="193">
      <c r="J193" s="6"/>
    </row>
    <row r="194">
      <c r="J194" s="6"/>
    </row>
    <row r="195">
      <c r="J195" s="6"/>
    </row>
    <row r="196">
      <c r="J196" s="6"/>
    </row>
    <row r="197">
      <c r="J197" s="6"/>
    </row>
    <row r="198">
      <c r="J198" s="6"/>
    </row>
    <row r="199">
      <c r="J199" s="6"/>
    </row>
    <row r="200">
      <c r="J200" s="6"/>
    </row>
    <row r="201">
      <c r="J201" s="6"/>
    </row>
    <row r="202">
      <c r="J202" s="6"/>
    </row>
    <row r="203">
      <c r="J203" s="6"/>
    </row>
    <row r="204">
      <c r="J204" s="6"/>
    </row>
    <row r="205">
      <c r="J205" s="6"/>
    </row>
    <row r="206">
      <c r="J206" s="6"/>
    </row>
    <row r="207">
      <c r="J207" s="6"/>
    </row>
    <row r="208">
      <c r="J208" s="6"/>
    </row>
    <row r="209">
      <c r="J209" s="6"/>
    </row>
    <row r="210">
      <c r="J210" s="6"/>
    </row>
    <row r="211">
      <c r="J211" s="6"/>
    </row>
    <row r="212">
      <c r="J212" s="6"/>
    </row>
    <row r="213">
      <c r="J213" s="6"/>
    </row>
    <row r="214">
      <c r="J214" s="6"/>
    </row>
    <row r="215">
      <c r="J215" s="6"/>
    </row>
    <row r="216">
      <c r="J216" s="6"/>
    </row>
    <row r="217">
      <c r="J217" s="6"/>
    </row>
    <row r="218">
      <c r="J218" s="6"/>
    </row>
    <row r="219">
      <c r="J219" s="6"/>
    </row>
    <row r="220">
      <c r="J220" s="6"/>
    </row>
    <row r="221">
      <c r="J221" s="6"/>
    </row>
    <row r="222">
      <c r="J222" s="6"/>
    </row>
    <row r="223">
      <c r="J223" s="6"/>
    </row>
    <row r="224">
      <c r="J224" s="6"/>
    </row>
    <row r="225">
      <c r="J225" s="6"/>
    </row>
    <row r="226">
      <c r="J226" s="6"/>
    </row>
    <row r="227">
      <c r="J227" s="6"/>
    </row>
    <row r="228">
      <c r="J228" s="6"/>
    </row>
    <row r="229">
      <c r="J229" s="6"/>
    </row>
    <row r="230">
      <c r="J230" s="6"/>
    </row>
    <row r="231">
      <c r="J231" s="6"/>
    </row>
    <row r="232">
      <c r="J232" s="6"/>
    </row>
    <row r="233">
      <c r="J233" s="6"/>
    </row>
    <row r="234">
      <c r="J234" s="6"/>
    </row>
    <row r="235">
      <c r="J235" s="6"/>
    </row>
    <row r="236">
      <c r="J236" s="6"/>
    </row>
    <row r="237">
      <c r="J237" s="6"/>
    </row>
    <row r="238">
      <c r="J238" s="6"/>
    </row>
    <row r="239">
      <c r="J239" s="6"/>
    </row>
    <row r="240">
      <c r="J240" s="6"/>
    </row>
    <row r="241">
      <c r="J241" s="6"/>
    </row>
    <row r="242">
      <c r="J242" s="6"/>
    </row>
    <row r="243">
      <c r="J243" s="6"/>
    </row>
    <row r="244">
      <c r="J244" s="6"/>
    </row>
    <row r="245">
      <c r="J245" s="6"/>
    </row>
    <row r="246">
      <c r="J246" s="6"/>
    </row>
    <row r="247">
      <c r="J247" s="6"/>
    </row>
    <row r="248">
      <c r="J248" s="6"/>
    </row>
    <row r="249">
      <c r="J249" s="6"/>
    </row>
    <row r="250">
      <c r="J250" s="6"/>
    </row>
    <row r="251">
      <c r="J251" s="6"/>
    </row>
    <row r="252">
      <c r="J252" s="6"/>
    </row>
    <row r="253">
      <c r="J253" s="6"/>
    </row>
    <row r="254">
      <c r="J254" s="6"/>
    </row>
    <row r="255">
      <c r="J255" s="6"/>
    </row>
    <row r="256">
      <c r="J256" s="6"/>
    </row>
    <row r="257">
      <c r="J257" s="6"/>
    </row>
    <row r="258">
      <c r="J258" s="6"/>
    </row>
    <row r="259">
      <c r="J259" s="6"/>
    </row>
    <row r="260">
      <c r="J260" s="6"/>
    </row>
    <row r="261">
      <c r="J261" s="6"/>
    </row>
    <row r="262">
      <c r="J262" s="6"/>
    </row>
    <row r="263">
      <c r="J263" s="6"/>
    </row>
    <row r="264">
      <c r="J264" s="6"/>
    </row>
    <row r="265">
      <c r="J265" s="6"/>
    </row>
    <row r="266">
      <c r="J266" s="6"/>
    </row>
    <row r="267">
      <c r="J267" s="6"/>
    </row>
    <row r="268">
      <c r="J268" s="6"/>
    </row>
    <row r="269">
      <c r="J269" s="6"/>
    </row>
    <row r="270">
      <c r="J270" s="6"/>
    </row>
    <row r="271">
      <c r="J271" s="6"/>
    </row>
    <row r="272">
      <c r="J272" s="6"/>
    </row>
    <row r="273">
      <c r="J273" s="6"/>
    </row>
    <row r="274">
      <c r="J274" s="6"/>
    </row>
    <row r="275">
      <c r="J275" s="6"/>
    </row>
    <row r="276">
      <c r="J276" s="6"/>
    </row>
    <row r="277">
      <c r="J277" s="6"/>
    </row>
    <row r="278">
      <c r="J278" s="6"/>
    </row>
    <row r="279">
      <c r="J279" s="6"/>
    </row>
    <row r="280">
      <c r="J280" s="6"/>
    </row>
    <row r="281">
      <c r="J281" s="6"/>
    </row>
    <row r="282">
      <c r="J282" s="6"/>
    </row>
    <row r="283">
      <c r="J283" s="6"/>
    </row>
    <row r="284">
      <c r="J284" s="6"/>
    </row>
    <row r="285">
      <c r="J285" s="6"/>
    </row>
    <row r="286">
      <c r="J286" s="6"/>
    </row>
    <row r="287">
      <c r="J287" s="6"/>
    </row>
    <row r="288">
      <c r="J288" s="6"/>
    </row>
    <row r="289">
      <c r="J289" s="6"/>
    </row>
    <row r="290">
      <c r="J290" s="6"/>
    </row>
    <row r="291">
      <c r="J291" s="6"/>
    </row>
    <row r="292">
      <c r="J292" s="6"/>
    </row>
    <row r="293">
      <c r="J293" s="6"/>
    </row>
    <row r="294">
      <c r="J294" s="6"/>
    </row>
    <row r="295">
      <c r="J295" s="6"/>
    </row>
    <row r="296">
      <c r="J296" s="6"/>
    </row>
    <row r="297">
      <c r="J297" s="6"/>
    </row>
    <row r="298">
      <c r="J298" s="6"/>
    </row>
    <row r="299">
      <c r="J299" s="6"/>
    </row>
    <row r="300">
      <c r="J300" s="6"/>
    </row>
    <row r="301">
      <c r="J301" s="6"/>
    </row>
    <row r="302">
      <c r="J302" s="6"/>
    </row>
    <row r="303">
      <c r="J303" s="6"/>
    </row>
    <row r="304">
      <c r="J304" s="6"/>
    </row>
    <row r="305">
      <c r="J305" s="6"/>
    </row>
    <row r="306">
      <c r="J306" s="6"/>
    </row>
    <row r="307">
      <c r="J307" s="6"/>
    </row>
    <row r="308">
      <c r="J308" s="6"/>
    </row>
    <row r="309">
      <c r="J309" s="6"/>
    </row>
    <row r="310">
      <c r="J310" s="6"/>
    </row>
    <row r="311">
      <c r="J311" s="6"/>
    </row>
    <row r="312">
      <c r="J312" s="6"/>
    </row>
    <row r="313">
      <c r="J313" s="6"/>
    </row>
    <row r="314">
      <c r="J314" s="6"/>
    </row>
    <row r="315">
      <c r="J315" s="6"/>
    </row>
    <row r="316">
      <c r="J316" s="6"/>
    </row>
    <row r="317">
      <c r="J317" s="6"/>
    </row>
    <row r="318">
      <c r="J318" s="6"/>
    </row>
    <row r="319">
      <c r="J319" s="6"/>
    </row>
    <row r="320">
      <c r="J320" s="6"/>
    </row>
    <row r="321">
      <c r="J321" s="6"/>
    </row>
    <row r="322">
      <c r="J322" s="6"/>
    </row>
    <row r="323">
      <c r="J323" s="6"/>
    </row>
    <row r="324">
      <c r="J324" s="6"/>
    </row>
    <row r="325">
      <c r="J325" s="6"/>
    </row>
    <row r="326">
      <c r="J326" s="6"/>
    </row>
    <row r="327">
      <c r="J327" s="6"/>
    </row>
    <row r="328">
      <c r="J328" s="6"/>
    </row>
    <row r="329">
      <c r="J329" s="6"/>
    </row>
    <row r="330">
      <c r="J330" s="6"/>
    </row>
    <row r="331">
      <c r="J331" s="6"/>
    </row>
    <row r="332">
      <c r="J332" s="6"/>
    </row>
    <row r="333">
      <c r="J333" s="6"/>
    </row>
    <row r="334">
      <c r="J334" s="6"/>
    </row>
    <row r="335">
      <c r="J335" s="6"/>
    </row>
    <row r="336">
      <c r="J336" s="6"/>
    </row>
    <row r="337">
      <c r="J337" s="6"/>
    </row>
    <row r="338">
      <c r="J338" s="6"/>
    </row>
    <row r="339">
      <c r="J339" s="6"/>
    </row>
    <row r="340">
      <c r="J340" s="6"/>
    </row>
    <row r="341">
      <c r="J341" s="6"/>
    </row>
    <row r="342">
      <c r="J342" s="6"/>
    </row>
    <row r="343">
      <c r="J343" s="6"/>
    </row>
    <row r="344">
      <c r="J344" s="6"/>
    </row>
    <row r="345">
      <c r="J345" s="6"/>
    </row>
    <row r="346">
      <c r="J346" s="6"/>
    </row>
    <row r="347">
      <c r="J347" s="6"/>
    </row>
    <row r="348">
      <c r="J348" s="6"/>
    </row>
    <row r="349">
      <c r="J349" s="6"/>
    </row>
    <row r="350">
      <c r="J350" s="6"/>
    </row>
    <row r="351">
      <c r="J351" s="6"/>
    </row>
    <row r="352">
      <c r="J352" s="6"/>
    </row>
    <row r="353">
      <c r="J353" s="6"/>
    </row>
    <row r="354">
      <c r="J354" s="6"/>
    </row>
    <row r="355">
      <c r="J355" s="6"/>
    </row>
    <row r="356">
      <c r="J356" s="6"/>
    </row>
    <row r="357">
      <c r="J357" s="6"/>
    </row>
    <row r="358">
      <c r="J358" s="6"/>
    </row>
    <row r="359">
      <c r="J359" s="6"/>
    </row>
    <row r="360">
      <c r="J360" s="6"/>
    </row>
    <row r="361">
      <c r="J361" s="6"/>
    </row>
    <row r="362">
      <c r="J362" s="6"/>
    </row>
    <row r="363">
      <c r="J363" s="6"/>
    </row>
    <row r="364">
      <c r="J364" s="6"/>
    </row>
    <row r="365">
      <c r="J365" s="6"/>
    </row>
    <row r="366">
      <c r="J366" s="6"/>
    </row>
    <row r="367">
      <c r="J367" s="6"/>
    </row>
    <row r="368">
      <c r="J368" s="6"/>
    </row>
    <row r="369">
      <c r="J369" s="6"/>
    </row>
    <row r="370">
      <c r="J370" s="6"/>
    </row>
    <row r="371">
      <c r="J371" s="6"/>
    </row>
    <row r="372">
      <c r="J372" s="6"/>
    </row>
    <row r="373">
      <c r="J373" s="6"/>
    </row>
    <row r="374">
      <c r="J374" s="6"/>
    </row>
    <row r="375">
      <c r="J375" s="6"/>
    </row>
    <row r="376">
      <c r="J376" s="6"/>
    </row>
    <row r="377">
      <c r="J377" s="6"/>
    </row>
    <row r="378">
      <c r="J378" s="6"/>
    </row>
    <row r="379">
      <c r="J379" s="6"/>
    </row>
    <row r="380">
      <c r="J380" s="6"/>
    </row>
    <row r="381">
      <c r="J381" s="6"/>
    </row>
    <row r="382">
      <c r="J382" s="6"/>
    </row>
    <row r="383">
      <c r="J383" s="6"/>
    </row>
    <row r="384">
      <c r="J384" s="6"/>
    </row>
    <row r="385">
      <c r="J385" s="6"/>
    </row>
    <row r="386">
      <c r="J386" s="6"/>
    </row>
    <row r="387">
      <c r="J387" s="6"/>
    </row>
    <row r="388">
      <c r="J388" s="6"/>
    </row>
    <row r="389">
      <c r="J389" s="6"/>
    </row>
    <row r="390">
      <c r="J390" s="6"/>
    </row>
    <row r="391">
      <c r="J391" s="6"/>
    </row>
    <row r="392">
      <c r="J392" s="6"/>
    </row>
    <row r="393">
      <c r="J393" s="6"/>
    </row>
    <row r="394">
      <c r="J394" s="6"/>
    </row>
    <row r="395">
      <c r="J395" s="6"/>
    </row>
    <row r="396">
      <c r="J396" s="6"/>
    </row>
    <row r="397">
      <c r="J397" s="6"/>
    </row>
    <row r="398">
      <c r="J398" s="6"/>
    </row>
    <row r="399">
      <c r="J399" s="6"/>
    </row>
    <row r="400">
      <c r="J400" s="6"/>
    </row>
    <row r="401">
      <c r="J401" s="6"/>
    </row>
    <row r="402">
      <c r="J402" s="6"/>
    </row>
    <row r="403">
      <c r="J403" s="6"/>
    </row>
    <row r="404">
      <c r="J404" s="6"/>
    </row>
    <row r="405">
      <c r="J405" s="6"/>
    </row>
    <row r="406">
      <c r="J406" s="6"/>
    </row>
    <row r="407">
      <c r="J407" s="6"/>
    </row>
    <row r="408">
      <c r="J408" s="6"/>
    </row>
    <row r="409">
      <c r="J409" s="6"/>
    </row>
    <row r="410">
      <c r="J410" s="6"/>
    </row>
    <row r="411">
      <c r="J411" s="6"/>
    </row>
    <row r="412">
      <c r="J412" s="6"/>
    </row>
    <row r="413">
      <c r="J413" s="6"/>
    </row>
    <row r="414">
      <c r="J414" s="6"/>
    </row>
    <row r="415">
      <c r="J415" s="6"/>
    </row>
    <row r="416">
      <c r="J416" s="6"/>
    </row>
    <row r="417">
      <c r="J417" s="6"/>
    </row>
    <row r="418">
      <c r="J418" s="6"/>
    </row>
    <row r="419">
      <c r="J419" s="6"/>
    </row>
    <row r="420">
      <c r="J420" s="6"/>
    </row>
    <row r="421">
      <c r="J421" s="6"/>
    </row>
    <row r="422">
      <c r="J422" s="6"/>
    </row>
    <row r="423">
      <c r="J423" s="6"/>
    </row>
    <row r="424">
      <c r="J424" s="6"/>
    </row>
    <row r="425">
      <c r="J425" s="6"/>
    </row>
    <row r="426">
      <c r="J426" s="6"/>
    </row>
    <row r="427">
      <c r="J427" s="6"/>
    </row>
    <row r="428">
      <c r="J428" s="6"/>
    </row>
    <row r="429">
      <c r="J429" s="6"/>
    </row>
    <row r="430">
      <c r="J430" s="6"/>
    </row>
    <row r="431">
      <c r="J431" s="6"/>
    </row>
    <row r="432">
      <c r="J432" s="6"/>
    </row>
    <row r="433">
      <c r="J433" s="6"/>
    </row>
    <row r="434">
      <c r="J434" s="6"/>
    </row>
    <row r="435">
      <c r="J435" s="6"/>
    </row>
    <row r="436">
      <c r="J436" s="6"/>
    </row>
    <row r="437">
      <c r="J437" s="6"/>
    </row>
    <row r="438">
      <c r="J438" s="6"/>
    </row>
    <row r="439">
      <c r="J439" s="6"/>
    </row>
    <row r="440">
      <c r="J440" s="6"/>
    </row>
    <row r="441">
      <c r="J441" s="6"/>
    </row>
    <row r="442">
      <c r="J442" s="6"/>
    </row>
    <row r="443">
      <c r="J443" s="6"/>
    </row>
    <row r="444">
      <c r="J444" s="6"/>
    </row>
    <row r="445">
      <c r="J445" s="6"/>
    </row>
    <row r="446">
      <c r="J446" s="6"/>
    </row>
    <row r="447">
      <c r="J447" s="6"/>
    </row>
    <row r="448">
      <c r="J448" s="6"/>
    </row>
    <row r="449">
      <c r="J449" s="6"/>
    </row>
    <row r="450">
      <c r="J450" s="6"/>
    </row>
    <row r="451">
      <c r="J451" s="6"/>
    </row>
    <row r="452">
      <c r="J452" s="6"/>
    </row>
    <row r="453">
      <c r="J453" s="6"/>
    </row>
    <row r="454">
      <c r="J454" s="6"/>
    </row>
    <row r="455">
      <c r="J455" s="6"/>
    </row>
    <row r="456">
      <c r="J456" s="6"/>
    </row>
    <row r="457">
      <c r="J457" s="6"/>
    </row>
    <row r="458">
      <c r="J458" s="6"/>
    </row>
    <row r="459">
      <c r="J459" s="6"/>
    </row>
    <row r="460">
      <c r="J460" s="6"/>
    </row>
    <row r="461">
      <c r="J461" s="6"/>
    </row>
    <row r="462">
      <c r="J462" s="6"/>
    </row>
    <row r="463">
      <c r="J463" s="6"/>
    </row>
    <row r="464">
      <c r="J464" s="6"/>
    </row>
    <row r="465">
      <c r="J465" s="6"/>
    </row>
    <row r="466">
      <c r="J466" s="6"/>
    </row>
    <row r="467">
      <c r="J467" s="6"/>
    </row>
    <row r="468">
      <c r="J468" s="6"/>
    </row>
    <row r="469">
      <c r="J469" s="6"/>
    </row>
    <row r="470">
      <c r="J470" s="6"/>
    </row>
    <row r="471">
      <c r="J471" s="6"/>
    </row>
    <row r="472">
      <c r="J472" s="6"/>
    </row>
    <row r="473">
      <c r="J473" s="6"/>
    </row>
    <row r="474">
      <c r="J474" s="6"/>
    </row>
    <row r="475">
      <c r="J475" s="6"/>
    </row>
    <row r="476">
      <c r="J476" s="6"/>
    </row>
    <row r="477">
      <c r="J477" s="6"/>
    </row>
    <row r="478">
      <c r="J478" s="6"/>
    </row>
    <row r="479">
      <c r="J479" s="6"/>
    </row>
    <row r="480">
      <c r="J480" s="6"/>
    </row>
    <row r="481">
      <c r="J481" s="6"/>
    </row>
    <row r="482">
      <c r="J482" s="6"/>
    </row>
    <row r="483">
      <c r="J483" s="6"/>
    </row>
    <row r="484">
      <c r="J484" s="6"/>
    </row>
    <row r="485">
      <c r="J485" s="6"/>
    </row>
    <row r="486">
      <c r="J486" s="6"/>
    </row>
    <row r="487">
      <c r="J487" s="6"/>
    </row>
    <row r="488">
      <c r="J488" s="6"/>
    </row>
    <row r="489">
      <c r="J489" s="6"/>
    </row>
    <row r="490">
      <c r="J490" s="6"/>
    </row>
    <row r="491">
      <c r="J491" s="6"/>
    </row>
    <row r="492">
      <c r="J492" s="6"/>
    </row>
    <row r="493">
      <c r="J493" s="6"/>
    </row>
    <row r="494">
      <c r="J494" s="6"/>
    </row>
    <row r="495">
      <c r="J495" s="6"/>
    </row>
    <row r="496">
      <c r="J496" s="6"/>
    </row>
    <row r="497">
      <c r="J497" s="6"/>
    </row>
    <row r="498">
      <c r="J498" s="6"/>
    </row>
    <row r="499">
      <c r="J499" s="6"/>
    </row>
    <row r="500">
      <c r="J500" s="6"/>
    </row>
    <row r="501">
      <c r="J501" s="6"/>
    </row>
    <row r="502">
      <c r="J502" s="6"/>
    </row>
    <row r="503">
      <c r="J503" s="6"/>
    </row>
    <row r="504">
      <c r="J504" s="6"/>
    </row>
    <row r="505">
      <c r="J505" s="6"/>
    </row>
    <row r="506">
      <c r="J506" s="6"/>
    </row>
    <row r="507">
      <c r="J507" s="6"/>
    </row>
    <row r="508">
      <c r="J508" s="6"/>
    </row>
    <row r="509">
      <c r="J509" s="6"/>
    </row>
    <row r="510">
      <c r="J510" s="6"/>
    </row>
    <row r="511">
      <c r="J511" s="6"/>
    </row>
    <row r="512">
      <c r="J512" s="6"/>
    </row>
    <row r="513">
      <c r="J513" s="6"/>
    </row>
    <row r="514">
      <c r="J514" s="6"/>
    </row>
    <row r="515">
      <c r="J515" s="6"/>
    </row>
    <row r="516">
      <c r="J516" s="6"/>
    </row>
    <row r="517">
      <c r="J517" s="6"/>
    </row>
    <row r="518">
      <c r="J518" s="6"/>
    </row>
    <row r="519">
      <c r="J519" s="6"/>
    </row>
    <row r="520">
      <c r="J520" s="6"/>
    </row>
    <row r="521">
      <c r="J521" s="6"/>
    </row>
    <row r="522">
      <c r="J522" s="6"/>
    </row>
    <row r="523">
      <c r="J523" s="6"/>
    </row>
    <row r="524">
      <c r="J524" s="6"/>
    </row>
    <row r="525">
      <c r="J525" s="6"/>
    </row>
    <row r="526">
      <c r="J526" s="6"/>
    </row>
    <row r="527">
      <c r="J527" s="6"/>
    </row>
    <row r="528">
      <c r="J528" s="6"/>
    </row>
    <row r="529">
      <c r="J529" s="6"/>
    </row>
    <row r="530">
      <c r="J530" s="6"/>
    </row>
    <row r="531">
      <c r="J531" s="6"/>
    </row>
    <row r="532">
      <c r="J532" s="6"/>
    </row>
    <row r="533">
      <c r="J533" s="6"/>
    </row>
    <row r="534">
      <c r="J534" s="6"/>
    </row>
    <row r="535">
      <c r="J535" s="6"/>
    </row>
    <row r="536">
      <c r="J536" s="6"/>
    </row>
    <row r="537">
      <c r="J537" s="6"/>
    </row>
    <row r="538">
      <c r="J538" s="6"/>
    </row>
    <row r="539">
      <c r="J539" s="6"/>
    </row>
    <row r="540">
      <c r="J540" s="6"/>
    </row>
    <row r="541">
      <c r="J541" s="6"/>
    </row>
    <row r="542">
      <c r="J542" s="6"/>
    </row>
    <row r="543">
      <c r="J543" s="6"/>
    </row>
    <row r="544">
      <c r="J544" s="6"/>
    </row>
    <row r="545">
      <c r="J545" s="6"/>
    </row>
    <row r="546">
      <c r="J546" s="6"/>
    </row>
    <row r="547">
      <c r="J547" s="6"/>
    </row>
    <row r="548">
      <c r="J548" s="6"/>
    </row>
    <row r="549">
      <c r="J549" s="6"/>
    </row>
    <row r="550">
      <c r="J550" s="6"/>
    </row>
    <row r="551">
      <c r="J551" s="6"/>
    </row>
    <row r="552">
      <c r="J552" s="6"/>
    </row>
    <row r="553">
      <c r="J553" s="6"/>
    </row>
    <row r="554">
      <c r="J554" s="6"/>
    </row>
    <row r="555">
      <c r="J555" s="6"/>
    </row>
    <row r="556">
      <c r="J556" s="6"/>
    </row>
    <row r="557">
      <c r="J557" s="6"/>
    </row>
    <row r="558">
      <c r="J558" s="6"/>
    </row>
    <row r="559">
      <c r="J559" s="6"/>
    </row>
    <row r="560">
      <c r="J560" s="6"/>
    </row>
    <row r="561">
      <c r="J561" s="6"/>
    </row>
    <row r="562">
      <c r="J562" s="6"/>
    </row>
    <row r="563">
      <c r="J563" s="6"/>
    </row>
    <row r="564">
      <c r="J564" s="6"/>
    </row>
    <row r="565">
      <c r="J565" s="6"/>
    </row>
    <row r="566">
      <c r="J566" s="6"/>
    </row>
    <row r="567">
      <c r="J567" s="6"/>
    </row>
    <row r="568">
      <c r="J568" s="6"/>
    </row>
    <row r="569">
      <c r="J569" s="6"/>
    </row>
    <row r="570">
      <c r="J570" s="6"/>
    </row>
    <row r="571">
      <c r="J571" s="6"/>
    </row>
    <row r="572">
      <c r="J572" s="6"/>
    </row>
    <row r="573">
      <c r="J573" s="6"/>
    </row>
    <row r="574">
      <c r="J574" s="6"/>
    </row>
    <row r="575">
      <c r="J575" s="6"/>
    </row>
    <row r="576">
      <c r="J576" s="6"/>
    </row>
    <row r="577">
      <c r="J577" s="6"/>
    </row>
    <row r="578">
      <c r="J578" s="6"/>
    </row>
    <row r="579">
      <c r="J579" s="6"/>
    </row>
    <row r="580">
      <c r="J580" s="6"/>
    </row>
    <row r="581">
      <c r="J581" s="6"/>
    </row>
    <row r="582">
      <c r="J582" s="6"/>
    </row>
    <row r="583">
      <c r="J583" s="6"/>
    </row>
    <row r="584">
      <c r="J584" s="6"/>
    </row>
    <row r="585">
      <c r="J585" s="6"/>
    </row>
    <row r="586">
      <c r="J586" s="6"/>
    </row>
    <row r="587">
      <c r="J587" s="6"/>
    </row>
    <row r="588">
      <c r="J588" s="6"/>
    </row>
    <row r="589">
      <c r="J589" s="6"/>
    </row>
    <row r="590">
      <c r="J590" s="6"/>
    </row>
    <row r="591">
      <c r="J591" s="6"/>
    </row>
    <row r="592">
      <c r="J592" s="6"/>
    </row>
    <row r="593">
      <c r="J593" s="6"/>
    </row>
    <row r="594">
      <c r="J594" s="6"/>
    </row>
    <row r="595">
      <c r="J595" s="6"/>
    </row>
    <row r="596">
      <c r="J596" s="6"/>
    </row>
    <row r="597">
      <c r="J597" s="6"/>
    </row>
    <row r="598">
      <c r="J598" s="6"/>
    </row>
    <row r="599">
      <c r="J599" s="6"/>
    </row>
    <row r="600">
      <c r="J600" s="6"/>
    </row>
    <row r="601">
      <c r="J601" s="6"/>
    </row>
    <row r="602">
      <c r="J602" s="6"/>
    </row>
    <row r="603">
      <c r="J603" s="6"/>
    </row>
    <row r="604">
      <c r="J604" s="6"/>
    </row>
    <row r="605">
      <c r="J605" s="6"/>
    </row>
    <row r="606">
      <c r="J606" s="6"/>
    </row>
    <row r="607">
      <c r="J607" s="6"/>
    </row>
    <row r="608">
      <c r="J608" s="6"/>
    </row>
    <row r="609">
      <c r="J609" s="6"/>
    </row>
    <row r="610">
      <c r="J610" s="6"/>
    </row>
    <row r="611">
      <c r="J611" s="6"/>
    </row>
    <row r="612">
      <c r="J612" s="6"/>
    </row>
    <row r="613">
      <c r="J613" s="6"/>
    </row>
    <row r="614">
      <c r="J614" s="6"/>
    </row>
    <row r="615">
      <c r="J615" s="6"/>
    </row>
    <row r="616">
      <c r="J616" s="6"/>
    </row>
    <row r="617">
      <c r="J617" s="6"/>
    </row>
    <row r="618">
      <c r="J618" s="6"/>
    </row>
    <row r="619">
      <c r="J619" s="6"/>
    </row>
    <row r="620">
      <c r="J620" s="6"/>
    </row>
    <row r="621">
      <c r="J621" s="6"/>
    </row>
    <row r="622">
      <c r="J622" s="6"/>
    </row>
    <row r="623">
      <c r="J623" s="6"/>
    </row>
    <row r="624">
      <c r="J624" s="6"/>
    </row>
    <row r="625">
      <c r="J625" s="6"/>
    </row>
    <row r="626">
      <c r="J626" s="6"/>
    </row>
    <row r="627">
      <c r="J627" s="6"/>
    </row>
    <row r="628">
      <c r="J628" s="6"/>
    </row>
    <row r="629">
      <c r="J629" s="6"/>
    </row>
    <row r="630">
      <c r="J630" s="6"/>
    </row>
    <row r="631">
      <c r="J631" s="6"/>
    </row>
    <row r="632">
      <c r="J632" s="6"/>
    </row>
    <row r="633">
      <c r="J633" s="6"/>
    </row>
    <row r="634">
      <c r="J634" s="6"/>
    </row>
    <row r="635">
      <c r="J635" s="6"/>
    </row>
    <row r="636">
      <c r="J636" s="6"/>
    </row>
    <row r="637">
      <c r="J637" s="6"/>
    </row>
    <row r="638">
      <c r="J638" s="6"/>
    </row>
    <row r="639">
      <c r="J639" s="6"/>
    </row>
    <row r="640">
      <c r="J640" s="6"/>
    </row>
    <row r="641">
      <c r="J641" s="6"/>
    </row>
    <row r="642">
      <c r="J642" s="6"/>
    </row>
    <row r="643">
      <c r="J643" s="6"/>
    </row>
    <row r="644">
      <c r="J644" s="6"/>
    </row>
    <row r="645">
      <c r="J645" s="6"/>
    </row>
    <row r="646">
      <c r="J646" s="6"/>
    </row>
    <row r="647">
      <c r="J647" s="6"/>
    </row>
    <row r="648">
      <c r="J648" s="6"/>
    </row>
    <row r="649">
      <c r="J649" s="6"/>
    </row>
    <row r="650">
      <c r="J650" s="6"/>
    </row>
    <row r="651">
      <c r="J651" s="6"/>
    </row>
    <row r="652">
      <c r="J652" s="6"/>
    </row>
    <row r="653">
      <c r="J653" s="6"/>
    </row>
    <row r="654">
      <c r="J654" s="6"/>
    </row>
    <row r="655">
      <c r="J655" s="6"/>
    </row>
    <row r="656">
      <c r="J656" s="6"/>
    </row>
    <row r="657">
      <c r="J657" s="6"/>
    </row>
    <row r="658">
      <c r="J658" s="6"/>
    </row>
    <row r="659">
      <c r="J659" s="6"/>
    </row>
    <row r="660">
      <c r="J660" s="6"/>
    </row>
    <row r="661">
      <c r="J661" s="6"/>
    </row>
    <row r="662">
      <c r="J662" s="6"/>
    </row>
    <row r="663">
      <c r="J663" s="6"/>
    </row>
    <row r="664">
      <c r="J664" s="6"/>
    </row>
    <row r="665">
      <c r="J665" s="6"/>
    </row>
    <row r="666">
      <c r="J666" s="6"/>
    </row>
    <row r="667">
      <c r="J667" s="6"/>
    </row>
    <row r="668">
      <c r="J668" s="6"/>
    </row>
    <row r="669">
      <c r="J669" s="6"/>
    </row>
    <row r="670">
      <c r="J670" s="6"/>
    </row>
    <row r="671">
      <c r="J671" s="6"/>
    </row>
    <row r="672">
      <c r="J672" s="6"/>
    </row>
    <row r="673">
      <c r="J673" s="6"/>
    </row>
    <row r="674">
      <c r="J674" s="6"/>
    </row>
    <row r="675">
      <c r="J675" s="6"/>
    </row>
    <row r="676">
      <c r="J676" s="6"/>
    </row>
    <row r="677">
      <c r="J677" s="6"/>
    </row>
    <row r="678">
      <c r="J678" s="6"/>
    </row>
    <row r="679">
      <c r="J679" s="6"/>
    </row>
    <row r="680">
      <c r="J680" s="6"/>
    </row>
    <row r="681">
      <c r="J681" s="6"/>
    </row>
    <row r="682">
      <c r="J682" s="6"/>
    </row>
    <row r="683">
      <c r="J683" s="6"/>
    </row>
    <row r="684">
      <c r="J684" s="6"/>
    </row>
    <row r="685">
      <c r="J685" s="6"/>
    </row>
    <row r="686">
      <c r="J686" s="6"/>
    </row>
    <row r="687">
      <c r="J687" s="6"/>
    </row>
    <row r="688">
      <c r="J688" s="6"/>
    </row>
    <row r="689">
      <c r="J689" s="6"/>
    </row>
    <row r="690">
      <c r="J690" s="6"/>
    </row>
    <row r="691">
      <c r="J691" s="6"/>
    </row>
    <row r="692">
      <c r="J692" s="6"/>
    </row>
    <row r="693">
      <c r="J693" s="6"/>
    </row>
    <row r="694">
      <c r="J694" s="6"/>
    </row>
    <row r="695">
      <c r="J695" s="6"/>
    </row>
    <row r="696">
      <c r="J696" s="6"/>
    </row>
    <row r="697">
      <c r="J697" s="6"/>
    </row>
    <row r="698">
      <c r="J698" s="6"/>
    </row>
    <row r="699">
      <c r="J699" s="6"/>
    </row>
    <row r="700">
      <c r="J700" s="6"/>
    </row>
    <row r="701">
      <c r="J701" s="6"/>
    </row>
    <row r="702">
      <c r="J702" s="6"/>
    </row>
    <row r="703">
      <c r="J703" s="6"/>
    </row>
    <row r="704">
      <c r="J704" s="6"/>
    </row>
    <row r="705">
      <c r="J705" s="6"/>
    </row>
    <row r="706">
      <c r="J706" s="6"/>
    </row>
    <row r="707">
      <c r="J707" s="6"/>
    </row>
    <row r="708">
      <c r="J708" s="6"/>
    </row>
    <row r="709">
      <c r="J709" s="6"/>
    </row>
    <row r="710">
      <c r="J710" s="6"/>
    </row>
    <row r="711">
      <c r="J711" s="6"/>
    </row>
    <row r="712">
      <c r="J712" s="6"/>
    </row>
    <row r="713">
      <c r="J713" s="6"/>
    </row>
    <row r="714">
      <c r="J714" s="6"/>
    </row>
    <row r="715">
      <c r="J715" s="6"/>
    </row>
    <row r="716">
      <c r="J716" s="6"/>
    </row>
    <row r="717">
      <c r="J717" s="6"/>
    </row>
    <row r="718">
      <c r="J718" s="6"/>
    </row>
    <row r="719">
      <c r="J719" s="6"/>
    </row>
    <row r="720">
      <c r="J720" s="6"/>
    </row>
    <row r="721">
      <c r="J721" s="6"/>
    </row>
    <row r="722">
      <c r="J722" s="6"/>
    </row>
    <row r="723">
      <c r="J723" s="6"/>
    </row>
    <row r="724">
      <c r="J724" s="6"/>
    </row>
    <row r="725">
      <c r="J725" s="6"/>
    </row>
    <row r="726">
      <c r="J726" s="6"/>
    </row>
    <row r="727">
      <c r="J727" s="6"/>
    </row>
    <row r="728">
      <c r="J728" s="6"/>
    </row>
    <row r="729">
      <c r="J729" s="6"/>
    </row>
    <row r="730">
      <c r="J730" s="6"/>
    </row>
    <row r="731">
      <c r="J731" s="6"/>
    </row>
    <row r="732">
      <c r="J732" s="6"/>
    </row>
    <row r="733">
      <c r="J733" s="6"/>
    </row>
    <row r="734">
      <c r="J734" s="6"/>
    </row>
    <row r="735">
      <c r="J735" s="6"/>
    </row>
    <row r="736">
      <c r="J736" s="6"/>
    </row>
    <row r="737">
      <c r="J737" s="6"/>
    </row>
    <row r="738">
      <c r="J738" s="6"/>
    </row>
    <row r="739">
      <c r="J739" s="6"/>
    </row>
    <row r="740">
      <c r="J740" s="6"/>
    </row>
    <row r="741">
      <c r="J741" s="6"/>
    </row>
    <row r="742">
      <c r="J742" s="6"/>
    </row>
    <row r="743">
      <c r="J743" s="6"/>
    </row>
    <row r="744">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10" max="10" width="10.63"/>
  </cols>
  <sheetData>
    <row r="1">
      <c r="A1" s="1" t="s">
        <v>40</v>
      </c>
      <c r="B1" s="1" t="s">
        <v>41</v>
      </c>
      <c r="C1" s="1" t="s">
        <v>42</v>
      </c>
      <c r="D1" s="1" t="s">
        <v>43</v>
      </c>
      <c r="E1" s="1" t="s">
        <v>44</v>
      </c>
      <c r="F1" s="1" t="s">
        <v>45</v>
      </c>
      <c r="G1" s="1" t="s">
        <v>46</v>
      </c>
      <c r="H1" s="1" t="s">
        <v>47</v>
      </c>
      <c r="I1" s="1" t="s">
        <v>48</v>
      </c>
      <c r="J1" s="4"/>
      <c r="K1" s="5"/>
      <c r="L1" s="5"/>
      <c r="M1" s="5"/>
      <c r="N1" s="5"/>
      <c r="O1" s="5"/>
      <c r="P1" s="5"/>
      <c r="Q1" s="5"/>
      <c r="R1" s="5"/>
      <c r="S1" s="5"/>
      <c r="T1" s="5"/>
      <c r="U1" s="5"/>
      <c r="V1" s="5"/>
      <c r="W1" s="5"/>
      <c r="X1" s="5"/>
      <c r="Y1" s="5"/>
      <c r="Z1" s="5"/>
    </row>
    <row r="2">
      <c r="A2" s="2"/>
      <c r="B2" s="83"/>
      <c r="C2" s="2"/>
      <c r="D2" s="84">
        <f t="shared" ref="D2:F2" si="1">SUM(D5:D595)</f>
        <v>90.25</v>
      </c>
      <c r="E2" s="84">
        <f t="shared" si="1"/>
        <v>562</v>
      </c>
      <c r="F2" s="84">
        <f t="shared" si="1"/>
        <v>11.15</v>
      </c>
      <c r="G2" s="84">
        <f>E2-F2-D2</f>
        <v>460.6</v>
      </c>
      <c r="H2" s="85"/>
      <c r="I2" s="2">
        <v>1016.44</v>
      </c>
      <c r="J2" s="86">
        <v>641.0</v>
      </c>
    </row>
    <row r="3">
      <c r="A3" s="88" t="s">
        <v>2170</v>
      </c>
      <c r="B3" s="88" t="s">
        <v>2171</v>
      </c>
      <c r="C3" s="88">
        <v>12.0</v>
      </c>
      <c r="D3" s="88">
        <v>2.0</v>
      </c>
      <c r="E3" s="88">
        <v>7.5</v>
      </c>
      <c r="F3" s="88">
        <v>0.0</v>
      </c>
      <c r="G3" s="89">
        <f t="shared" ref="G3:G4" si="2">E3-D3-F3</f>
        <v>5.5</v>
      </c>
      <c r="H3" s="88" t="s">
        <v>2172</v>
      </c>
      <c r="I3" s="90">
        <v>46116.0</v>
      </c>
      <c r="J3" s="91"/>
      <c r="K3" s="89"/>
      <c r="L3" s="89"/>
      <c r="M3" s="89"/>
      <c r="N3" s="89"/>
      <c r="O3" s="89"/>
      <c r="P3" s="89"/>
      <c r="Q3" s="89"/>
      <c r="R3" s="89"/>
      <c r="S3" s="89"/>
      <c r="T3" s="89"/>
      <c r="U3" s="89"/>
      <c r="V3" s="89"/>
      <c r="W3" s="89"/>
      <c r="X3" s="89"/>
      <c r="Y3" s="89"/>
      <c r="Z3" s="89"/>
    </row>
    <row r="4">
      <c r="A4" s="88" t="s">
        <v>2173</v>
      </c>
      <c r="B4" s="88" t="s">
        <v>2174</v>
      </c>
      <c r="C4" s="88">
        <v>2.0</v>
      </c>
      <c r="D4" s="88">
        <v>4.0</v>
      </c>
      <c r="E4" s="88">
        <v>10.5</v>
      </c>
      <c r="F4" s="88">
        <v>0.0</v>
      </c>
      <c r="G4" s="89">
        <f t="shared" si="2"/>
        <v>6.5</v>
      </c>
      <c r="H4" s="88" t="s">
        <v>2172</v>
      </c>
      <c r="I4" s="88"/>
      <c r="J4" s="91">
        <f>E3+E8+E9+E10+E46+E52+E53</f>
        <v>40.5</v>
      </c>
      <c r="K4" s="89"/>
      <c r="L4" s="89"/>
      <c r="M4" s="89"/>
      <c r="N4" s="89"/>
      <c r="O4" s="89"/>
      <c r="P4" s="89"/>
      <c r="Q4" s="89"/>
      <c r="R4" s="89"/>
      <c r="S4" s="89"/>
      <c r="T4" s="89"/>
      <c r="U4" s="89"/>
      <c r="V4" s="89"/>
      <c r="W4" s="89"/>
      <c r="X4" s="89"/>
      <c r="Y4" s="89"/>
      <c r="Z4" s="89"/>
    </row>
    <row r="5">
      <c r="A5" s="88" t="s">
        <v>2087</v>
      </c>
      <c r="B5" s="88" t="s">
        <v>2175</v>
      </c>
      <c r="C5" s="88">
        <v>6.0</v>
      </c>
      <c r="D5" s="88">
        <v>6.0</v>
      </c>
      <c r="E5" s="88">
        <v>4.5</v>
      </c>
      <c r="F5" s="88">
        <v>0.0</v>
      </c>
      <c r="G5" s="89">
        <f>E5-D5</f>
        <v>-1.5</v>
      </c>
      <c r="H5" s="88" t="s">
        <v>2172</v>
      </c>
      <c r="I5" s="89"/>
      <c r="J5" s="91"/>
      <c r="K5" s="89"/>
      <c r="L5" s="89"/>
      <c r="M5" s="89"/>
      <c r="N5" s="89"/>
      <c r="O5" s="89"/>
      <c r="P5" s="89"/>
      <c r="Q5" s="89"/>
      <c r="R5" s="89"/>
      <c r="S5" s="89"/>
      <c r="T5" s="89"/>
      <c r="U5" s="89"/>
      <c r="V5" s="89"/>
      <c r="W5" s="89"/>
      <c r="X5" s="89"/>
      <c r="Y5" s="89"/>
      <c r="Z5" s="89"/>
    </row>
    <row r="6">
      <c r="A6" s="51" t="s">
        <v>2087</v>
      </c>
      <c r="B6" s="51" t="s">
        <v>2176</v>
      </c>
      <c r="C6" s="51">
        <v>4.0</v>
      </c>
      <c r="D6" s="51">
        <v>2.5</v>
      </c>
      <c r="E6" s="51">
        <v>15.0</v>
      </c>
      <c r="F6" s="51">
        <v>0.0</v>
      </c>
      <c r="G6" s="52">
        <f t="shared" ref="G6:G15" si="3">E6-F6-D6</f>
        <v>12.5</v>
      </c>
      <c r="H6" s="52"/>
      <c r="I6" s="52"/>
      <c r="J6" s="53"/>
      <c r="K6" s="52"/>
      <c r="L6" s="52"/>
      <c r="M6" s="52"/>
      <c r="N6" s="52"/>
      <c r="O6" s="52"/>
      <c r="P6" s="52"/>
      <c r="Q6" s="52"/>
      <c r="R6" s="52"/>
      <c r="S6" s="52"/>
      <c r="T6" s="52"/>
      <c r="U6" s="52"/>
      <c r="V6" s="52"/>
      <c r="W6" s="52"/>
      <c r="X6" s="52"/>
      <c r="Y6" s="52"/>
      <c r="Z6" s="52"/>
    </row>
    <row r="7">
      <c r="A7" s="31" t="s">
        <v>2090</v>
      </c>
      <c r="B7" s="31" t="s">
        <v>266</v>
      </c>
      <c r="C7" s="31">
        <v>12.0</v>
      </c>
      <c r="D7" s="31">
        <v>0.0</v>
      </c>
      <c r="E7" s="31">
        <v>10.0</v>
      </c>
      <c r="F7" s="31">
        <v>0.0</v>
      </c>
      <c r="G7" s="34">
        <f t="shared" si="3"/>
        <v>10</v>
      </c>
      <c r="H7" s="34"/>
      <c r="I7" s="34"/>
      <c r="J7" s="35"/>
      <c r="K7" s="34"/>
      <c r="L7" s="34"/>
      <c r="M7" s="34"/>
      <c r="N7" s="34"/>
      <c r="O7" s="34"/>
      <c r="P7" s="34"/>
      <c r="Q7" s="34"/>
      <c r="R7" s="34"/>
      <c r="S7" s="34"/>
      <c r="T7" s="34"/>
      <c r="U7" s="34"/>
      <c r="V7" s="34"/>
      <c r="W7" s="34"/>
      <c r="X7" s="34"/>
      <c r="Y7" s="34"/>
      <c r="Z7" s="34"/>
    </row>
    <row r="8">
      <c r="A8" s="88" t="s">
        <v>2090</v>
      </c>
      <c r="B8" s="88" t="s">
        <v>2177</v>
      </c>
      <c r="C8" s="90">
        <v>46211.0</v>
      </c>
      <c r="D8" s="88">
        <v>1.85</v>
      </c>
      <c r="E8" s="88">
        <v>4.5</v>
      </c>
      <c r="F8" s="88">
        <v>0.0</v>
      </c>
      <c r="G8" s="89">
        <f t="shared" si="3"/>
        <v>2.65</v>
      </c>
      <c r="H8" s="88" t="s">
        <v>2172</v>
      </c>
      <c r="I8" s="90">
        <v>46142.0</v>
      </c>
      <c r="J8" s="91"/>
      <c r="K8" s="89"/>
      <c r="L8" s="89"/>
      <c r="M8" s="89"/>
      <c r="N8" s="89"/>
      <c r="O8" s="89"/>
      <c r="P8" s="89"/>
      <c r="Q8" s="89"/>
      <c r="R8" s="89"/>
      <c r="S8" s="89"/>
      <c r="T8" s="89"/>
      <c r="U8" s="89"/>
      <c r="V8" s="89"/>
      <c r="W8" s="89"/>
      <c r="X8" s="89"/>
      <c r="Y8" s="89"/>
      <c r="Z8" s="89"/>
    </row>
    <row r="9">
      <c r="A9" s="88" t="s">
        <v>2090</v>
      </c>
      <c r="B9" s="88" t="s">
        <v>2178</v>
      </c>
      <c r="C9" s="88">
        <v>4.0</v>
      </c>
      <c r="D9" s="88">
        <v>2.0</v>
      </c>
      <c r="E9" s="88">
        <v>4.5</v>
      </c>
      <c r="F9" s="88">
        <v>0.0</v>
      </c>
      <c r="G9" s="89">
        <f t="shared" si="3"/>
        <v>2.5</v>
      </c>
      <c r="H9" s="88" t="s">
        <v>2172</v>
      </c>
      <c r="I9" s="90">
        <v>46122.0</v>
      </c>
      <c r="J9" s="91"/>
      <c r="K9" s="89"/>
      <c r="L9" s="89"/>
      <c r="M9" s="89"/>
      <c r="N9" s="89"/>
      <c r="O9" s="89"/>
      <c r="P9" s="89"/>
      <c r="Q9" s="89"/>
      <c r="R9" s="89"/>
      <c r="S9" s="89"/>
      <c r="T9" s="89"/>
      <c r="U9" s="89"/>
      <c r="V9" s="89"/>
      <c r="W9" s="89"/>
      <c r="X9" s="89"/>
      <c r="Y9" s="89"/>
      <c r="Z9" s="89"/>
    </row>
    <row r="10">
      <c r="A10" s="88" t="s">
        <v>2090</v>
      </c>
      <c r="B10" s="88" t="s">
        <v>2179</v>
      </c>
      <c r="C10" s="88">
        <v>12.0</v>
      </c>
      <c r="D10" s="88">
        <v>6.3</v>
      </c>
      <c r="E10" s="88">
        <v>4.5</v>
      </c>
      <c r="F10" s="88">
        <v>0.0</v>
      </c>
      <c r="G10" s="89">
        <f t="shared" si="3"/>
        <v>-1.8</v>
      </c>
      <c r="H10" s="88" t="s">
        <v>2172</v>
      </c>
      <c r="I10" s="90">
        <v>46116.0</v>
      </c>
      <c r="J10" s="91"/>
      <c r="K10" s="89"/>
      <c r="L10" s="89"/>
      <c r="M10" s="89"/>
      <c r="N10" s="89"/>
      <c r="O10" s="89"/>
      <c r="P10" s="89"/>
      <c r="Q10" s="89"/>
      <c r="R10" s="89"/>
      <c r="S10" s="89"/>
      <c r="T10" s="89"/>
      <c r="U10" s="89"/>
      <c r="V10" s="89"/>
      <c r="W10" s="89"/>
      <c r="X10" s="89"/>
      <c r="Y10" s="89"/>
      <c r="Z10" s="89"/>
    </row>
    <row r="11">
      <c r="A11" s="31" t="s">
        <v>2180</v>
      </c>
      <c r="B11" s="31" t="s">
        <v>2181</v>
      </c>
      <c r="C11" s="34"/>
      <c r="D11" s="31">
        <v>0.0</v>
      </c>
      <c r="E11" s="31">
        <v>45.0</v>
      </c>
      <c r="F11" s="31">
        <v>0.0</v>
      </c>
      <c r="G11" s="34">
        <f t="shared" si="3"/>
        <v>45</v>
      </c>
      <c r="H11" s="34"/>
      <c r="I11" s="34"/>
      <c r="J11" s="35"/>
      <c r="K11" s="34"/>
      <c r="L11" s="34"/>
      <c r="M11" s="34"/>
      <c r="N11" s="34"/>
      <c r="O11" s="34"/>
      <c r="P11" s="34"/>
      <c r="Q11" s="34"/>
      <c r="R11" s="34"/>
      <c r="S11" s="34"/>
      <c r="T11" s="34"/>
      <c r="U11" s="34"/>
      <c r="V11" s="34"/>
      <c r="W11" s="34"/>
      <c r="X11" s="34"/>
      <c r="Y11" s="34"/>
      <c r="Z11" s="34"/>
    </row>
    <row r="12">
      <c r="A12" s="88" t="s">
        <v>2106</v>
      </c>
      <c r="B12" s="88" t="s">
        <v>2182</v>
      </c>
      <c r="C12" s="88">
        <v>12.0</v>
      </c>
      <c r="D12" s="88">
        <v>8.0</v>
      </c>
      <c r="E12" s="88">
        <v>7.5</v>
      </c>
      <c r="F12" s="88">
        <v>0.0</v>
      </c>
      <c r="G12" s="89">
        <f t="shared" si="3"/>
        <v>-0.5</v>
      </c>
      <c r="H12" s="88" t="s">
        <v>2172</v>
      </c>
      <c r="I12" s="88"/>
      <c r="J12" s="91"/>
      <c r="K12" s="89"/>
      <c r="L12" s="89"/>
      <c r="M12" s="89"/>
      <c r="N12" s="89"/>
      <c r="O12" s="89"/>
      <c r="P12" s="89"/>
      <c r="Q12" s="89"/>
      <c r="R12" s="89"/>
      <c r="S12" s="89"/>
      <c r="T12" s="89"/>
      <c r="U12" s="89"/>
      <c r="V12" s="89"/>
      <c r="W12" s="89"/>
      <c r="X12" s="89"/>
      <c r="Y12" s="89"/>
      <c r="Z12" s="89"/>
    </row>
    <row r="13">
      <c r="A13" s="88" t="s">
        <v>330</v>
      </c>
      <c r="B13" s="88" t="s">
        <v>2183</v>
      </c>
      <c r="C13" s="88">
        <v>4.0</v>
      </c>
      <c r="D13" s="88">
        <v>3.5</v>
      </c>
      <c r="E13" s="88">
        <v>10.5</v>
      </c>
      <c r="F13" s="88">
        <v>0.0</v>
      </c>
      <c r="G13" s="89">
        <f t="shared" si="3"/>
        <v>7</v>
      </c>
      <c r="H13" s="88" t="s">
        <v>2172</v>
      </c>
      <c r="I13" s="88"/>
      <c r="J13" s="91"/>
      <c r="K13" s="89"/>
      <c r="L13" s="89"/>
      <c r="M13" s="89"/>
      <c r="N13" s="89"/>
      <c r="O13" s="89"/>
      <c r="P13" s="89"/>
      <c r="Q13" s="89"/>
      <c r="R13" s="89"/>
      <c r="S13" s="89"/>
      <c r="T13" s="89"/>
      <c r="U13" s="89"/>
      <c r="V13" s="89"/>
      <c r="W13" s="89"/>
      <c r="X13" s="89"/>
      <c r="Y13" s="89"/>
      <c r="Z13" s="89"/>
    </row>
    <row r="14">
      <c r="A14" s="88" t="s">
        <v>398</v>
      </c>
      <c r="B14" s="88" t="s">
        <v>1351</v>
      </c>
      <c r="C14" s="88">
        <v>3.0</v>
      </c>
      <c r="D14" s="88">
        <v>6.0</v>
      </c>
      <c r="E14" s="88">
        <v>4.5</v>
      </c>
      <c r="F14" s="88">
        <v>0.0</v>
      </c>
      <c r="G14" s="89">
        <f t="shared" si="3"/>
        <v>-1.5</v>
      </c>
      <c r="H14" s="88" t="s">
        <v>2172</v>
      </c>
      <c r="I14" s="89"/>
      <c r="J14" s="91"/>
      <c r="K14" s="89"/>
      <c r="L14" s="89"/>
      <c r="M14" s="89"/>
      <c r="N14" s="89"/>
      <c r="O14" s="89"/>
      <c r="P14" s="89"/>
      <c r="Q14" s="89"/>
      <c r="R14" s="89"/>
      <c r="S14" s="89"/>
      <c r="T14" s="89"/>
      <c r="U14" s="89"/>
      <c r="V14" s="89"/>
      <c r="W14" s="89"/>
      <c r="X14" s="89"/>
      <c r="Y14" s="89"/>
      <c r="Z14" s="89"/>
    </row>
    <row r="15">
      <c r="A15" s="57" t="s">
        <v>2184</v>
      </c>
      <c r="B15" s="57" t="s">
        <v>2185</v>
      </c>
      <c r="C15" s="57" t="s">
        <v>2075</v>
      </c>
      <c r="D15" s="57">
        <v>5.0</v>
      </c>
      <c r="E15" s="57">
        <v>10.0</v>
      </c>
      <c r="F15" s="57">
        <v>0.0</v>
      </c>
      <c r="G15" s="58">
        <f t="shared" si="3"/>
        <v>5</v>
      </c>
      <c r="H15" s="58"/>
      <c r="I15" s="57"/>
      <c r="J15" s="59"/>
      <c r="K15" s="58"/>
      <c r="L15" s="58"/>
      <c r="M15" s="58"/>
      <c r="N15" s="58"/>
      <c r="O15" s="58"/>
      <c r="P15" s="58"/>
      <c r="Q15" s="58"/>
      <c r="R15" s="58"/>
      <c r="S15" s="58"/>
      <c r="T15" s="58"/>
      <c r="U15" s="58"/>
      <c r="V15" s="58"/>
      <c r="W15" s="58"/>
      <c r="X15" s="58"/>
      <c r="Y15" s="58"/>
      <c r="Z15" s="58"/>
    </row>
    <row r="16">
      <c r="A16" s="88" t="s">
        <v>453</v>
      </c>
      <c r="B16" s="88" t="s">
        <v>2186</v>
      </c>
      <c r="C16" s="88">
        <v>12.0</v>
      </c>
      <c r="D16" s="88">
        <v>0.0</v>
      </c>
      <c r="E16" s="88">
        <v>7.5</v>
      </c>
      <c r="F16" s="88">
        <v>0.0</v>
      </c>
      <c r="G16" s="89">
        <f t="shared" ref="G16:G17" si="4">E16-D16</f>
        <v>7.5</v>
      </c>
      <c r="H16" s="88" t="s">
        <v>2172</v>
      </c>
      <c r="I16" s="90">
        <v>46102.0</v>
      </c>
      <c r="J16" s="91"/>
      <c r="K16" s="89"/>
      <c r="L16" s="89"/>
      <c r="M16" s="89"/>
      <c r="N16" s="89"/>
      <c r="O16" s="89"/>
      <c r="P16" s="89"/>
      <c r="Q16" s="89"/>
      <c r="R16" s="89"/>
      <c r="S16" s="89"/>
      <c r="T16" s="89"/>
      <c r="U16" s="89"/>
      <c r="V16" s="89"/>
      <c r="W16" s="89"/>
      <c r="X16" s="89"/>
      <c r="Y16" s="89"/>
      <c r="Z16" s="89"/>
    </row>
    <row r="17">
      <c r="A17" s="88" t="s">
        <v>1521</v>
      </c>
      <c r="B17" s="88" t="s">
        <v>2187</v>
      </c>
      <c r="C17" s="88">
        <v>10.0</v>
      </c>
      <c r="D17" s="88">
        <v>0.0</v>
      </c>
      <c r="E17" s="88">
        <v>3.0</v>
      </c>
      <c r="F17" s="88">
        <v>0.0</v>
      </c>
      <c r="G17" s="89">
        <f t="shared" si="4"/>
        <v>3</v>
      </c>
      <c r="H17" s="88" t="s">
        <v>2172</v>
      </c>
      <c r="I17" s="89"/>
      <c r="J17" s="91"/>
      <c r="K17" s="89"/>
      <c r="L17" s="89"/>
      <c r="M17" s="89"/>
      <c r="N17" s="89"/>
      <c r="O17" s="89"/>
      <c r="P17" s="89"/>
      <c r="Q17" s="89"/>
      <c r="R17" s="89"/>
      <c r="S17" s="89"/>
      <c r="T17" s="89"/>
      <c r="U17" s="89"/>
      <c r="V17" s="89"/>
      <c r="W17" s="89"/>
      <c r="X17" s="89"/>
      <c r="Y17" s="89"/>
      <c r="Z17" s="89"/>
    </row>
    <row r="18">
      <c r="A18" s="31" t="s">
        <v>453</v>
      </c>
      <c r="B18" s="31" t="s">
        <v>2188</v>
      </c>
      <c r="C18" s="31">
        <v>10.0</v>
      </c>
      <c r="D18" s="31">
        <v>0.0</v>
      </c>
      <c r="E18" s="31">
        <v>5.0</v>
      </c>
      <c r="F18" s="31">
        <v>0.0</v>
      </c>
      <c r="G18" s="34">
        <f t="shared" ref="G18:G30" si="5">E18-F18-D18</f>
        <v>5</v>
      </c>
      <c r="H18" s="34"/>
      <c r="I18" s="34"/>
      <c r="J18" s="35"/>
      <c r="K18" s="34"/>
      <c r="L18" s="34"/>
      <c r="M18" s="34"/>
      <c r="N18" s="34"/>
      <c r="O18" s="34"/>
      <c r="P18" s="34"/>
      <c r="Q18" s="34"/>
      <c r="R18" s="34"/>
      <c r="S18" s="34"/>
      <c r="T18" s="34"/>
      <c r="U18" s="34"/>
      <c r="V18" s="34"/>
      <c r="W18" s="34"/>
      <c r="X18" s="34"/>
      <c r="Y18" s="34"/>
      <c r="Z18" s="34"/>
    </row>
    <row r="19">
      <c r="A19" s="51" t="s">
        <v>2126</v>
      </c>
      <c r="B19" s="51" t="s">
        <v>2189</v>
      </c>
      <c r="C19" s="51">
        <v>7.0</v>
      </c>
      <c r="D19" s="51">
        <v>3.0</v>
      </c>
      <c r="E19" s="51">
        <v>10.0</v>
      </c>
      <c r="F19" s="51">
        <v>0.0</v>
      </c>
      <c r="G19" s="52">
        <f t="shared" si="5"/>
        <v>7</v>
      </c>
      <c r="H19" s="52"/>
      <c r="I19" s="52"/>
      <c r="J19" s="53"/>
      <c r="K19" s="52"/>
      <c r="L19" s="52"/>
      <c r="M19" s="52"/>
      <c r="N19" s="52"/>
      <c r="O19" s="52"/>
      <c r="P19" s="52"/>
      <c r="Q19" s="52"/>
      <c r="R19" s="52"/>
      <c r="S19" s="52"/>
      <c r="T19" s="52"/>
      <c r="U19" s="52"/>
      <c r="V19" s="52"/>
      <c r="W19" s="52"/>
      <c r="X19" s="52"/>
      <c r="Y19" s="52"/>
      <c r="Z19" s="52"/>
    </row>
    <row r="20">
      <c r="A20" s="31" t="s">
        <v>2126</v>
      </c>
      <c r="B20" s="31" t="s">
        <v>2190</v>
      </c>
      <c r="C20" s="31">
        <v>12.0</v>
      </c>
      <c r="D20" s="31">
        <v>0.0</v>
      </c>
      <c r="E20" s="31">
        <v>5.0</v>
      </c>
      <c r="F20" s="31">
        <v>0.4</v>
      </c>
      <c r="G20" s="34">
        <f t="shared" si="5"/>
        <v>4.6</v>
      </c>
      <c r="H20" s="34"/>
      <c r="I20" s="34"/>
      <c r="J20" s="35"/>
      <c r="K20" s="34"/>
      <c r="L20" s="34"/>
      <c r="M20" s="34"/>
      <c r="N20" s="34"/>
      <c r="O20" s="34"/>
      <c r="P20" s="34"/>
      <c r="Q20" s="34"/>
      <c r="R20" s="34"/>
      <c r="S20" s="34"/>
      <c r="T20" s="34"/>
      <c r="U20" s="34"/>
      <c r="V20" s="34"/>
      <c r="W20" s="34"/>
      <c r="X20" s="34"/>
      <c r="Y20" s="34"/>
      <c r="Z20" s="34"/>
    </row>
    <row r="21">
      <c r="A21" s="88" t="s">
        <v>2191</v>
      </c>
      <c r="B21" s="88" t="s">
        <v>2192</v>
      </c>
      <c r="C21" s="88">
        <v>7.0</v>
      </c>
      <c r="D21" s="88">
        <v>0.0</v>
      </c>
      <c r="E21" s="88">
        <v>4.5</v>
      </c>
      <c r="F21" s="88">
        <v>0.0</v>
      </c>
      <c r="G21" s="89">
        <f t="shared" si="5"/>
        <v>4.5</v>
      </c>
      <c r="H21" s="88" t="s">
        <v>2172</v>
      </c>
      <c r="I21" s="90">
        <v>46082.0</v>
      </c>
      <c r="J21" s="91"/>
      <c r="K21" s="89"/>
      <c r="L21" s="89"/>
      <c r="M21" s="89"/>
      <c r="N21" s="89"/>
      <c r="O21" s="89"/>
      <c r="P21" s="89"/>
      <c r="Q21" s="89"/>
      <c r="R21" s="89"/>
      <c r="S21" s="89"/>
      <c r="T21" s="89"/>
      <c r="U21" s="89"/>
      <c r="V21" s="89"/>
      <c r="W21" s="89"/>
      <c r="X21" s="89"/>
      <c r="Y21" s="89"/>
      <c r="Z21" s="89"/>
    </row>
    <row r="22">
      <c r="A22" s="88" t="s">
        <v>2126</v>
      </c>
      <c r="B22" s="88" t="s">
        <v>2193</v>
      </c>
      <c r="C22" s="88">
        <v>8.0</v>
      </c>
      <c r="D22" s="88">
        <v>0.0</v>
      </c>
      <c r="E22" s="88">
        <v>7.5</v>
      </c>
      <c r="F22" s="88">
        <v>0.0</v>
      </c>
      <c r="G22" s="89">
        <f t="shared" si="5"/>
        <v>7.5</v>
      </c>
      <c r="H22" s="88" t="s">
        <v>2172</v>
      </c>
      <c r="I22" s="89"/>
      <c r="J22" s="91"/>
      <c r="K22" s="89"/>
      <c r="L22" s="89"/>
      <c r="M22" s="89"/>
      <c r="N22" s="89"/>
      <c r="O22" s="89"/>
      <c r="P22" s="89"/>
      <c r="Q22" s="89"/>
      <c r="R22" s="89"/>
      <c r="S22" s="89"/>
      <c r="T22" s="89"/>
      <c r="U22" s="89"/>
      <c r="V22" s="89"/>
      <c r="W22" s="89"/>
      <c r="X22" s="89"/>
      <c r="Y22" s="89"/>
      <c r="Z22" s="89"/>
    </row>
    <row r="23">
      <c r="A23" s="57" t="s">
        <v>2194</v>
      </c>
      <c r="B23" s="57" t="s">
        <v>2195</v>
      </c>
      <c r="C23" s="57">
        <v>3.0</v>
      </c>
      <c r="D23" s="57">
        <v>2.5</v>
      </c>
      <c r="E23" s="57">
        <v>20.0</v>
      </c>
      <c r="F23" s="57">
        <v>0.0</v>
      </c>
      <c r="G23" s="58">
        <f t="shared" si="5"/>
        <v>17.5</v>
      </c>
      <c r="H23" s="58"/>
      <c r="I23" s="58"/>
      <c r="J23" s="59"/>
      <c r="K23" s="58"/>
      <c r="L23" s="58"/>
      <c r="M23" s="58"/>
      <c r="N23" s="58"/>
      <c r="O23" s="58"/>
      <c r="P23" s="58"/>
      <c r="Q23" s="58"/>
      <c r="R23" s="58"/>
      <c r="S23" s="58"/>
      <c r="T23" s="58"/>
      <c r="U23" s="58"/>
      <c r="V23" s="58"/>
      <c r="W23" s="58"/>
      <c r="X23" s="58"/>
      <c r="Y23" s="58"/>
      <c r="Z23" s="58"/>
    </row>
    <row r="24">
      <c r="A24" s="57" t="s">
        <v>2129</v>
      </c>
      <c r="B24" s="57" t="s">
        <v>2196</v>
      </c>
      <c r="C24" s="57">
        <v>4.0</v>
      </c>
      <c r="D24" s="57">
        <v>3.0</v>
      </c>
      <c r="E24" s="57">
        <v>15.0</v>
      </c>
      <c r="F24" s="57">
        <v>0.0</v>
      </c>
      <c r="G24" s="58">
        <f t="shared" si="5"/>
        <v>12</v>
      </c>
      <c r="H24" s="58"/>
      <c r="I24" s="58"/>
      <c r="J24" s="59"/>
      <c r="K24" s="58"/>
      <c r="L24" s="58"/>
      <c r="M24" s="58"/>
      <c r="N24" s="58"/>
      <c r="O24" s="58"/>
      <c r="P24" s="58"/>
      <c r="Q24" s="58"/>
      <c r="R24" s="58"/>
      <c r="S24" s="58"/>
      <c r="T24" s="58"/>
      <c r="U24" s="58"/>
      <c r="V24" s="58"/>
      <c r="W24" s="58"/>
      <c r="X24" s="58"/>
      <c r="Y24" s="58"/>
      <c r="Z24" s="58"/>
    </row>
    <row r="25">
      <c r="A25" s="88" t="s">
        <v>2129</v>
      </c>
      <c r="B25" s="88" t="s">
        <v>2197</v>
      </c>
      <c r="C25" s="88">
        <v>12.0</v>
      </c>
      <c r="D25" s="88">
        <v>0.0</v>
      </c>
      <c r="E25" s="88">
        <v>9.0</v>
      </c>
      <c r="F25" s="88">
        <v>0.0</v>
      </c>
      <c r="G25" s="89">
        <f t="shared" si="5"/>
        <v>9</v>
      </c>
      <c r="H25" s="88" t="s">
        <v>2172</v>
      </c>
      <c r="I25" s="89"/>
      <c r="J25" s="91"/>
      <c r="K25" s="89"/>
      <c r="L25" s="89"/>
      <c r="M25" s="89"/>
      <c r="N25" s="89"/>
      <c r="O25" s="89"/>
      <c r="P25" s="89"/>
      <c r="Q25" s="89"/>
      <c r="R25" s="89"/>
      <c r="S25" s="89"/>
      <c r="T25" s="89"/>
      <c r="U25" s="89"/>
      <c r="V25" s="89"/>
      <c r="W25" s="89"/>
      <c r="X25" s="89"/>
      <c r="Y25" s="89"/>
      <c r="Z25" s="89"/>
    </row>
    <row r="26">
      <c r="A26" s="31" t="s">
        <v>489</v>
      </c>
      <c r="B26" s="31" t="s">
        <v>2198</v>
      </c>
      <c r="C26" s="31">
        <v>3.0</v>
      </c>
      <c r="D26" s="31">
        <v>0.0</v>
      </c>
      <c r="E26" s="31">
        <v>5.0</v>
      </c>
      <c r="F26" s="31">
        <v>0.0</v>
      </c>
      <c r="G26" s="34">
        <f t="shared" si="5"/>
        <v>5</v>
      </c>
      <c r="H26" s="31" t="s">
        <v>1190</v>
      </c>
      <c r="I26" s="34"/>
      <c r="J26" s="35"/>
      <c r="K26" s="34"/>
      <c r="L26" s="34"/>
      <c r="M26" s="34"/>
      <c r="N26" s="34"/>
      <c r="O26" s="34"/>
      <c r="P26" s="34"/>
      <c r="Q26" s="34"/>
      <c r="R26" s="34"/>
      <c r="S26" s="34"/>
      <c r="T26" s="34"/>
      <c r="U26" s="34"/>
      <c r="V26" s="34"/>
      <c r="W26" s="34"/>
      <c r="X26" s="34"/>
      <c r="Y26" s="34"/>
      <c r="Z26" s="34"/>
    </row>
    <row r="27">
      <c r="A27" s="31" t="s">
        <v>2199</v>
      </c>
      <c r="B27" s="31" t="s">
        <v>2200</v>
      </c>
      <c r="C27" s="31" t="s">
        <v>2070</v>
      </c>
      <c r="D27" s="31">
        <v>0.0</v>
      </c>
      <c r="E27" s="31">
        <v>60.0</v>
      </c>
      <c r="F27" s="31">
        <v>0.0</v>
      </c>
      <c r="G27" s="34">
        <f t="shared" si="5"/>
        <v>60</v>
      </c>
      <c r="H27" s="34"/>
      <c r="I27" s="34"/>
      <c r="J27" s="35"/>
      <c r="K27" s="34"/>
      <c r="L27" s="34"/>
      <c r="M27" s="34"/>
      <c r="N27" s="34"/>
      <c r="O27" s="34"/>
      <c r="P27" s="34"/>
      <c r="Q27" s="34"/>
      <c r="R27" s="34"/>
      <c r="S27" s="34"/>
      <c r="T27" s="34"/>
      <c r="U27" s="34"/>
      <c r="V27" s="34"/>
      <c r="W27" s="34"/>
      <c r="X27" s="34"/>
      <c r="Y27" s="34"/>
      <c r="Z27" s="34"/>
    </row>
    <row r="28">
      <c r="A28" s="31" t="s">
        <v>2139</v>
      </c>
      <c r="B28" s="31" t="s">
        <v>2201</v>
      </c>
      <c r="C28" s="31">
        <v>3.0</v>
      </c>
      <c r="D28" s="31">
        <v>0.0</v>
      </c>
      <c r="E28" s="31">
        <v>15.0</v>
      </c>
      <c r="F28" s="31">
        <v>1.25</v>
      </c>
      <c r="G28" s="34">
        <f t="shared" si="5"/>
        <v>13.75</v>
      </c>
      <c r="H28" s="34"/>
      <c r="I28" s="34"/>
      <c r="J28" s="35"/>
      <c r="K28" s="34"/>
      <c r="L28" s="34"/>
      <c r="M28" s="34"/>
      <c r="N28" s="34"/>
      <c r="O28" s="34"/>
      <c r="P28" s="34"/>
      <c r="Q28" s="34"/>
      <c r="R28" s="34"/>
      <c r="S28" s="34"/>
      <c r="T28" s="34"/>
      <c r="U28" s="34"/>
      <c r="V28" s="34"/>
      <c r="W28" s="34"/>
      <c r="X28" s="34"/>
      <c r="Y28" s="34"/>
      <c r="Z28" s="34"/>
    </row>
    <row r="29">
      <c r="A29" s="31" t="s">
        <v>2139</v>
      </c>
      <c r="B29" s="31" t="s">
        <v>2202</v>
      </c>
      <c r="C29" s="31">
        <v>4.0</v>
      </c>
      <c r="D29" s="31">
        <v>0.0</v>
      </c>
      <c r="E29" s="31">
        <v>15.0</v>
      </c>
      <c r="F29" s="31">
        <v>1.25</v>
      </c>
      <c r="G29" s="34">
        <f t="shared" si="5"/>
        <v>13.75</v>
      </c>
      <c r="H29" s="34"/>
      <c r="I29" s="34"/>
      <c r="J29" s="35"/>
      <c r="K29" s="34"/>
      <c r="L29" s="34"/>
      <c r="M29" s="34"/>
      <c r="N29" s="34"/>
      <c r="O29" s="34"/>
      <c r="P29" s="34"/>
      <c r="Q29" s="34"/>
      <c r="R29" s="34"/>
      <c r="S29" s="34"/>
      <c r="T29" s="34"/>
      <c r="U29" s="34"/>
      <c r="V29" s="34"/>
      <c r="W29" s="34"/>
      <c r="X29" s="34"/>
      <c r="Y29" s="34"/>
      <c r="Z29" s="34"/>
    </row>
    <row r="30">
      <c r="A30" s="57" t="s">
        <v>2203</v>
      </c>
      <c r="B30" s="57" t="s">
        <v>1132</v>
      </c>
      <c r="C30" s="57">
        <v>2.0</v>
      </c>
      <c r="D30" s="57">
        <v>2.0</v>
      </c>
      <c r="E30" s="57">
        <v>10.0</v>
      </c>
      <c r="F30" s="57">
        <v>0.0</v>
      </c>
      <c r="G30" s="58">
        <f t="shared" si="5"/>
        <v>8</v>
      </c>
      <c r="H30" s="58"/>
      <c r="I30" s="58"/>
      <c r="J30" s="59"/>
      <c r="K30" s="58"/>
      <c r="L30" s="58"/>
      <c r="M30" s="58"/>
      <c r="N30" s="58"/>
      <c r="O30" s="58"/>
      <c r="P30" s="58"/>
      <c r="Q30" s="58"/>
      <c r="R30" s="58"/>
      <c r="S30" s="58"/>
      <c r="T30" s="58"/>
      <c r="U30" s="58"/>
      <c r="V30" s="58"/>
      <c r="W30" s="58"/>
      <c r="X30" s="58"/>
      <c r="Y30" s="58"/>
      <c r="Z30" s="58"/>
    </row>
    <row r="31">
      <c r="A31" s="88" t="s">
        <v>1784</v>
      </c>
      <c r="B31" s="88" t="s">
        <v>2204</v>
      </c>
      <c r="C31" s="88">
        <v>3.0</v>
      </c>
      <c r="D31" s="88">
        <v>0.0</v>
      </c>
      <c r="E31" s="88">
        <v>6.0</v>
      </c>
      <c r="F31" s="88">
        <v>0.0</v>
      </c>
      <c r="G31" s="89">
        <f t="shared" ref="G31:G32" si="6">E31-D31-F31</f>
        <v>6</v>
      </c>
      <c r="H31" s="89"/>
      <c r="I31" s="90">
        <v>46106.0</v>
      </c>
      <c r="J31" s="91"/>
      <c r="K31" s="89"/>
      <c r="L31" s="89"/>
      <c r="M31" s="89"/>
      <c r="N31" s="89"/>
      <c r="O31" s="89"/>
      <c r="P31" s="89"/>
      <c r="Q31" s="89"/>
      <c r="R31" s="89"/>
      <c r="S31" s="89"/>
      <c r="T31" s="89"/>
      <c r="U31" s="89"/>
      <c r="V31" s="89"/>
      <c r="W31" s="89"/>
      <c r="X31" s="89"/>
      <c r="Y31" s="89"/>
      <c r="Z31" s="89"/>
    </row>
    <row r="32">
      <c r="A32" s="88" t="s">
        <v>1784</v>
      </c>
      <c r="B32" s="88" t="s">
        <v>1365</v>
      </c>
      <c r="C32" s="88">
        <v>4.0</v>
      </c>
      <c r="D32" s="88">
        <v>0.0</v>
      </c>
      <c r="E32" s="88">
        <v>7.5</v>
      </c>
      <c r="F32" s="88">
        <v>0.0</v>
      </c>
      <c r="G32" s="89">
        <f t="shared" si="6"/>
        <v>7.5</v>
      </c>
      <c r="H32" s="88" t="s">
        <v>2172</v>
      </c>
      <c r="I32" s="90">
        <v>46100.0</v>
      </c>
      <c r="J32" s="91"/>
      <c r="K32" s="89"/>
      <c r="L32" s="89"/>
      <c r="M32" s="89"/>
      <c r="N32" s="89"/>
      <c r="O32" s="89"/>
      <c r="P32" s="89"/>
      <c r="Q32" s="89"/>
      <c r="R32" s="89"/>
      <c r="S32" s="89"/>
      <c r="T32" s="89"/>
      <c r="U32" s="89"/>
      <c r="V32" s="89"/>
      <c r="W32" s="89"/>
      <c r="X32" s="89"/>
      <c r="Y32" s="89"/>
      <c r="Z32" s="89"/>
    </row>
    <row r="33">
      <c r="A33" s="31" t="s">
        <v>1784</v>
      </c>
      <c r="B33" s="31" t="s">
        <v>2205</v>
      </c>
      <c r="C33" s="31">
        <v>3.0</v>
      </c>
      <c r="D33" s="31">
        <v>0.0</v>
      </c>
      <c r="E33" s="31">
        <v>10.0</v>
      </c>
      <c r="F33" s="31">
        <v>1.25</v>
      </c>
      <c r="G33" s="34">
        <f t="shared" ref="G33:G35" si="7">E33-F33-D33</f>
        <v>8.75</v>
      </c>
      <c r="H33" s="34"/>
      <c r="I33" s="34"/>
      <c r="J33" s="35"/>
      <c r="K33" s="34"/>
      <c r="L33" s="34"/>
      <c r="M33" s="34"/>
      <c r="N33" s="34"/>
      <c r="O33" s="34"/>
      <c r="P33" s="34"/>
      <c r="Q33" s="34"/>
      <c r="R33" s="34"/>
      <c r="S33" s="34"/>
      <c r="T33" s="34"/>
      <c r="U33" s="34"/>
      <c r="V33" s="34"/>
      <c r="W33" s="34"/>
      <c r="X33" s="34"/>
      <c r="Y33" s="34"/>
      <c r="Z33" s="34"/>
    </row>
    <row r="34">
      <c r="A34" s="51" t="s">
        <v>1120</v>
      </c>
      <c r="B34" s="51" t="s">
        <v>2206</v>
      </c>
      <c r="C34" s="51">
        <v>8.0</v>
      </c>
      <c r="D34" s="51">
        <v>5.0</v>
      </c>
      <c r="E34" s="51">
        <v>10.0</v>
      </c>
      <c r="F34" s="51">
        <v>0.0</v>
      </c>
      <c r="G34" s="52">
        <f t="shared" si="7"/>
        <v>5</v>
      </c>
      <c r="H34" s="52"/>
      <c r="I34" s="52"/>
      <c r="J34" s="53"/>
      <c r="K34" s="52"/>
      <c r="L34" s="52"/>
      <c r="M34" s="52"/>
      <c r="N34" s="52"/>
      <c r="O34" s="52"/>
      <c r="P34" s="52"/>
      <c r="Q34" s="52"/>
      <c r="R34" s="52"/>
      <c r="S34" s="52"/>
      <c r="T34" s="52"/>
      <c r="U34" s="52"/>
      <c r="V34" s="52"/>
      <c r="W34" s="52"/>
      <c r="X34" s="52"/>
      <c r="Y34" s="52"/>
      <c r="Z34" s="52"/>
    </row>
    <row r="35">
      <c r="A35" s="31" t="s">
        <v>1808</v>
      </c>
      <c r="B35" s="31" t="s">
        <v>2207</v>
      </c>
      <c r="C35" s="31">
        <v>2.0</v>
      </c>
      <c r="D35" s="31">
        <v>2.0</v>
      </c>
      <c r="E35" s="31">
        <v>5.0</v>
      </c>
      <c r="F35" s="31">
        <v>1.25</v>
      </c>
      <c r="G35" s="34">
        <f t="shared" si="7"/>
        <v>1.75</v>
      </c>
      <c r="H35" s="34"/>
      <c r="I35" s="34"/>
      <c r="J35" s="35"/>
      <c r="K35" s="34"/>
      <c r="L35" s="34"/>
      <c r="M35" s="34"/>
      <c r="N35" s="34"/>
      <c r="O35" s="34"/>
      <c r="P35" s="34"/>
      <c r="Q35" s="34"/>
      <c r="R35" s="34"/>
      <c r="S35" s="34"/>
      <c r="T35" s="34"/>
      <c r="U35" s="34"/>
      <c r="V35" s="34"/>
      <c r="W35" s="34"/>
      <c r="X35" s="34"/>
      <c r="Y35" s="34"/>
      <c r="Z35" s="34"/>
    </row>
    <row r="36">
      <c r="A36" s="88" t="s">
        <v>1808</v>
      </c>
      <c r="B36" s="88" t="s">
        <v>2208</v>
      </c>
      <c r="C36" s="88">
        <v>12.0</v>
      </c>
      <c r="D36" s="88">
        <v>0.0</v>
      </c>
      <c r="E36" s="88">
        <v>4.5</v>
      </c>
      <c r="F36" s="88">
        <v>0.0</v>
      </c>
      <c r="G36" s="89">
        <f t="shared" ref="G36:G39" si="8">E36-D36</f>
        <v>4.5</v>
      </c>
      <c r="H36" s="88" t="s">
        <v>2172</v>
      </c>
      <c r="I36" s="90">
        <v>46109.0</v>
      </c>
      <c r="J36" s="91"/>
      <c r="K36" s="89"/>
      <c r="L36" s="89"/>
      <c r="M36" s="89"/>
      <c r="N36" s="89"/>
      <c r="O36" s="89"/>
      <c r="P36" s="89"/>
      <c r="Q36" s="89"/>
      <c r="R36" s="89"/>
      <c r="S36" s="89"/>
      <c r="T36" s="89"/>
      <c r="U36" s="89"/>
      <c r="V36" s="89"/>
      <c r="W36" s="89"/>
      <c r="X36" s="89"/>
      <c r="Y36" s="89"/>
      <c r="Z36" s="89"/>
    </row>
    <row r="37">
      <c r="A37" s="88" t="s">
        <v>1808</v>
      </c>
      <c r="B37" s="88" t="s">
        <v>2209</v>
      </c>
      <c r="C37" s="88">
        <v>8.0</v>
      </c>
      <c r="D37" s="88">
        <v>0.0</v>
      </c>
      <c r="E37" s="88">
        <v>4.5</v>
      </c>
      <c r="F37" s="88">
        <v>0.0</v>
      </c>
      <c r="G37" s="89">
        <f t="shared" si="8"/>
        <v>4.5</v>
      </c>
      <c r="H37" s="88" t="s">
        <v>2172</v>
      </c>
      <c r="I37" s="89"/>
      <c r="J37" s="91"/>
      <c r="K37" s="89"/>
      <c r="L37" s="89"/>
      <c r="M37" s="89"/>
      <c r="N37" s="89"/>
      <c r="O37" s="89"/>
      <c r="P37" s="89"/>
      <c r="Q37" s="89"/>
      <c r="R37" s="89"/>
      <c r="S37" s="89"/>
      <c r="T37" s="89"/>
      <c r="U37" s="89"/>
      <c r="V37" s="89"/>
      <c r="W37" s="89"/>
      <c r="X37" s="89"/>
      <c r="Y37" s="89"/>
      <c r="Z37" s="89"/>
    </row>
    <row r="38">
      <c r="A38" s="88" t="s">
        <v>1120</v>
      </c>
      <c r="B38" s="88" t="s">
        <v>2210</v>
      </c>
      <c r="C38" s="88" t="s">
        <v>2211</v>
      </c>
      <c r="D38" s="88">
        <v>0.0</v>
      </c>
      <c r="E38" s="88">
        <v>4.5</v>
      </c>
      <c r="F38" s="88">
        <v>0.0</v>
      </c>
      <c r="G38" s="89">
        <f t="shared" si="8"/>
        <v>4.5</v>
      </c>
      <c r="H38" s="88" t="s">
        <v>2172</v>
      </c>
      <c r="I38" s="89"/>
      <c r="J38" s="91"/>
      <c r="K38" s="89"/>
      <c r="L38" s="89"/>
      <c r="M38" s="89"/>
      <c r="N38" s="89"/>
      <c r="O38" s="89"/>
      <c r="P38" s="89"/>
      <c r="Q38" s="89"/>
      <c r="R38" s="89"/>
      <c r="S38" s="89"/>
      <c r="T38" s="89"/>
      <c r="U38" s="89"/>
      <c r="V38" s="89"/>
      <c r="W38" s="89"/>
      <c r="X38" s="89"/>
      <c r="Y38" s="89"/>
      <c r="Z38" s="89"/>
    </row>
    <row r="39">
      <c r="A39" s="88" t="s">
        <v>2212</v>
      </c>
      <c r="B39" s="88" t="s">
        <v>2213</v>
      </c>
      <c r="C39" s="88">
        <v>3.0</v>
      </c>
      <c r="D39" s="88">
        <v>0.0</v>
      </c>
      <c r="E39" s="88">
        <v>4.5</v>
      </c>
      <c r="F39" s="88">
        <v>0.0</v>
      </c>
      <c r="G39" s="89">
        <f t="shared" si="8"/>
        <v>4.5</v>
      </c>
      <c r="H39" s="88" t="s">
        <v>2172</v>
      </c>
      <c r="I39" s="89"/>
      <c r="J39" s="91"/>
      <c r="K39" s="89"/>
      <c r="L39" s="89"/>
      <c r="M39" s="89"/>
      <c r="N39" s="89"/>
      <c r="O39" s="89"/>
      <c r="P39" s="89"/>
      <c r="Q39" s="89"/>
      <c r="R39" s="89"/>
      <c r="S39" s="89"/>
      <c r="T39" s="89"/>
      <c r="U39" s="89"/>
      <c r="V39" s="89"/>
      <c r="W39" s="89"/>
      <c r="X39" s="89"/>
      <c r="Y39" s="89"/>
      <c r="Z39" s="89"/>
    </row>
    <row r="40">
      <c r="A40" s="57" t="s">
        <v>2214</v>
      </c>
      <c r="B40" s="57" t="s">
        <v>2215</v>
      </c>
      <c r="C40" s="57">
        <v>4.0</v>
      </c>
      <c r="D40" s="57">
        <v>2.5</v>
      </c>
      <c r="E40" s="57">
        <v>15.0</v>
      </c>
      <c r="F40" s="57">
        <v>0.0</v>
      </c>
      <c r="G40" s="58">
        <f t="shared" ref="G40:G49" si="9">E40-F40-D40</f>
        <v>12.5</v>
      </c>
      <c r="H40" s="58"/>
      <c r="I40" s="58"/>
      <c r="J40" s="59"/>
      <c r="K40" s="58"/>
      <c r="L40" s="58"/>
      <c r="M40" s="58"/>
      <c r="N40" s="58"/>
      <c r="O40" s="58"/>
      <c r="P40" s="58"/>
      <c r="Q40" s="58"/>
      <c r="R40" s="58"/>
      <c r="S40" s="58"/>
      <c r="T40" s="58"/>
      <c r="U40" s="58"/>
      <c r="V40" s="58"/>
      <c r="W40" s="58"/>
      <c r="X40" s="58"/>
      <c r="Y40" s="58"/>
      <c r="Z40" s="58"/>
    </row>
    <row r="41">
      <c r="A41" s="31" t="s">
        <v>808</v>
      </c>
      <c r="B41" s="31" t="s">
        <v>2216</v>
      </c>
      <c r="C41" s="31" t="s">
        <v>51</v>
      </c>
      <c r="D41" s="31">
        <v>1.5</v>
      </c>
      <c r="E41" s="31">
        <v>20.0</v>
      </c>
      <c r="F41" s="31">
        <v>4.55</v>
      </c>
      <c r="G41" s="34">
        <f t="shared" si="9"/>
        <v>13.95</v>
      </c>
      <c r="H41" s="34"/>
      <c r="I41" s="34"/>
      <c r="J41" s="35"/>
      <c r="K41" s="34"/>
      <c r="L41" s="34"/>
      <c r="M41" s="34"/>
      <c r="N41" s="34"/>
      <c r="O41" s="34"/>
      <c r="P41" s="34"/>
      <c r="Q41" s="34"/>
      <c r="R41" s="34"/>
      <c r="S41" s="34"/>
      <c r="T41" s="34"/>
      <c r="U41" s="34"/>
      <c r="V41" s="34"/>
      <c r="W41" s="34"/>
      <c r="X41" s="34"/>
      <c r="Y41" s="34"/>
      <c r="Z41" s="34"/>
    </row>
    <row r="42">
      <c r="A42" s="31" t="s">
        <v>2156</v>
      </c>
      <c r="B42" s="31" t="s">
        <v>2217</v>
      </c>
      <c r="C42" s="31" t="s">
        <v>2218</v>
      </c>
      <c r="D42" s="31">
        <v>0.0</v>
      </c>
      <c r="E42" s="31">
        <v>5.0</v>
      </c>
      <c r="F42" s="31">
        <v>0.4</v>
      </c>
      <c r="G42" s="34">
        <f t="shared" si="9"/>
        <v>4.6</v>
      </c>
      <c r="H42" s="34"/>
      <c r="I42" s="34"/>
      <c r="J42" s="35"/>
      <c r="K42" s="34"/>
      <c r="L42" s="34"/>
      <c r="M42" s="34"/>
      <c r="N42" s="34"/>
      <c r="O42" s="34"/>
      <c r="P42" s="34"/>
      <c r="Q42" s="34"/>
      <c r="R42" s="34"/>
      <c r="S42" s="34"/>
      <c r="T42" s="34"/>
      <c r="U42" s="34"/>
      <c r="V42" s="34"/>
      <c r="W42" s="34"/>
      <c r="X42" s="34"/>
      <c r="Y42" s="34"/>
      <c r="Z42" s="34"/>
    </row>
    <row r="43">
      <c r="A43" s="31" t="s">
        <v>2160</v>
      </c>
      <c r="B43" s="31" t="s">
        <v>471</v>
      </c>
      <c r="C43" s="31">
        <v>1.0</v>
      </c>
      <c r="D43" s="31">
        <v>0.0</v>
      </c>
      <c r="E43" s="31">
        <v>10.0</v>
      </c>
      <c r="F43" s="31">
        <v>0.4</v>
      </c>
      <c r="G43" s="34">
        <f t="shared" si="9"/>
        <v>9.6</v>
      </c>
      <c r="H43" s="34"/>
      <c r="I43" s="34"/>
      <c r="J43" s="35"/>
      <c r="K43" s="34"/>
      <c r="L43" s="34"/>
      <c r="M43" s="34"/>
      <c r="N43" s="34"/>
      <c r="O43" s="34"/>
      <c r="P43" s="34"/>
      <c r="Q43" s="34"/>
      <c r="R43" s="34"/>
      <c r="S43" s="34"/>
      <c r="T43" s="34"/>
      <c r="U43" s="34"/>
      <c r="V43" s="34"/>
      <c r="W43" s="34"/>
      <c r="X43" s="34"/>
      <c r="Y43" s="34"/>
      <c r="Z43" s="34"/>
    </row>
    <row r="44">
      <c r="A44" s="88" t="s">
        <v>2219</v>
      </c>
      <c r="B44" s="88" t="s">
        <v>2220</v>
      </c>
      <c r="C44" s="88" t="s">
        <v>66</v>
      </c>
      <c r="D44" s="88">
        <v>4.0</v>
      </c>
      <c r="E44" s="88">
        <v>10.5</v>
      </c>
      <c r="F44" s="88">
        <v>0.0</v>
      </c>
      <c r="G44" s="89">
        <f t="shared" si="9"/>
        <v>6.5</v>
      </c>
      <c r="H44" s="88" t="s">
        <v>2172</v>
      </c>
      <c r="I44" s="89"/>
      <c r="J44" s="91"/>
      <c r="K44" s="89"/>
      <c r="L44" s="89"/>
      <c r="M44" s="89"/>
      <c r="N44" s="89"/>
      <c r="O44" s="89"/>
      <c r="P44" s="89"/>
      <c r="Q44" s="89"/>
      <c r="R44" s="89"/>
      <c r="S44" s="89"/>
      <c r="T44" s="89"/>
      <c r="U44" s="89"/>
      <c r="V44" s="89"/>
      <c r="W44" s="89"/>
      <c r="X44" s="89"/>
      <c r="Y44" s="89"/>
      <c r="Z44" s="89"/>
    </row>
    <row r="45">
      <c r="A45" s="31" t="s">
        <v>2221</v>
      </c>
      <c r="B45" s="31" t="s">
        <v>2222</v>
      </c>
      <c r="C45" s="34"/>
      <c r="D45" s="31">
        <v>5.5</v>
      </c>
      <c r="E45" s="31">
        <v>25.0</v>
      </c>
      <c r="F45" s="31">
        <v>0.0</v>
      </c>
      <c r="G45" s="34">
        <f t="shared" si="9"/>
        <v>19.5</v>
      </c>
      <c r="H45" s="34"/>
      <c r="I45" s="34"/>
      <c r="J45" s="35"/>
      <c r="K45" s="34"/>
      <c r="L45" s="34"/>
      <c r="M45" s="34"/>
      <c r="N45" s="34"/>
      <c r="O45" s="34"/>
      <c r="P45" s="34"/>
      <c r="Q45" s="34"/>
      <c r="R45" s="34"/>
      <c r="S45" s="34"/>
      <c r="T45" s="34"/>
      <c r="U45" s="34"/>
      <c r="V45" s="34"/>
      <c r="W45" s="34"/>
      <c r="X45" s="34"/>
      <c r="Y45" s="34"/>
      <c r="Z45" s="34"/>
    </row>
    <row r="46">
      <c r="A46" s="88" t="s">
        <v>1031</v>
      </c>
      <c r="B46" s="88" t="s">
        <v>2223</v>
      </c>
      <c r="C46" s="88">
        <v>10.0</v>
      </c>
      <c r="D46" s="88">
        <v>0.0</v>
      </c>
      <c r="E46" s="88">
        <v>10.5</v>
      </c>
      <c r="F46" s="88">
        <v>0.0</v>
      </c>
      <c r="G46" s="89">
        <f t="shared" si="9"/>
        <v>10.5</v>
      </c>
      <c r="H46" s="88" t="s">
        <v>2172</v>
      </c>
      <c r="I46" s="90">
        <v>46116.0</v>
      </c>
      <c r="J46" s="91"/>
      <c r="K46" s="89"/>
      <c r="L46" s="89"/>
      <c r="M46" s="89"/>
      <c r="N46" s="89"/>
      <c r="O46" s="89"/>
      <c r="P46" s="89"/>
      <c r="Q46" s="89"/>
      <c r="R46" s="89"/>
      <c r="S46" s="89"/>
      <c r="T46" s="89"/>
      <c r="U46" s="89"/>
      <c r="V46" s="89"/>
      <c r="W46" s="89"/>
      <c r="X46" s="89"/>
      <c r="Y46" s="89"/>
      <c r="Z46" s="89"/>
    </row>
    <row r="47">
      <c r="A47" s="88" t="s">
        <v>2224</v>
      </c>
      <c r="B47" s="88" t="s">
        <v>2225</v>
      </c>
      <c r="C47" s="88">
        <v>5.0</v>
      </c>
      <c r="D47" s="88">
        <v>2.0</v>
      </c>
      <c r="E47" s="88">
        <v>4.5</v>
      </c>
      <c r="F47" s="88">
        <v>0.0</v>
      </c>
      <c r="G47" s="89">
        <f t="shared" si="9"/>
        <v>2.5</v>
      </c>
      <c r="H47" s="88" t="s">
        <v>2172</v>
      </c>
      <c r="I47" s="89"/>
      <c r="J47" s="91"/>
      <c r="K47" s="89"/>
      <c r="L47" s="89"/>
      <c r="M47" s="89"/>
      <c r="N47" s="89"/>
      <c r="O47" s="89"/>
      <c r="P47" s="89"/>
      <c r="Q47" s="89"/>
      <c r="R47" s="89"/>
      <c r="S47" s="89"/>
      <c r="T47" s="89"/>
      <c r="U47" s="89"/>
      <c r="V47" s="89"/>
      <c r="W47" s="89"/>
      <c r="X47" s="89"/>
      <c r="Y47" s="89"/>
      <c r="Z47" s="89"/>
    </row>
    <row r="48">
      <c r="A48" s="88" t="s">
        <v>961</v>
      </c>
      <c r="B48" s="88" t="s">
        <v>2185</v>
      </c>
      <c r="C48" s="88" t="s">
        <v>51</v>
      </c>
      <c r="D48" s="88">
        <v>8.1</v>
      </c>
      <c r="E48" s="88">
        <v>15.0</v>
      </c>
      <c r="F48" s="88">
        <v>0.0</v>
      </c>
      <c r="G48" s="89">
        <f t="shared" si="9"/>
        <v>6.9</v>
      </c>
      <c r="H48" s="88" t="s">
        <v>2172</v>
      </c>
      <c r="I48" s="88"/>
      <c r="J48" s="91"/>
      <c r="K48" s="89"/>
      <c r="L48" s="89"/>
      <c r="M48" s="89"/>
      <c r="N48" s="89"/>
      <c r="O48" s="89"/>
      <c r="P48" s="89"/>
      <c r="Q48" s="89"/>
      <c r="R48" s="89"/>
      <c r="S48" s="89"/>
      <c r="T48" s="89"/>
      <c r="U48" s="89"/>
      <c r="V48" s="89"/>
      <c r="W48" s="89"/>
      <c r="X48" s="89"/>
      <c r="Y48" s="89"/>
      <c r="Z48" s="89"/>
    </row>
    <row r="49">
      <c r="A49" s="31" t="s">
        <v>2226</v>
      </c>
      <c r="B49" s="31" t="s">
        <v>2227</v>
      </c>
      <c r="C49" s="31">
        <v>4.0</v>
      </c>
      <c r="D49" s="31">
        <v>0.0</v>
      </c>
      <c r="E49" s="31">
        <v>30.0</v>
      </c>
      <c r="F49" s="31">
        <v>0.0</v>
      </c>
      <c r="G49" s="34">
        <f t="shared" si="9"/>
        <v>30</v>
      </c>
      <c r="H49" s="34"/>
      <c r="I49" s="34"/>
      <c r="J49" s="35"/>
      <c r="K49" s="34"/>
      <c r="L49" s="34"/>
      <c r="M49" s="34"/>
      <c r="N49" s="34"/>
      <c r="O49" s="34"/>
      <c r="P49" s="34"/>
      <c r="Q49" s="34"/>
      <c r="R49" s="34"/>
      <c r="S49" s="34"/>
      <c r="T49" s="34"/>
      <c r="U49" s="34"/>
      <c r="V49" s="34"/>
      <c r="W49" s="34"/>
      <c r="X49" s="34"/>
      <c r="Y49" s="34"/>
      <c r="Z49" s="34"/>
    </row>
    <row r="50">
      <c r="A50" s="88" t="s">
        <v>2228</v>
      </c>
      <c r="B50" s="88" t="s">
        <v>2229</v>
      </c>
      <c r="C50" s="88">
        <v>12.0</v>
      </c>
      <c r="D50" s="88">
        <v>0.0</v>
      </c>
      <c r="E50" s="88">
        <v>13.5</v>
      </c>
      <c r="F50" s="88">
        <v>0.0</v>
      </c>
      <c r="G50" s="89">
        <f t="shared" ref="G50:G53" si="10">E50-D50</f>
        <v>13.5</v>
      </c>
      <c r="H50" s="88" t="s">
        <v>2172</v>
      </c>
      <c r="I50" s="89"/>
      <c r="J50" s="91"/>
      <c r="K50" s="89"/>
      <c r="L50" s="89"/>
      <c r="M50" s="89"/>
      <c r="N50" s="89"/>
      <c r="O50" s="89"/>
      <c r="P50" s="89"/>
      <c r="Q50" s="89"/>
      <c r="R50" s="89"/>
      <c r="S50" s="89"/>
      <c r="T50" s="89"/>
      <c r="U50" s="89"/>
      <c r="V50" s="89"/>
      <c r="W50" s="89"/>
      <c r="X50" s="89"/>
      <c r="Y50" s="89"/>
      <c r="Z50" s="89"/>
    </row>
    <row r="51">
      <c r="A51" s="88" t="s">
        <v>2228</v>
      </c>
      <c r="B51" s="88" t="s">
        <v>2230</v>
      </c>
      <c r="C51" s="88">
        <v>4.0</v>
      </c>
      <c r="D51" s="88">
        <v>0.0</v>
      </c>
      <c r="E51" s="88">
        <v>10.5</v>
      </c>
      <c r="F51" s="88">
        <v>0.0</v>
      </c>
      <c r="G51" s="89">
        <f t="shared" si="10"/>
        <v>10.5</v>
      </c>
      <c r="H51" s="88" t="s">
        <v>2172</v>
      </c>
      <c r="I51" s="89"/>
      <c r="J51" s="91"/>
      <c r="K51" s="89"/>
      <c r="L51" s="89"/>
      <c r="M51" s="89"/>
      <c r="N51" s="89"/>
      <c r="O51" s="89"/>
      <c r="P51" s="89"/>
      <c r="Q51" s="89"/>
      <c r="R51" s="89"/>
      <c r="S51" s="89"/>
      <c r="T51" s="89"/>
      <c r="U51" s="89"/>
      <c r="V51" s="89"/>
      <c r="W51" s="89"/>
      <c r="X51" s="89"/>
      <c r="Y51" s="89"/>
      <c r="Z51" s="89"/>
    </row>
    <row r="52">
      <c r="A52" s="88" t="s">
        <v>2231</v>
      </c>
      <c r="B52" s="88" t="s">
        <v>2232</v>
      </c>
      <c r="C52" s="88">
        <v>8.0</v>
      </c>
      <c r="D52" s="88">
        <v>3.0</v>
      </c>
      <c r="E52" s="88">
        <v>4.5</v>
      </c>
      <c r="F52" s="88">
        <v>0.0</v>
      </c>
      <c r="G52" s="89">
        <f t="shared" si="10"/>
        <v>1.5</v>
      </c>
      <c r="H52" s="88" t="s">
        <v>2172</v>
      </c>
      <c r="I52" s="90">
        <v>46128.0</v>
      </c>
      <c r="J52" s="91"/>
      <c r="K52" s="89"/>
      <c r="L52" s="89"/>
      <c r="M52" s="89"/>
      <c r="N52" s="89"/>
      <c r="O52" s="89"/>
      <c r="P52" s="89"/>
      <c r="Q52" s="89"/>
      <c r="R52" s="89"/>
      <c r="S52" s="89"/>
      <c r="T52" s="89"/>
      <c r="U52" s="89"/>
      <c r="V52" s="89"/>
      <c r="W52" s="89"/>
      <c r="X52" s="89"/>
      <c r="Y52" s="89"/>
      <c r="Z52" s="89"/>
    </row>
    <row r="53">
      <c r="A53" s="88" t="s">
        <v>2231</v>
      </c>
      <c r="B53" s="88" t="s">
        <v>1741</v>
      </c>
      <c r="C53" s="88">
        <v>8.0</v>
      </c>
      <c r="D53" s="88">
        <v>0.0</v>
      </c>
      <c r="E53" s="88">
        <v>4.5</v>
      </c>
      <c r="F53" s="88">
        <v>0.0</v>
      </c>
      <c r="G53" s="89">
        <f t="shared" si="10"/>
        <v>4.5</v>
      </c>
      <c r="H53" s="88" t="s">
        <v>2172</v>
      </c>
      <c r="I53" s="90">
        <v>46123.0</v>
      </c>
      <c r="J53" s="91"/>
      <c r="K53" s="89"/>
      <c r="L53" s="89"/>
      <c r="M53" s="89"/>
      <c r="N53" s="89"/>
      <c r="O53" s="89"/>
      <c r="P53" s="89"/>
      <c r="Q53" s="89"/>
      <c r="R53" s="89"/>
      <c r="S53" s="89"/>
      <c r="T53" s="89"/>
      <c r="U53" s="89"/>
      <c r="V53" s="89"/>
      <c r="W53" s="89"/>
      <c r="X53" s="89"/>
      <c r="Y53" s="89"/>
      <c r="Z53" s="89"/>
    </row>
    <row r="54">
      <c r="A54" s="51" t="s">
        <v>2231</v>
      </c>
      <c r="B54" s="51" t="s">
        <v>934</v>
      </c>
      <c r="C54" s="51">
        <v>2.0</v>
      </c>
      <c r="D54" s="51">
        <v>3.0</v>
      </c>
      <c r="E54" s="51">
        <v>10.0</v>
      </c>
      <c r="F54" s="51">
        <v>0.0</v>
      </c>
      <c r="G54" s="52">
        <f t="shared" ref="G54:G55" si="11">E54-F54-D54</f>
        <v>7</v>
      </c>
      <c r="H54" s="52"/>
      <c r="I54" s="52"/>
      <c r="J54" s="53"/>
      <c r="K54" s="52"/>
      <c r="L54" s="52"/>
      <c r="M54" s="52"/>
      <c r="N54" s="52"/>
      <c r="O54" s="52"/>
      <c r="P54" s="52"/>
      <c r="Q54" s="52"/>
      <c r="R54" s="52"/>
      <c r="S54" s="52"/>
      <c r="T54" s="52"/>
      <c r="U54" s="52"/>
      <c r="V54" s="52"/>
      <c r="W54" s="52"/>
      <c r="X54" s="52"/>
      <c r="Y54" s="52"/>
      <c r="Z54" s="52"/>
    </row>
    <row r="55">
      <c r="A55" s="31" t="s">
        <v>1094</v>
      </c>
      <c r="B55" s="31" t="s">
        <v>2233</v>
      </c>
      <c r="C55" s="31">
        <v>10.0</v>
      </c>
      <c r="D55" s="31">
        <v>2.0</v>
      </c>
      <c r="E55" s="31">
        <v>5.0</v>
      </c>
      <c r="F55" s="31">
        <v>0.4</v>
      </c>
      <c r="G55" s="34">
        <f t="shared" si="11"/>
        <v>2.6</v>
      </c>
      <c r="H55" s="34"/>
      <c r="I55" s="34"/>
      <c r="J55" s="35"/>
      <c r="K55" s="34"/>
      <c r="L55" s="34"/>
      <c r="M55" s="34"/>
      <c r="N55" s="34"/>
      <c r="O55" s="34"/>
      <c r="P55" s="34"/>
      <c r="Q55" s="34"/>
      <c r="R55" s="34"/>
      <c r="S55" s="34"/>
      <c r="T55" s="34"/>
      <c r="U55" s="34"/>
      <c r="V55" s="34"/>
      <c r="W55" s="34"/>
      <c r="X55" s="34"/>
      <c r="Y55" s="34"/>
      <c r="Z55" s="34"/>
    </row>
    <row r="56">
      <c r="J56" s="6"/>
    </row>
    <row r="57">
      <c r="J57" s="6"/>
    </row>
    <row r="58">
      <c r="J58" s="6"/>
    </row>
    <row r="59">
      <c r="J59" s="6"/>
    </row>
    <row r="60">
      <c r="J60" s="6"/>
    </row>
    <row r="61">
      <c r="J61" s="6"/>
    </row>
    <row r="62">
      <c r="J62" s="6"/>
    </row>
    <row r="63">
      <c r="J63" s="6"/>
    </row>
    <row r="64">
      <c r="J64" s="6"/>
    </row>
    <row r="65">
      <c r="J65" s="6"/>
    </row>
    <row r="66">
      <c r="J66" s="6"/>
    </row>
    <row r="67">
      <c r="J67" s="6"/>
    </row>
    <row r="68">
      <c r="J68" s="6"/>
    </row>
    <row r="69">
      <c r="J69" s="6"/>
    </row>
    <row r="70">
      <c r="J70" s="6"/>
    </row>
    <row r="71">
      <c r="J71" s="6"/>
    </row>
    <row r="72">
      <c r="J72" s="6"/>
    </row>
    <row r="73">
      <c r="J73" s="6"/>
    </row>
    <row r="74">
      <c r="J74" s="6"/>
    </row>
    <row r="75">
      <c r="J75" s="6"/>
    </row>
    <row r="76">
      <c r="J76" s="6"/>
    </row>
    <row r="77">
      <c r="J77" s="6"/>
    </row>
    <row r="78">
      <c r="J78" s="6"/>
    </row>
    <row r="79">
      <c r="J79" s="6"/>
    </row>
    <row r="80">
      <c r="J80" s="6"/>
    </row>
    <row r="81">
      <c r="J81" s="6"/>
    </row>
    <row r="82">
      <c r="J82" s="6"/>
    </row>
    <row r="83">
      <c r="J83" s="6"/>
    </row>
    <row r="84">
      <c r="J84" s="6"/>
    </row>
    <row r="85">
      <c r="J85" s="6"/>
    </row>
    <row r="86">
      <c r="J86" s="6"/>
    </row>
    <row r="87">
      <c r="J87" s="6"/>
    </row>
    <row r="88">
      <c r="J88" s="6"/>
    </row>
    <row r="89">
      <c r="J89" s="6"/>
    </row>
    <row r="90">
      <c r="J90" s="6"/>
    </row>
    <row r="91">
      <c r="J91" s="6"/>
    </row>
    <row r="92">
      <c r="J92" s="6"/>
    </row>
    <row r="93">
      <c r="J93" s="6"/>
    </row>
    <row r="94">
      <c r="J94" s="6"/>
    </row>
    <row r="95">
      <c r="J95" s="6"/>
    </row>
    <row r="96">
      <c r="J96" s="6"/>
    </row>
    <row r="97">
      <c r="J97" s="6"/>
    </row>
    <row r="98">
      <c r="J98" s="6"/>
    </row>
    <row r="99">
      <c r="J99" s="6"/>
    </row>
    <row r="100">
      <c r="J100" s="6"/>
    </row>
    <row r="101">
      <c r="J101" s="6"/>
    </row>
    <row r="102">
      <c r="J102" s="6"/>
    </row>
    <row r="103">
      <c r="J103" s="6"/>
    </row>
    <row r="104">
      <c r="J104" s="6"/>
    </row>
    <row r="105">
      <c r="J105" s="6"/>
    </row>
    <row r="106">
      <c r="J106" s="6"/>
    </row>
    <row r="107">
      <c r="J107" s="6"/>
    </row>
    <row r="108">
      <c r="J108" s="6"/>
    </row>
    <row r="109">
      <c r="J109" s="6"/>
    </row>
    <row r="110">
      <c r="J110" s="6"/>
    </row>
    <row r="111">
      <c r="J111" s="6"/>
    </row>
    <row r="112">
      <c r="J112" s="6"/>
    </row>
    <row r="113">
      <c r="J113" s="6"/>
    </row>
    <row r="114">
      <c r="J114" s="6"/>
    </row>
    <row r="115">
      <c r="J115" s="6"/>
    </row>
    <row r="116">
      <c r="J116" s="6"/>
    </row>
    <row r="117">
      <c r="J117" s="6"/>
    </row>
    <row r="118">
      <c r="J118" s="6"/>
    </row>
    <row r="119">
      <c r="J119" s="6"/>
    </row>
    <row r="120">
      <c r="J120" s="6"/>
    </row>
    <row r="121">
      <c r="J121" s="6"/>
    </row>
    <row r="122">
      <c r="J122" s="6"/>
    </row>
    <row r="123">
      <c r="J123" s="6"/>
    </row>
    <row r="124">
      <c r="J124" s="6"/>
    </row>
    <row r="125">
      <c r="J125" s="6"/>
    </row>
    <row r="126">
      <c r="J126" s="6"/>
    </row>
    <row r="127">
      <c r="J127" s="6"/>
    </row>
    <row r="128">
      <c r="J128" s="6"/>
    </row>
    <row r="129">
      <c r="J129" s="6"/>
    </row>
    <row r="130">
      <c r="J130" s="6"/>
    </row>
    <row r="131">
      <c r="J131" s="6"/>
    </row>
    <row r="132">
      <c r="J132" s="6"/>
    </row>
    <row r="133">
      <c r="J133" s="6"/>
    </row>
    <row r="134">
      <c r="J134" s="6"/>
    </row>
    <row r="135">
      <c r="J135" s="6"/>
    </row>
    <row r="136">
      <c r="J136" s="6"/>
    </row>
    <row r="137">
      <c r="J137" s="6"/>
    </row>
    <row r="138">
      <c r="J138" s="6"/>
    </row>
    <row r="139">
      <c r="J139" s="6"/>
    </row>
    <row r="140">
      <c r="J140" s="6"/>
    </row>
    <row r="141">
      <c r="J141" s="6"/>
    </row>
    <row r="142">
      <c r="J142" s="6"/>
    </row>
    <row r="143">
      <c r="J143" s="6"/>
    </row>
    <row r="144">
      <c r="J144" s="6"/>
    </row>
    <row r="145">
      <c r="J145" s="6"/>
    </row>
    <row r="146">
      <c r="J146" s="6"/>
    </row>
    <row r="147">
      <c r="J147" s="6"/>
    </row>
    <row r="148">
      <c r="J148" s="6"/>
    </row>
    <row r="149">
      <c r="J149" s="6"/>
    </row>
    <row r="150">
      <c r="J150" s="6"/>
    </row>
    <row r="151">
      <c r="J151" s="6"/>
    </row>
    <row r="152">
      <c r="J152" s="6"/>
    </row>
    <row r="153">
      <c r="J153" s="6"/>
    </row>
    <row r="154">
      <c r="J154" s="6"/>
    </row>
    <row r="155">
      <c r="J155" s="6"/>
    </row>
    <row r="156">
      <c r="J156" s="6"/>
    </row>
    <row r="157">
      <c r="J157" s="6"/>
    </row>
    <row r="158">
      <c r="J158" s="6"/>
    </row>
    <row r="159">
      <c r="J159" s="6"/>
    </row>
    <row r="160">
      <c r="J160" s="6"/>
    </row>
    <row r="161">
      <c r="J161" s="6"/>
    </row>
    <row r="162">
      <c r="J162" s="6"/>
    </row>
    <row r="163">
      <c r="J163" s="6"/>
    </row>
    <row r="164">
      <c r="J164" s="6"/>
    </row>
    <row r="165">
      <c r="J165" s="6"/>
    </row>
    <row r="166">
      <c r="J166" s="6"/>
    </row>
    <row r="167">
      <c r="J167" s="6"/>
    </row>
    <row r="168">
      <c r="J168" s="6"/>
    </row>
    <row r="169">
      <c r="J169" s="6"/>
    </row>
    <row r="170">
      <c r="J170" s="6"/>
    </row>
    <row r="171">
      <c r="J171" s="6"/>
    </row>
    <row r="172">
      <c r="J172" s="6"/>
    </row>
    <row r="173">
      <c r="J173" s="6"/>
    </row>
    <row r="174">
      <c r="J174" s="6"/>
    </row>
    <row r="175">
      <c r="J175" s="6"/>
    </row>
    <row r="176">
      <c r="J176" s="6"/>
    </row>
    <row r="177">
      <c r="J177" s="6"/>
    </row>
    <row r="178">
      <c r="J178" s="6"/>
    </row>
    <row r="179">
      <c r="J179" s="6"/>
    </row>
    <row r="180">
      <c r="J180" s="6"/>
    </row>
    <row r="181">
      <c r="J181" s="6"/>
    </row>
    <row r="182">
      <c r="J182" s="6"/>
    </row>
    <row r="183">
      <c r="J183" s="6"/>
    </row>
    <row r="184">
      <c r="J184" s="6"/>
    </row>
    <row r="185">
      <c r="J185" s="6"/>
    </row>
    <row r="186">
      <c r="J186" s="6"/>
    </row>
    <row r="187">
      <c r="J187" s="6"/>
    </row>
    <row r="188">
      <c r="J188" s="6"/>
    </row>
    <row r="189">
      <c r="J189" s="6"/>
    </row>
    <row r="190">
      <c r="J190" s="6"/>
    </row>
    <row r="191">
      <c r="J191" s="6"/>
    </row>
    <row r="192">
      <c r="J192" s="6"/>
    </row>
    <row r="193">
      <c r="J193" s="6"/>
    </row>
    <row r="194">
      <c r="J194" s="6"/>
    </row>
    <row r="195">
      <c r="J195" s="6"/>
    </row>
    <row r="196">
      <c r="J196" s="6"/>
    </row>
    <row r="197">
      <c r="J197" s="6"/>
    </row>
    <row r="198">
      <c r="J198" s="6"/>
    </row>
    <row r="199">
      <c r="J199" s="6"/>
    </row>
    <row r="200">
      <c r="J200" s="6"/>
    </row>
    <row r="201">
      <c r="J201" s="6"/>
    </row>
    <row r="202">
      <c r="J202" s="6"/>
    </row>
    <row r="203">
      <c r="J203" s="6"/>
    </row>
    <row r="204">
      <c r="J204" s="6"/>
    </row>
    <row r="205">
      <c r="J205" s="6"/>
    </row>
    <row r="206">
      <c r="J206" s="6"/>
    </row>
    <row r="207">
      <c r="J207" s="6"/>
    </row>
    <row r="208">
      <c r="J208" s="6"/>
    </row>
    <row r="209">
      <c r="J209" s="6"/>
    </row>
    <row r="210">
      <c r="J210" s="6"/>
    </row>
    <row r="211">
      <c r="J211" s="6"/>
    </row>
    <row r="212">
      <c r="J212" s="6"/>
    </row>
    <row r="213">
      <c r="J213" s="6"/>
    </row>
    <row r="214">
      <c r="J214" s="6"/>
    </row>
    <row r="215">
      <c r="J215" s="6"/>
    </row>
    <row r="216">
      <c r="J216" s="6"/>
    </row>
    <row r="217">
      <c r="J217" s="6"/>
    </row>
    <row r="218">
      <c r="J218" s="6"/>
    </row>
    <row r="219">
      <c r="J219" s="6"/>
    </row>
    <row r="220">
      <c r="J220" s="6"/>
    </row>
    <row r="221">
      <c r="J221" s="6"/>
    </row>
    <row r="222">
      <c r="J222" s="6"/>
    </row>
    <row r="223">
      <c r="J223" s="6"/>
    </row>
    <row r="224">
      <c r="J224" s="6"/>
    </row>
    <row r="225">
      <c r="J225" s="6"/>
    </row>
    <row r="226">
      <c r="J226" s="6"/>
    </row>
    <row r="227">
      <c r="J227" s="6"/>
    </row>
    <row r="228">
      <c r="J228" s="6"/>
    </row>
    <row r="229">
      <c r="J229" s="6"/>
    </row>
    <row r="230">
      <c r="J230" s="6"/>
    </row>
    <row r="231">
      <c r="J231" s="6"/>
    </row>
    <row r="232">
      <c r="J232" s="6"/>
    </row>
    <row r="233">
      <c r="J233" s="6"/>
    </row>
    <row r="234">
      <c r="J234" s="6"/>
    </row>
    <row r="235">
      <c r="J235" s="6"/>
    </row>
    <row r="236">
      <c r="J236" s="6"/>
    </row>
    <row r="237">
      <c r="J237" s="6"/>
    </row>
    <row r="238">
      <c r="J238" s="6"/>
    </row>
    <row r="239">
      <c r="J239" s="6"/>
    </row>
    <row r="240">
      <c r="J240" s="6"/>
    </row>
    <row r="241">
      <c r="J241" s="6"/>
    </row>
    <row r="242">
      <c r="J242" s="6"/>
    </row>
    <row r="243">
      <c r="J243" s="6"/>
    </row>
    <row r="244">
      <c r="J244" s="6"/>
    </row>
    <row r="245">
      <c r="J245" s="6"/>
    </row>
    <row r="246">
      <c r="J246" s="6"/>
    </row>
    <row r="247">
      <c r="J247" s="6"/>
    </row>
    <row r="248">
      <c r="J248" s="6"/>
    </row>
    <row r="249">
      <c r="J249" s="6"/>
    </row>
    <row r="250">
      <c r="J250" s="6"/>
    </row>
    <row r="251">
      <c r="J251" s="6"/>
    </row>
    <row r="252">
      <c r="J252" s="6"/>
    </row>
    <row r="253">
      <c r="J253" s="6"/>
    </row>
    <row r="254">
      <c r="J254" s="6"/>
    </row>
    <row r="255">
      <c r="J255" s="6"/>
    </row>
    <row r="256">
      <c r="J256" s="6"/>
    </row>
    <row r="257">
      <c r="J257" s="6"/>
    </row>
    <row r="258">
      <c r="J258" s="6"/>
    </row>
    <row r="259">
      <c r="J259" s="6"/>
    </row>
    <row r="260">
      <c r="J260" s="6"/>
    </row>
    <row r="261">
      <c r="J261" s="6"/>
    </row>
    <row r="262">
      <c r="J262" s="6"/>
    </row>
    <row r="263">
      <c r="J263" s="6"/>
    </row>
    <row r="264">
      <c r="J264" s="6"/>
    </row>
    <row r="265">
      <c r="J265" s="6"/>
    </row>
    <row r="266">
      <c r="J266" s="6"/>
    </row>
    <row r="267">
      <c r="J267" s="6"/>
    </row>
    <row r="268">
      <c r="J268" s="6"/>
    </row>
    <row r="269">
      <c r="J269" s="6"/>
    </row>
    <row r="270">
      <c r="J270" s="6"/>
    </row>
    <row r="271">
      <c r="J271" s="6"/>
    </row>
    <row r="272">
      <c r="J272" s="6"/>
    </row>
    <row r="273">
      <c r="J273" s="6"/>
    </row>
    <row r="274">
      <c r="J274" s="6"/>
    </row>
    <row r="275">
      <c r="J275" s="6"/>
    </row>
    <row r="276">
      <c r="J276" s="6"/>
    </row>
    <row r="277">
      <c r="J277" s="6"/>
    </row>
    <row r="278">
      <c r="J278" s="6"/>
    </row>
    <row r="279">
      <c r="J279" s="6"/>
    </row>
    <row r="280">
      <c r="J280" s="6"/>
    </row>
    <row r="281">
      <c r="J281" s="6"/>
    </row>
    <row r="282">
      <c r="J282" s="6"/>
    </row>
    <row r="283">
      <c r="J283" s="6"/>
    </row>
    <row r="284">
      <c r="J284" s="6"/>
    </row>
    <row r="285">
      <c r="J285" s="6"/>
    </row>
    <row r="286">
      <c r="J286" s="6"/>
    </row>
    <row r="287">
      <c r="J287" s="6"/>
    </row>
    <row r="288">
      <c r="J288" s="6"/>
    </row>
    <row r="289">
      <c r="J289" s="6"/>
    </row>
    <row r="290">
      <c r="J290" s="6"/>
    </row>
    <row r="291">
      <c r="J291" s="6"/>
    </row>
    <row r="292">
      <c r="J292" s="6"/>
    </row>
    <row r="293">
      <c r="J293" s="6"/>
    </row>
    <row r="294">
      <c r="J294" s="6"/>
    </row>
    <row r="295">
      <c r="J295" s="6"/>
    </row>
    <row r="296">
      <c r="J296" s="6"/>
    </row>
    <row r="297">
      <c r="J297" s="6"/>
    </row>
    <row r="298">
      <c r="J298" s="6"/>
    </row>
    <row r="299">
      <c r="J299" s="6"/>
    </row>
    <row r="300">
      <c r="J300" s="6"/>
    </row>
    <row r="301">
      <c r="J301" s="6"/>
    </row>
    <row r="302">
      <c r="J302" s="6"/>
    </row>
    <row r="303">
      <c r="J303" s="6"/>
    </row>
    <row r="304">
      <c r="J304" s="6"/>
    </row>
    <row r="305">
      <c r="J305" s="6"/>
    </row>
    <row r="306">
      <c r="J306" s="6"/>
    </row>
    <row r="307">
      <c r="J307" s="6"/>
    </row>
    <row r="308">
      <c r="J308" s="6"/>
    </row>
    <row r="309">
      <c r="J309" s="6"/>
    </row>
    <row r="310">
      <c r="J310" s="6"/>
    </row>
    <row r="311">
      <c r="J311" s="6"/>
    </row>
    <row r="312">
      <c r="J312" s="6"/>
    </row>
    <row r="313">
      <c r="J313" s="6"/>
    </row>
    <row r="314">
      <c r="J314" s="6"/>
    </row>
    <row r="315">
      <c r="J315" s="6"/>
    </row>
    <row r="316">
      <c r="J316" s="6"/>
    </row>
    <row r="317">
      <c r="J317" s="6"/>
    </row>
    <row r="318">
      <c r="J318" s="6"/>
    </row>
    <row r="319">
      <c r="J319" s="6"/>
    </row>
    <row r="320">
      <c r="J320" s="6"/>
    </row>
    <row r="321">
      <c r="J321" s="6"/>
    </row>
    <row r="322">
      <c r="J322" s="6"/>
    </row>
    <row r="323">
      <c r="J323" s="6"/>
    </row>
    <row r="324">
      <c r="J324" s="6"/>
    </row>
    <row r="325">
      <c r="J325" s="6"/>
    </row>
    <row r="326">
      <c r="J326" s="6"/>
    </row>
    <row r="327">
      <c r="J327" s="6"/>
    </row>
    <row r="328">
      <c r="J328" s="6"/>
    </row>
    <row r="329">
      <c r="J329" s="6"/>
    </row>
    <row r="330">
      <c r="J330" s="6"/>
    </row>
    <row r="331">
      <c r="J331" s="6"/>
    </row>
    <row r="332">
      <c r="J332" s="6"/>
    </row>
    <row r="333">
      <c r="J333" s="6"/>
    </row>
    <row r="334">
      <c r="J334" s="6"/>
    </row>
    <row r="335">
      <c r="J335" s="6"/>
    </row>
    <row r="336">
      <c r="J336" s="6"/>
    </row>
    <row r="337">
      <c r="J337" s="6"/>
    </row>
    <row r="338">
      <c r="J338" s="6"/>
    </row>
    <row r="339">
      <c r="J339" s="6"/>
    </row>
    <row r="340">
      <c r="J340" s="6"/>
    </row>
    <row r="341">
      <c r="J341" s="6"/>
    </row>
    <row r="342">
      <c r="J342" s="6"/>
    </row>
    <row r="343">
      <c r="J343" s="6"/>
    </row>
    <row r="344">
      <c r="J344" s="6"/>
    </row>
    <row r="345">
      <c r="J345" s="6"/>
    </row>
    <row r="346">
      <c r="J346" s="6"/>
    </row>
    <row r="347">
      <c r="J347" s="6"/>
    </row>
    <row r="348">
      <c r="J348" s="6"/>
    </row>
    <row r="349">
      <c r="J349" s="6"/>
    </row>
    <row r="350">
      <c r="J350" s="6"/>
    </row>
    <row r="351">
      <c r="J351" s="6"/>
    </row>
    <row r="352">
      <c r="J352" s="6"/>
    </row>
    <row r="353">
      <c r="J353" s="6"/>
    </row>
    <row r="354">
      <c r="J354" s="6"/>
    </row>
    <row r="355">
      <c r="J355" s="6"/>
    </row>
    <row r="356">
      <c r="J356" s="6"/>
    </row>
    <row r="357">
      <c r="J357" s="6"/>
    </row>
    <row r="358">
      <c r="J358" s="6"/>
    </row>
    <row r="359">
      <c r="J359" s="6"/>
    </row>
    <row r="360">
      <c r="J360" s="6"/>
    </row>
    <row r="361">
      <c r="J361" s="6"/>
    </row>
    <row r="362">
      <c r="J362" s="6"/>
    </row>
    <row r="363">
      <c r="J363" s="6"/>
    </row>
    <row r="364">
      <c r="J364" s="6"/>
    </row>
    <row r="365">
      <c r="J365" s="6"/>
    </row>
    <row r="366">
      <c r="J366" s="6"/>
    </row>
    <row r="367">
      <c r="J367" s="6"/>
    </row>
    <row r="368">
      <c r="J368" s="6"/>
    </row>
    <row r="369">
      <c r="J369" s="6"/>
    </row>
    <row r="370">
      <c r="J370" s="6"/>
    </row>
    <row r="371">
      <c r="J371" s="6"/>
    </row>
    <row r="372">
      <c r="J372" s="6"/>
    </row>
    <row r="373">
      <c r="J373" s="6"/>
    </row>
    <row r="374">
      <c r="J374" s="6"/>
    </row>
    <row r="375">
      <c r="J375" s="6"/>
    </row>
    <row r="376">
      <c r="J376" s="6"/>
    </row>
    <row r="377">
      <c r="J377" s="6"/>
    </row>
    <row r="378">
      <c r="J378" s="6"/>
    </row>
    <row r="379">
      <c r="J379" s="6"/>
    </row>
    <row r="380">
      <c r="J380" s="6"/>
    </row>
    <row r="381">
      <c r="J381" s="6"/>
    </row>
    <row r="382">
      <c r="J382" s="6"/>
    </row>
    <row r="383">
      <c r="J383" s="6"/>
    </row>
    <row r="384">
      <c r="J384" s="6"/>
    </row>
    <row r="385">
      <c r="J385" s="6"/>
    </row>
    <row r="386">
      <c r="J386" s="6"/>
    </row>
    <row r="387">
      <c r="J387" s="6"/>
    </row>
    <row r="388">
      <c r="J388" s="6"/>
    </row>
    <row r="389">
      <c r="J389" s="6"/>
    </row>
    <row r="390">
      <c r="J390" s="6"/>
    </row>
    <row r="391">
      <c r="J391" s="6"/>
    </row>
    <row r="392">
      <c r="J392" s="6"/>
    </row>
    <row r="393">
      <c r="J393" s="6"/>
    </row>
    <row r="394">
      <c r="J394" s="6"/>
    </row>
    <row r="395">
      <c r="J395" s="6"/>
    </row>
    <row r="396">
      <c r="J396" s="6"/>
    </row>
    <row r="397">
      <c r="J397" s="6"/>
    </row>
    <row r="398">
      <c r="J398" s="6"/>
    </row>
    <row r="399">
      <c r="J399" s="6"/>
    </row>
    <row r="400">
      <c r="J400" s="6"/>
    </row>
    <row r="401">
      <c r="J401" s="6"/>
    </row>
    <row r="402">
      <c r="J402" s="6"/>
    </row>
    <row r="403">
      <c r="J403" s="6"/>
    </row>
    <row r="404">
      <c r="J404" s="6"/>
    </row>
    <row r="405">
      <c r="J405" s="6"/>
    </row>
    <row r="406">
      <c r="J406" s="6"/>
    </row>
    <row r="407">
      <c r="J407" s="6"/>
    </row>
    <row r="408">
      <c r="J408" s="6"/>
    </row>
    <row r="409">
      <c r="J409" s="6"/>
    </row>
    <row r="410">
      <c r="J410" s="6"/>
    </row>
    <row r="411">
      <c r="J411" s="6"/>
    </row>
    <row r="412">
      <c r="J412" s="6"/>
    </row>
    <row r="413">
      <c r="J413" s="6"/>
    </row>
    <row r="414">
      <c r="J414" s="6"/>
    </row>
    <row r="415">
      <c r="J415" s="6"/>
    </row>
    <row r="416">
      <c r="J416" s="6"/>
    </row>
    <row r="417">
      <c r="J417" s="6"/>
    </row>
    <row r="418">
      <c r="J418" s="6"/>
    </row>
    <row r="419">
      <c r="J419" s="6"/>
    </row>
    <row r="420">
      <c r="J420" s="6"/>
    </row>
    <row r="421">
      <c r="J421" s="6"/>
    </row>
    <row r="422">
      <c r="J422" s="6"/>
    </row>
    <row r="423">
      <c r="J423" s="6"/>
    </row>
    <row r="424">
      <c r="J424" s="6"/>
    </row>
    <row r="425">
      <c r="J425" s="6"/>
    </row>
    <row r="426">
      <c r="J426" s="6"/>
    </row>
    <row r="427">
      <c r="J427" s="6"/>
    </row>
    <row r="428">
      <c r="J428" s="6"/>
    </row>
    <row r="429">
      <c r="J429" s="6"/>
    </row>
    <row r="430">
      <c r="J430" s="6"/>
    </row>
    <row r="431">
      <c r="J431" s="6"/>
    </row>
    <row r="432">
      <c r="J432" s="6"/>
    </row>
    <row r="433">
      <c r="J433" s="6"/>
    </row>
    <row r="434">
      <c r="J434" s="6"/>
    </row>
    <row r="435">
      <c r="J435" s="6"/>
    </row>
    <row r="436">
      <c r="J436" s="6"/>
    </row>
    <row r="437">
      <c r="J437" s="6"/>
    </row>
    <row r="438">
      <c r="J438" s="6"/>
    </row>
    <row r="439">
      <c r="J439" s="6"/>
    </row>
    <row r="440">
      <c r="J440" s="6"/>
    </row>
    <row r="441">
      <c r="J441" s="6"/>
    </row>
    <row r="442">
      <c r="J442" s="6"/>
    </row>
    <row r="443">
      <c r="J443" s="6"/>
    </row>
    <row r="444">
      <c r="J444" s="6"/>
    </row>
    <row r="445">
      <c r="J445" s="6"/>
    </row>
    <row r="446">
      <c r="J446" s="6"/>
    </row>
    <row r="447">
      <c r="J447" s="6"/>
    </row>
    <row r="448">
      <c r="J448" s="6"/>
    </row>
    <row r="449">
      <c r="J449" s="6"/>
    </row>
    <row r="450">
      <c r="J450" s="6"/>
    </row>
    <row r="451">
      <c r="J451" s="6"/>
    </row>
    <row r="452">
      <c r="J452" s="6"/>
    </row>
    <row r="453">
      <c r="J453" s="6"/>
    </row>
    <row r="454">
      <c r="J454" s="6"/>
    </row>
    <row r="455">
      <c r="J455" s="6"/>
    </row>
    <row r="456">
      <c r="J456" s="6"/>
    </row>
    <row r="457">
      <c r="J457" s="6"/>
    </row>
    <row r="458">
      <c r="J458" s="6"/>
    </row>
    <row r="459">
      <c r="J459" s="6"/>
    </row>
    <row r="460">
      <c r="J460" s="6"/>
    </row>
    <row r="461">
      <c r="J461" s="6"/>
    </row>
    <row r="462">
      <c r="J462" s="6"/>
    </row>
    <row r="463">
      <c r="J463" s="6"/>
    </row>
    <row r="464">
      <c r="J464" s="6"/>
    </row>
    <row r="465">
      <c r="J465" s="6"/>
    </row>
    <row r="466">
      <c r="J466" s="6"/>
    </row>
    <row r="467">
      <c r="J467" s="6"/>
    </row>
    <row r="468">
      <c r="J468" s="6"/>
    </row>
    <row r="469">
      <c r="J469" s="6"/>
    </row>
    <row r="470">
      <c r="J470" s="6"/>
    </row>
    <row r="471">
      <c r="J471" s="6"/>
    </row>
    <row r="472">
      <c r="J472" s="6"/>
    </row>
    <row r="473">
      <c r="J473" s="6"/>
    </row>
    <row r="474">
      <c r="J474" s="6"/>
    </row>
    <row r="475">
      <c r="J475" s="6"/>
    </row>
    <row r="476">
      <c r="J476" s="6"/>
    </row>
    <row r="477">
      <c r="J477" s="6"/>
    </row>
    <row r="478">
      <c r="J478" s="6"/>
    </row>
    <row r="479">
      <c r="J479" s="6"/>
    </row>
    <row r="480">
      <c r="J480" s="6"/>
    </row>
    <row r="481">
      <c r="J481" s="6"/>
    </row>
    <row r="482">
      <c r="J482" s="6"/>
    </row>
    <row r="483">
      <c r="J483" s="6"/>
    </row>
    <row r="484">
      <c r="J484" s="6"/>
    </row>
    <row r="485">
      <c r="J485" s="6"/>
    </row>
    <row r="486">
      <c r="J486" s="6"/>
    </row>
    <row r="487">
      <c r="J487" s="6"/>
    </row>
    <row r="488">
      <c r="J488" s="6"/>
    </row>
    <row r="489">
      <c r="J489" s="6"/>
    </row>
    <row r="490">
      <c r="J490" s="6"/>
    </row>
    <row r="491">
      <c r="J491" s="6"/>
    </row>
    <row r="492">
      <c r="J492" s="6"/>
    </row>
    <row r="493">
      <c r="J493" s="6"/>
    </row>
    <row r="494">
      <c r="J494" s="6"/>
    </row>
    <row r="495">
      <c r="J495" s="6"/>
    </row>
    <row r="496">
      <c r="J496" s="6"/>
    </row>
    <row r="497">
      <c r="J497" s="6"/>
    </row>
    <row r="498">
      <c r="J498" s="6"/>
    </row>
    <row r="499">
      <c r="J499" s="6"/>
    </row>
    <row r="500">
      <c r="J500" s="6"/>
    </row>
    <row r="501">
      <c r="J501" s="6"/>
    </row>
    <row r="502">
      <c r="J502" s="6"/>
    </row>
    <row r="503">
      <c r="J503" s="6"/>
    </row>
    <row r="504">
      <c r="J504" s="6"/>
    </row>
    <row r="505">
      <c r="J505" s="6"/>
    </row>
    <row r="506">
      <c r="J506" s="6"/>
    </row>
    <row r="507">
      <c r="J507" s="6"/>
    </row>
    <row r="508">
      <c r="J508" s="6"/>
    </row>
    <row r="509">
      <c r="J509" s="6"/>
    </row>
    <row r="510">
      <c r="J510" s="6"/>
    </row>
    <row r="511">
      <c r="J511" s="6"/>
    </row>
    <row r="512">
      <c r="J512" s="6"/>
    </row>
    <row r="513">
      <c r="J513" s="6"/>
    </row>
    <row r="514">
      <c r="J514" s="6"/>
    </row>
    <row r="515">
      <c r="J515" s="6"/>
    </row>
    <row r="516">
      <c r="J516" s="6"/>
    </row>
    <row r="517">
      <c r="J517" s="6"/>
    </row>
    <row r="518">
      <c r="J518" s="6"/>
    </row>
    <row r="519">
      <c r="J519" s="6"/>
    </row>
    <row r="520">
      <c r="J520" s="6"/>
    </row>
    <row r="521">
      <c r="J521" s="6"/>
    </row>
    <row r="522">
      <c r="J522" s="6"/>
    </row>
    <row r="523">
      <c r="J523" s="6"/>
    </row>
    <row r="524">
      <c r="J524" s="6"/>
    </row>
    <row r="525">
      <c r="J525" s="6"/>
    </row>
    <row r="526">
      <c r="J526" s="6"/>
    </row>
    <row r="527">
      <c r="J527" s="6"/>
    </row>
    <row r="528">
      <c r="J528" s="6"/>
    </row>
    <row r="529">
      <c r="J529" s="6"/>
    </row>
    <row r="530">
      <c r="J530" s="6"/>
    </row>
    <row r="531">
      <c r="J531" s="6"/>
    </row>
    <row r="532">
      <c r="J532" s="6"/>
    </row>
    <row r="533">
      <c r="J533" s="6"/>
    </row>
    <row r="534">
      <c r="J534" s="6"/>
    </row>
    <row r="535">
      <c r="J535" s="6"/>
    </row>
    <row r="536">
      <c r="J536" s="6"/>
    </row>
    <row r="537">
      <c r="J537" s="6"/>
    </row>
    <row r="538">
      <c r="J538" s="6"/>
    </row>
    <row r="539">
      <c r="J539" s="6"/>
    </row>
    <row r="540">
      <c r="J540" s="6"/>
    </row>
    <row r="541">
      <c r="J541" s="6"/>
    </row>
    <row r="542">
      <c r="J542" s="6"/>
    </row>
    <row r="543">
      <c r="J543" s="6"/>
    </row>
    <row r="544">
      <c r="J544" s="6"/>
    </row>
    <row r="545">
      <c r="J545" s="6"/>
    </row>
    <row r="546">
      <c r="J546" s="6"/>
    </row>
    <row r="547">
      <c r="J547" s="6"/>
    </row>
    <row r="548">
      <c r="J548" s="6"/>
    </row>
    <row r="549">
      <c r="J549" s="6"/>
    </row>
    <row r="550">
      <c r="J550" s="6"/>
    </row>
    <row r="551">
      <c r="J551" s="6"/>
    </row>
    <row r="552">
      <c r="J552" s="6"/>
    </row>
    <row r="553">
      <c r="J553" s="6"/>
    </row>
    <row r="554">
      <c r="J554" s="6"/>
    </row>
    <row r="555">
      <c r="J555" s="6"/>
    </row>
    <row r="556">
      <c r="J556" s="6"/>
    </row>
    <row r="557">
      <c r="J557" s="6"/>
    </row>
    <row r="558">
      <c r="J558" s="6"/>
    </row>
    <row r="559">
      <c r="J559" s="6"/>
    </row>
    <row r="560">
      <c r="J560" s="6"/>
    </row>
    <row r="561">
      <c r="J561" s="6"/>
    </row>
    <row r="562">
      <c r="J562" s="6"/>
    </row>
    <row r="563">
      <c r="J563" s="6"/>
    </row>
    <row r="564">
      <c r="J564" s="6"/>
    </row>
    <row r="565">
      <c r="J565" s="6"/>
    </row>
    <row r="566">
      <c r="J566" s="6"/>
    </row>
    <row r="567">
      <c r="J567" s="6"/>
    </row>
    <row r="568">
      <c r="J568" s="6"/>
    </row>
    <row r="569">
      <c r="J569" s="6"/>
    </row>
    <row r="570">
      <c r="J570" s="6"/>
    </row>
    <row r="571">
      <c r="J571" s="6"/>
    </row>
    <row r="572">
      <c r="J572" s="6"/>
    </row>
    <row r="573">
      <c r="J573" s="6"/>
    </row>
    <row r="574">
      <c r="J574" s="6"/>
    </row>
    <row r="575">
      <c r="J575" s="6"/>
    </row>
    <row r="576">
      <c r="J576" s="6"/>
    </row>
    <row r="577">
      <c r="J577" s="6"/>
    </row>
    <row r="578">
      <c r="J578" s="6"/>
    </row>
    <row r="579">
      <c r="J579" s="6"/>
    </row>
    <row r="580">
      <c r="J580" s="6"/>
    </row>
    <row r="581">
      <c r="J581" s="6"/>
    </row>
    <row r="582">
      <c r="J582" s="6"/>
    </row>
    <row r="583">
      <c r="J583" s="6"/>
    </row>
    <row r="584">
      <c r="J584" s="6"/>
    </row>
    <row r="585">
      <c r="J585" s="6"/>
    </row>
    <row r="586">
      <c r="J586" s="6"/>
    </row>
    <row r="587">
      <c r="J587" s="6"/>
    </row>
    <row r="588">
      <c r="J588" s="6"/>
    </row>
    <row r="589">
      <c r="J589" s="6"/>
    </row>
    <row r="590">
      <c r="J590" s="6"/>
    </row>
    <row r="591">
      <c r="J591" s="6"/>
    </row>
    <row r="592">
      <c r="J592" s="6"/>
    </row>
    <row r="593">
      <c r="J593" s="6"/>
    </row>
    <row r="594">
      <c r="J594" s="6"/>
    </row>
    <row r="595">
      <c r="J595" s="6"/>
    </row>
    <row r="596">
      <c r="J596" s="6"/>
    </row>
    <row r="597">
      <c r="J597" s="6"/>
    </row>
    <row r="598">
      <c r="J598" s="6"/>
    </row>
    <row r="599">
      <c r="J599" s="6"/>
    </row>
    <row r="600">
      <c r="J600" s="6"/>
    </row>
    <row r="601">
      <c r="J601" s="6"/>
    </row>
    <row r="602">
      <c r="J602" s="6"/>
    </row>
    <row r="603">
      <c r="J603" s="6"/>
    </row>
    <row r="604">
      <c r="J604" s="6"/>
    </row>
    <row r="605">
      <c r="J605" s="6"/>
    </row>
    <row r="606">
      <c r="J606" s="6"/>
    </row>
    <row r="607">
      <c r="J607" s="6"/>
    </row>
    <row r="608">
      <c r="J608" s="6"/>
    </row>
    <row r="609">
      <c r="J609" s="6"/>
    </row>
    <row r="610">
      <c r="J610" s="6"/>
    </row>
    <row r="611">
      <c r="J611" s="6"/>
    </row>
    <row r="612">
      <c r="J612" s="6"/>
    </row>
    <row r="613">
      <c r="J613" s="6"/>
    </row>
    <row r="614">
      <c r="J614" s="6"/>
    </row>
    <row r="615">
      <c r="J615" s="6"/>
    </row>
    <row r="616">
      <c r="J616" s="6"/>
    </row>
    <row r="617">
      <c r="J617" s="6"/>
    </row>
    <row r="618">
      <c r="J618" s="6"/>
    </row>
    <row r="619">
      <c r="J619" s="6"/>
    </row>
    <row r="620">
      <c r="J620" s="6"/>
    </row>
    <row r="621">
      <c r="J621" s="6"/>
    </row>
    <row r="622">
      <c r="J622" s="6"/>
    </row>
    <row r="623">
      <c r="J623" s="6"/>
    </row>
    <row r="624">
      <c r="J624" s="6"/>
    </row>
    <row r="625">
      <c r="J625" s="6"/>
    </row>
    <row r="626">
      <c r="J626" s="6"/>
    </row>
    <row r="627">
      <c r="J627" s="6"/>
    </row>
    <row r="628">
      <c r="J628" s="6"/>
    </row>
    <row r="629">
      <c r="J629" s="6"/>
    </row>
    <row r="630">
      <c r="J630" s="6"/>
    </row>
    <row r="631">
      <c r="J631" s="6"/>
    </row>
    <row r="632">
      <c r="J632" s="6"/>
    </row>
    <row r="633">
      <c r="J633" s="6"/>
    </row>
    <row r="634">
      <c r="J634" s="6"/>
    </row>
    <row r="635">
      <c r="J635" s="6"/>
    </row>
    <row r="636">
      <c r="J636" s="6"/>
    </row>
    <row r="637">
      <c r="J637" s="6"/>
    </row>
    <row r="638">
      <c r="J638" s="6"/>
    </row>
    <row r="639">
      <c r="J639" s="6"/>
    </row>
    <row r="640">
      <c r="J640" s="6"/>
    </row>
    <row r="641">
      <c r="J641" s="6"/>
    </row>
    <row r="642">
      <c r="J642" s="6"/>
    </row>
    <row r="643">
      <c r="J643" s="6"/>
    </row>
    <row r="644">
      <c r="J644" s="6"/>
    </row>
    <row r="645">
      <c r="J645" s="6"/>
    </row>
    <row r="646">
      <c r="J646" s="6"/>
    </row>
    <row r="647">
      <c r="J647" s="6"/>
    </row>
    <row r="648">
      <c r="J648" s="6"/>
    </row>
    <row r="649">
      <c r="J649" s="6"/>
    </row>
    <row r="650">
      <c r="J650" s="6"/>
    </row>
    <row r="651">
      <c r="J651" s="6"/>
    </row>
    <row r="652">
      <c r="J652" s="6"/>
    </row>
    <row r="653">
      <c r="J653" s="6"/>
    </row>
    <row r="654">
      <c r="J654" s="6"/>
    </row>
    <row r="655">
      <c r="J655" s="6"/>
    </row>
    <row r="656">
      <c r="J656" s="6"/>
    </row>
    <row r="657">
      <c r="J657" s="6"/>
    </row>
    <row r="658">
      <c r="J658" s="6"/>
    </row>
    <row r="659">
      <c r="J659" s="6"/>
    </row>
    <row r="660">
      <c r="J660" s="6"/>
    </row>
    <row r="661">
      <c r="J661" s="6"/>
    </row>
    <row r="662">
      <c r="J662" s="6"/>
    </row>
    <row r="663">
      <c r="J663" s="6"/>
    </row>
    <row r="664">
      <c r="J664" s="6"/>
    </row>
    <row r="665">
      <c r="J665" s="6"/>
    </row>
    <row r="666">
      <c r="J666" s="6"/>
    </row>
    <row r="667">
      <c r="J667" s="6"/>
    </row>
    <row r="668">
      <c r="J668" s="6"/>
    </row>
    <row r="669">
      <c r="J669" s="6"/>
    </row>
    <row r="670">
      <c r="J670" s="6"/>
    </row>
    <row r="671">
      <c r="J671" s="6"/>
    </row>
    <row r="672">
      <c r="J672" s="6"/>
    </row>
    <row r="673">
      <c r="J673" s="6"/>
    </row>
    <row r="674">
      <c r="J674" s="6"/>
    </row>
    <row r="675">
      <c r="J675" s="6"/>
    </row>
    <row r="676">
      <c r="J676" s="6"/>
    </row>
    <row r="677">
      <c r="J677" s="6"/>
    </row>
    <row r="678">
      <c r="J678" s="6"/>
    </row>
    <row r="679">
      <c r="J679" s="6"/>
    </row>
    <row r="680">
      <c r="J680" s="6"/>
    </row>
    <row r="681">
      <c r="J681" s="6"/>
    </row>
    <row r="682">
      <c r="J682" s="6"/>
    </row>
    <row r="683">
      <c r="J683" s="6"/>
    </row>
    <row r="684">
      <c r="J684" s="6"/>
    </row>
    <row r="685">
      <c r="J685" s="6"/>
    </row>
    <row r="686">
      <c r="J686" s="6"/>
    </row>
    <row r="687">
      <c r="J687" s="6"/>
    </row>
    <row r="688">
      <c r="J688" s="6"/>
    </row>
    <row r="689">
      <c r="J689" s="6"/>
    </row>
    <row r="690">
      <c r="J690" s="6"/>
    </row>
    <row r="691">
      <c r="J691" s="6"/>
    </row>
    <row r="692">
      <c r="J692" s="6"/>
    </row>
    <row r="693">
      <c r="J693" s="6"/>
    </row>
    <row r="694">
      <c r="J694" s="6"/>
    </row>
    <row r="695">
      <c r="J695" s="6"/>
    </row>
    <row r="696">
      <c r="J696" s="6"/>
    </row>
    <row r="697">
      <c r="J697" s="6"/>
    </row>
    <row r="698">
      <c r="J698" s="6"/>
    </row>
    <row r="699">
      <c r="J699" s="6"/>
    </row>
    <row r="700">
      <c r="J700" s="6"/>
    </row>
    <row r="701">
      <c r="J701" s="6"/>
    </row>
    <row r="702">
      <c r="J702" s="6"/>
    </row>
    <row r="703">
      <c r="J703" s="6"/>
    </row>
    <row r="704">
      <c r="J704" s="6"/>
    </row>
    <row r="705">
      <c r="J705" s="6"/>
    </row>
    <row r="706">
      <c r="J706" s="6"/>
    </row>
    <row r="707">
      <c r="J707" s="6"/>
    </row>
    <row r="708">
      <c r="J708" s="6"/>
    </row>
    <row r="709">
      <c r="J709" s="6"/>
    </row>
    <row r="710">
      <c r="J710" s="6"/>
    </row>
    <row r="711">
      <c r="J711" s="6"/>
    </row>
    <row r="712">
      <c r="J712" s="6"/>
    </row>
    <row r="713">
      <c r="J713" s="6"/>
    </row>
    <row r="714">
      <c r="J714" s="6"/>
    </row>
    <row r="715">
      <c r="J715" s="6"/>
    </row>
    <row r="716">
      <c r="J716" s="6"/>
    </row>
    <row r="717">
      <c r="J717" s="6"/>
    </row>
    <row r="718">
      <c r="J718" s="6"/>
    </row>
    <row r="719">
      <c r="J719" s="6"/>
    </row>
    <row r="720">
      <c r="J720" s="6"/>
    </row>
    <row r="721">
      <c r="J721" s="6"/>
    </row>
    <row r="722">
      <c r="J722" s="6"/>
    </row>
    <row r="723">
      <c r="J723" s="6"/>
    </row>
    <row r="724">
      <c r="J724" s="6"/>
    </row>
    <row r="725">
      <c r="J725" s="6"/>
    </row>
    <row r="726">
      <c r="J726" s="6"/>
    </row>
    <row r="727">
      <c r="J727" s="6"/>
    </row>
    <row r="728">
      <c r="J728" s="6"/>
    </row>
    <row r="729">
      <c r="J729" s="6"/>
    </row>
    <row r="730">
      <c r="J730" s="6"/>
    </row>
    <row r="731">
      <c r="J731" s="6"/>
    </row>
    <row r="732">
      <c r="J732" s="6"/>
    </row>
    <row r="733">
      <c r="J733" s="6"/>
    </row>
    <row r="734">
      <c r="J734" s="6"/>
    </row>
    <row r="735">
      <c r="J735" s="6"/>
    </row>
    <row r="736">
      <c r="J736" s="6"/>
    </row>
    <row r="737">
      <c r="J737" s="6"/>
    </row>
    <row r="738">
      <c r="J738" s="6"/>
    </row>
    <row r="739">
      <c r="J739" s="6"/>
    </row>
    <row r="740">
      <c r="J740" s="6"/>
    </row>
    <row r="741">
      <c r="J741" s="6"/>
    </row>
    <row r="742">
      <c r="J742" s="6"/>
    </row>
    <row r="743">
      <c r="J743" s="6"/>
    </row>
    <row r="744">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10" max="10" width="57.5"/>
  </cols>
  <sheetData>
    <row r="1">
      <c r="A1" s="1" t="s">
        <v>40</v>
      </c>
      <c r="B1" s="1" t="s">
        <v>41</v>
      </c>
      <c r="C1" s="1" t="s">
        <v>42</v>
      </c>
      <c r="D1" s="1" t="s">
        <v>43</v>
      </c>
      <c r="E1" s="1" t="s">
        <v>44</v>
      </c>
      <c r="F1" s="1" t="s">
        <v>45</v>
      </c>
      <c r="G1" s="1" t="s">
        <v>46</v>
      </c>
      <c r="H1" s="1" t="s">
        <v>47</v>
      </c>
      <c r="I1" s="1" t="s">
        <v>48</v>
      </c>
      <c r="J1" s="4"/>
      <c r="K1" s="5"/>
      <c r="L1" s="5"/>
      <c r="M1" s="5"/>
      <c r="N1" s="5"/>
      <c r="O1" s="5"/>
      <c r="P1" s="5"/>
      <c r="Q1" s="5"/>
      <c r="R1" s="5"/>
      <c r="S1" s="5"/>
      <c r="T1" s="5"/>
      <c r="U1" s="5"/>
      <c r="V1" s="5"/>
      <c r="W1" s="5"/>
      <c r="X1" s="5"/>
      <c r="Y1" s="5"/>
      <c r="Z1" s="5"/>
    </row>
    <row r="2">
      <c r="A2" s="19"/>
      <c r="B2" s="19"/>
      <c r="C2" s="20"/>
      <c r="D2" s="92">
        <f>SUM(D4:D376)</f>
        <v>803.11</v>
      </c>
      <c r="E2" s="20"/>
      <c r="F2" s="20"/>
      <c r="G2" s="20"/>
      <c r="H2" s="20"/>
      <c r="I2" s="20"/>
      <c r="J2" s="21"/>
      <c r="K2" s="20"/>
      <c r="L2" s="20"/>
      <c r="M2" s="20"/>
      <c r="N2" s="20"/>
      <c r="O2" s="20"/>
      <c r="P2" s="20"/>
      <c r="Q2" s="20"/>
      <c r="R2" s="20"/>
      <c r="S2" s="20"/>
      <c r="T2" s="20"/>
      <c r="U2" s="20"/>
      <c r="V2" s="20"/>
      <c r="W2" s="20"/>
      <c r="X2" s="20"/>
      <c r="Y2" s="20"/>
      <c r="Z2" s="20"/>
    </row>
    <row r="3">
      <c r="A3" s="7" t="s">
        <v>2234</v>
      </c>
      <c r="B3" s="93" t="s">
        <v>2235</v>
      </c>
      <c r="C3" s="8"/>
      <c r="D3" s="7">
        <v>5.0</v>
      </c>
      <c r="E3" s="8"/>
      <c r="F3" s="8"/>
      <c r="G3" s="8"/>
      <c r="H3" s="8"/>
      <c r="I3" s="8"/>
      <c r="J3" s="9"/>
      <c r="K3" s="8"/>
      <c r="L3" s="8"/>
      <c r="M3" s="8"/>
      <c r="N3" s="8"/>
      <c r="O3" s="8"/>
      <c r="P3" s="8"/>
      <c r="Q3" s="8"/>
      <c r="R3" s="8"/>
      <c r="S3" s="8"/>
      <c r="T3" s="8"/>
      <c r="U3" s="8"/>
      <c r="V3" s="8"/>
      <c r="W3" s="8"/>
      <c r="X3" s="8"/>
      <c r="Y3" s="8"/>
      <c r="Z3" s="8"/>
    </row>
    <row r="4">
      <c r="A4" s="7" t="s">
        <v>2236</v>
      </c>
      <c r="B4" s="93" t="s">
        <v>2237</v>
      </c>
      <c r="C4" s="8"/>
      <c r="D4" s="7">
        <v>2.0</v>
      </c>
      <c r="E4" s="8"/>
      <c r="F4" s="8"/>
      <c r="G4" s="8"/>
      <c r="H4" s="8"/>
      <c r="I4" s="8"/>
      <c r="J4" s="9"/>
      <c r="K4" s="8"/>
      <c r="L4" s="8"/>
      <c r="M4" s="8"/>
      <c r="N4" s="8"/>
      <c r="O4" s="8"/>
      <c r="P4" s="8"/>
      <c r="Q4" s="8"/>
      <c r="R4" s="8"/>
      <c r="S4" s="8"/>
      <c r="T4" s="8"/>
      <c r="U4" s="8"/>
      <c r="V4" s="8"/>
      <c r="W4" s="8"/>
      <c r="X4" s="8"/>
      <c r="Y4" s="8"/>
      <c r="Z4" s="8"/>
    </row>
    <row r="5">
      <c r="A5" s="7" t="s">
        <v>2238</v>
      </c>
      <c r="B5" s="7" t="s">
        <v>2239</v>
      </c>
      <c r="C5" s="8"/>
      <c r="D5" s="7">
        <v>3.0</v>
      </c>
      <c r="E5" s="8"/>
      <c r="F5" s="8"/>
      <c r="G5" s="8"/>
      <c r="H5" s="7"/>
      <c r="I5" s="8"/>
      <c r="J5" s="9"/>
      <c r="K5" s="8"/>
      <c r="L5" s="8"/>
      <c r="M5" s="8"/>
      <c r="N5" s="8"/>
      <c r="O5" s="8"/>
      <c r="P5" s="8"/>
      <c r="Q5" s="8"/>
      <c r="R5" s="8"/>
      <c r="S5" s="8"/>
      <c r="T5" s="8"/>
      <c r="U5" s="8"/>
      <c r="V5" s="8"/>
      <c r="W5" s="8"/>
      <c r="X5" s="8"/>
      <c r="Y5" s="8"/>
      <c r="Z5" s="8"/>
    </row>
    <row r="6">
      <c r="A6" s="7" t="s">
        <v>2240</v>
      </c>
      <c r="B6" s="7" t="s">
        <v>2241</v>
      </c>
      <c r="C6" s="8"/>
      <c r="D6" s="7">
        <v>2.0</v>
      </c>
      <c r="E6" s="8"/>
      <c r="F6" s="8"/>
      <c r="G6" s="8"/>
      <c r="H6" s="7"/>
      <c r="I6" s="8"/>
      <c r="J6" s="9"/>
      <c r="K6" s="8"/>
      <c r="L6" s="8"/>
      <c r="M6" s="8"/>
      <c r="N6" s="8"/>
      <c r="O6" s="8"/>
      <c r="P6" s="8"/>
      <c r="Q6" s="8"/>
      <c r="R6" s="8"/>
      <c r="S6" s="8"/>
      <c r="T6" s="8"/>
      <c r="U6" s="8"/>
      <c r="V6" s="8"/>
      <c r="W6" s="8"/>
      <c r="X6" s="8"/>
      <c r="Y6" s="8"/>
      <c r="Z6" s="8"/>
    </row>
    <row r="7">
      <c r="A7" s="7" t="s">
        <v>2242</v>
      </c>
      <c r="B7" s="7" t="s">
        <v>2243</v>
      </c>
      <c r="C7" s="7" t="s">
        <v>2244</v>
      </c>
      <c r="D7" s="7">
        <v>1.5</v>
      </c>
      <c r="E7" s="8"/>
      <c r="F7" s="8"/>
      <c r="G7" s="8"/>
      <c r="H7" s="7">
        <v>20.0</v>
      </c>
      <c r="I7" s="22" t="s">
        <v>2245</v>
      </c>
      <c r="J7" s="9"/>
      <c r="K7" s="8"/>
      <c r="L7" s="8"/>
      <c r="M7" s="8"/>
      <c r="N7" s="8"/>
      <c r="O7" s="8"/>
      <c r="P7" s="8"/>
      <c r="Q7" s="8"/>
      <c r="R7" s="8"/>
      <c r="S7" s="8"/>
      <c r="T7" s="8"/>
      <c r="U7" s="8"/>
      <c r="V7" s="8"/>
      <c r="W7" s="8"/>
      <c r="X7" s="8"/>
      <c r="Y7" s="8"/>
      <c r="Z7" s="8"/>
    </row>
    <row r="8">
      <c r="A8" s="7" t="s">
        <v>2242</v>
      </c>
      <c r="B8" s="7" t="s">
        <v>2246</v>
      </c>
      <c r="C8" s="7"/>
      <c r="D8" s="7">
        <v>3.0</v>
      </c>
      <c r="E8" s="8"/>
      <c r="F8" s="8"/>
      <c r="G8" s="8"/>
      <c r="H8" s="7">
        <v>20.0</v>
      </c>
      <c r="I8" s="7"/>
      <c r="J8" s="9"/>
      <c r="K8" s="8"/>
      <c r="L8" s="8"/>
      <c r="M8" s="8"/>
      <c r="N8" s="8"/>
      <c r="O8" s="8"/>
      <c r="P8" s="8"/>
      <c r="Q8" s="8"/>
      <c r="R8" s="8"/>
      <c r="S8" s="8"/>
      <c r="T8" s="8"/>
      <c r="U8" s="8"/>
      <c r="V8" s="8"/>
      <c r="W8" s="8"/>
      <c r="X8" s="8"/>
      <c r="Y8" s="8"/>
      <c r="Z8" s="8"/>
    </row>
    <row r="9">
      <c r="A9" s="7" t="s">
        <v>2247</v>
      </c>
      <c r="B9" s="7" t="s">
        <v>2248</v>
      </c>
      <c r="C9" s="7"/>
      <c r="D9" s="7">
        <v>6.0</v>
      </c>
      <c r="E9" s="8"/>
      <c r="F9" s="8"/>
      <c r="G9" s="8"/>
      <c r="H9" s="7"/>
      <c r="I9" s="7"/>
      <c r="J9" s="9"/>
      <c r="K9" s="8"/>
      <c r="L9" s="8"/>
      <c r="M9" s="8"/>
      <c r="N9" s="8"/>
      <c r="O9" s="8"/>
      <c r="P9" s="8"/>
      <c r="Q9" s="8"/>
      <c r="R9" s="8"/>
      <c r="S9" s="8"/>
      <c r="T9" s="8"/>
      <c r="U9" s="8"/>
      <c r="V9" s="8"/>
      <c r="W9" s="8"/>
      <c r="X9" s="8"/>
      <c r="Y9" s="8"/>
      <c r="Z9" s="8"/>
    </row>
    <row r="10">
      <c r="A10" s="7" t="s">
        <v>2249</v>
      </c>
      <c r="B10" s="7" t="s">
        <v>2250</v>
      </c>
      <c r="C10" s="8"/>
      <c r="D10" s="7">
        <v>1.5</v>
      </c>
      <c r="E10" s="8"/>
      <c r="F10" s="8"/>
      <c r="G10" s="8"/>
      <c r="H10" s="8"/>
      <c r="I10" s="8"/>
      <c r="J10" s="9"/>
      <c r="K10" s="8"/>
      <c r="L10" s="8"/>
      <c r="M10" s="8"/>
      <c r="N10" s="8"/>
      <c r="O10" s="8"/>
      <c r="P10" s="8"/>
      <c r="Q10" s="8"/>
      <c r="R10" s="8"/>
      <c r="S10" s="8"/>
      <c r="T10" s="8"/>
      <c r="U10" s="8"/>
      <c r="V10" s="8"/>
      <c r="W10" s="8"/>
      <c r="X10" s="8"/>
      <c r="Y10" s="8"/>
      <c r="Z10" s="8"/>
    </row>
    <row r="11">
      <c r="A11" s="7" t="s">
        <v>2249</v>
      </c>
      <c r="B11" s="7" t="s">
        <v>2250</v>
      </c>
      <c r="C11" s="8"/>
      <c r="D11" s="7">
        <v>1.5</v>
      </c>
      <c r="E11" s="8"/>
      <c r="F11" s="8"/>
      <c r="G11" s="8"/>
      <c r="H11" s="8"/>
      <c r="I11" s="8"/>
      <c r="J11" s="9"/>
      <c r="K11" s="8"/>
      <c r="L11" s="8"/>
      <c r="M11" s="8"/>
      <c r="N11" s="8"/>
      <c r="O11" s="8"/>
      <c r="P11" s="8"/>
      <c r="Q11" s="8"/>
      <c r="R11" s="8"/>
      <c r="S11" s="8"/>
      <c r="T11" s="8"/>
      <c r="U11" s="8"/>
      <c r="V11" s="8"/>
      <c r="W11" s="8"/>
      <c r="X11" s="8"/>
      <c r="Y11" s="8"/>
      <c r="Z11" s="8"/>
    </row>
    <row r="12">
      <c r="A12" s="7" t="s">
        <v>2251</v>
      </c>
      <c r="B12" s="93" t="s">
        <v>2252</v>
      </c>
      <c r="C12" s="8"/>
      <c r="D12" s="7">
        <v>15.0</v>
      </c>
      <c r="E12" s="8"/>
      <c r="F12" s="8"/>
      <c r="G12" s="8"/>
      <c r="H12" s="8"/>
      <c r="I12" s="8"/>
      <c r="J12" s="9"/>
      <c r="K12" s="8"/>
      <c r="L12" s="8"/>
      <c r="M12" s="8"/>
      <c r="N12" s="8"/>
      <c r="O12" s="8"/>
      <c r="P12" s="8"/>
      <c r="Q12" s="8"/>
      <c r="R12" s="8"/>
      <c r="S12" s="8"/>
      <c r="T12" s="8"/>
      <c r="U12" s="8"/>
      <c r="V12" s="8"/>
      <c r="W12" s="8"/>
      <c r="X12" s="8"/>
      <c r="Y12" s="8"/>
      <c r="Z12" s="8"/>
    </row>
    <row r="13">
      <c r="A13" s="7" t="s">
        <v>2251</v>
      </c>
      <c r="B13" s="93" t="s">
        <v>2253</v>
      </c>
      <c r="C13" s="8"/>
      <c r="D13" s="7">
        <v>25.0</v>
      </c>
      <c r="E13" s="8"/>
      <c r="F13" s="8"/>
      <c r="G13" s="8"/>
      <c r="H13" s="8"/>
      <c r="I13" s="8"/>
      <c r="J13" s="9"/>
      <c r="K13" s="8"/>
      <c r="L13" s="8"/>
      <c r="M13" s="8"/>
      <c r="N13" s="8"/>
      <c r="O13" s="8"/>
      <c r="P13" s="8"/>
      <c r="Q13" s="8"/>
      <c r="R13" s="8"/>
      <c r="S13" s="8"/>
      <c r="T13" s="8"/>
      <c r="U13" s="8"/>
      <c r="V13" s="8"/>
      <c r="W13" s="8"/>
      <c r="X13" s="8"/>
      <c r="Y13" s="8"/>
      <c r="Z13" s="8"/>
    </row>
    <row r="14">
      <c r="A14" s="7" t="s">
        <v>2254</v>
      </c>
      <c r="B14" s="93" t="s">
        <v>2255</v>
      </c>
      <c r="C14" s="8"/>
      <c r="D14" s="7">
        <v>3.0</v>
      </c>
      <c r="E14" s="8"/>
      <c r="F14" s="8"/>
      <c r="G14" s="8"/>
      <c r="H14" s="8"/>
      <c r="I14" s="8"/>
      <c r="J14" s="9"/>
      <c r="K14" s="8"/>
      <c r="L14" s="8"/>
      <c r="M14" s="8"/>
      <c r="N14" s="8"/>
      <c r="O14" s="8"/>
      <c r="P14" s="8"/>
      <c r="Q14" s="8"/>
      <c r="R14" s="8"/>
      <c r="S14" s="8"/>
      <c r="T14" s="8"/>
      <c r="U14" s="8"/>
      <c r="V14" s="8"/>
      <c r="W14" s="8"/>
      <c r="X14" s="8"/>
      <c r="Y14" s="8"/>
      <c r="Z14" s="8"/>
    </row>
    <row r="15">
      <c r="A15" s="7" t="s">
        <v>2256</v>
      </c>
      <c r="B15" s="93" t="s">
        <v>2257</v>
      </c>
      <c r="C15" s="8"/>
      <c r="D15" s="7">
        <v>1.0</v>
      </c>
      <c r="E15" s="8"/>
      <c r="F15" s="8"/>
      <c r="G15" s="8"/>
      <c r="H15" s="8"/>
      <c r="I15" s="8"/>
      <c r="J15" s="9"/>
      <c r="K15" s="8"/>
      <c r="L15" s="8"/>
      <c r="M15" s="8"/>
      <c r="N15" s="8"/>
      <c r="O15" s="8"/>
      <c r="P15" s="8"/>
      <c r="Q15" s="8"/>
      <c r="R15" s="8"/>
      <c r="S15" s="8"/>
      <c r="T15" s="8"/>
      <c r="U15" s="8"/>
      <c r="V15" s="8"/>
      <c r="W15" s="8"/>
      <c r="X15" s="8"/>
      <c r="Y15" s="8"/>
      <c r="Z15" s="8"/>
    </row>
    <row r="16">
      <c r="A16" s="7" t="s">
        <v>2258</v>
      </c>
      <c r="B16" s="7" t="s">
        <v>2259</v>
      </c>
      <c r="C16" s="8"/>
      <c r="D16" s="7">
        <v>1.5</v>
      </c>
      <c r="E16" s="8"/>
      <c r="F16" s="8"/>
      <c r="G16" s="8"/>
      <c r="H16" s="8"/>
      <c r="I16" s="8"/>
      <c r="J16" s="9"/>
      <c r="K16" s="8"/>
      <c r="L16" s="8"/>
      <c r="M16" s="8"/>
      <c r="N16" s="8"/>
      <c r="O16" s="8"/>
      <c r="P16" s="8"/>
      <c r="Q16" s="8"/>
      <c r="R16" s="8"/>
      <c r="S16" s="8"/>
      <c r="T16" s="8"/>
      <c r="U16" s="8"/>
      <c r="V16" s="8"/>
      <c r="W16" s="8"/>
      <c r="X16" s="8"/>
      <c r="Y16" s="8"/>
      <c r="Z16" s="8"/>
    </row>
    <row r="17">
      <c r="A17" s="7" t="s">
        <v>2260</v>
      </c>
      <c r="B17" s="7" t="s">
        <v>2261</v>
      </c>
      <c r="C17" s="8"/>
      <c r="D17" s="7">
        <v>3.5</v>
      </c>
      <c r="E17" s="8"/>
      <c r="F17" s="8"/>
      <c r="G17" s="8"/>
      <c r="H17" s="7"/>
      <c r="I17" s="8"/>
      <c r="J17" s="94"/>
      <c r="K17" s="8"/>
      <c r="L17" s="8"/>
      <c r="M17" s="8"/>
      <c r="N17" s="8"/>
      <c r="O17" s="8"/>
      <c r="P17" s="8"/>
      <c r="Q17" s="8"/>
      <c r="R17" s="8"/>
      <c r="S17" s="8"/>
      <c r="T17" s="8"/>
      <c r="U17" s="8"/>
      <c r="V17" s="8"/>
      <c r="W17" s="8"/>
      <c r="X17" s="8"/>
      <c r="Y17" s="8"/>
      <c r="Z17" s="8"/>
    </row>
    <row r="18">
      <c r="A18" s="7" t="s">
        <v>2262</v>
      </c>
      <c r="B18" s="7" t="s">
        <v>2263</v>
      </c>
      <c r="C18" s="8"/>
      <c r="D18" s="7">
        <v>3.5</v>
      </c>
      <c r="E18" s="8"/>
      <c r="F18" s="8"/>
      <c r="G18" s="8"/>
      <c r="H18" s="7">
        <v>30.0</v>
      </c>
      <c r="I18" s="8"/>
      <c r="J18" s="95" t="s">
        <v>2264</v>
      </c>
      <c r="K18" s="8"/>
      <c r="L18" s="8"/>
      <c r="M18" s="8"/>
      <c r="N18" s="8"/>
      <c r="O18" s="8"/>
      <c r="P18" s="8"/>
      <c r="Q18" s="8"/>
      <c r="R18" s="8"/>
      <c r="S18" s="8"/>
      <c r="T18" s="8"/>
      <c r="U18" s="8"/>
      <c r="V18" s="8"/>
      <c r="W18" s="8"/>
      <c r="X18" s="8"/>
      <c r="Y18" s="8"/>
      <c r="Z18" s="8"/>
    </row>
    <row r="19">
      <c r="A19" s="7" t="s">
        <v>2265</v>
      </c>
      <c r="B19" s="7" t="s">
        <v>2266</v>
      </c>
      <c r="C19" s="7" t="s">
        <v>2267</v>
      </c>
      <c r="D19" s="7">
        <v>4.5</v>
      </c>
      <c r="E19" s="8"/>
      <c r="F19" s="8"/>
      <c r="G19" s="8"/>
      <c r="H19" s="8"/>
      <c r="I19" s="22" t="s">
        <v>2268</v>
      </c>
      <c r="J19" s="9"/>
      <c r="K19" s="8"/>
      <c r="L19" s="8"/>
      <c r="M19" s="8"/>
      <c r="N19" s="8"/>
      <c r="O19" s="8"/>
      <c r="P19" s="8"/>
      <c r="Q19" s="8"/>
      <c r="R19" s="8"/>
      <c r="S19" s="8"/>
      <c r="T19" s="8"/>
      <c r="U19" s="8"/>
      <c r="V19" s="8"/>
      <c r="W19" s="8"/>
      <c r="X19" s="8"/>
      <c r="Y19" s="8"/>
      <c r="Z19" s="8"/>
    </row>
    <row r="20">
      <c r="A20" s="7" t="s">
        <v>2269</v>
      </c>
      <c r="B20" s="7" t="s">
        <v>2270</v>
      </c>
      <c r="C20" s="7"/>
      <c r="D20" s="7">
        <v>3.0</v>
      </c>
      <c r="E20" s="8"/>
      <c r="F20" s="8"/>
      <c r="G20" s="8"/>
      <c r="H20" s="7"/>
      <c r="I20" s="7"/>
      <c r="J20" s="9"/>
      <c r="K20" s="8"/>
      <c r="L20" s="8"/>
      <c r="M20" s="8"/>
      <c r="N20" s="8"/>
      <c r="O20" s="8"/>
      <c r="P20" s="8"/>
      <c r="Q20" s="8"/>
      <c r="R20" s="8"/>
      <c r="S20" s="8"/>
      <c r="T20" s="8"/>
      <c r="U20" s="8"/>
      <c r="V20" s="8"/>
      <c r="W20" s="8"/>
      <c r="X20" s="8"/>
      <c r="Y20" s="8"/>
      <c r="Z20" s="8"/>
    </row>
    <row r="21">
      <c r="A21" s="7" t="s">
        <v>2271</v>
      </c>
      <c r="B21" s="7" t="s">
        <v>2272</v>
      </c>
      <c r="C21" s="7"/>
      <c r="D21" s="7">
        <v>7.0</v>
      </c>
      <c r="E21" s="8"/>
      <c r="F21" s="8"/>
      <c r="G21" s="8"/>
      <c r="H21" s="7"/>
      <c r="I21" s="7"/>
      <c r="J21" s="9"/>
      <c r="K21" s="8"/>
      <c r="L21" s="8"/>
      <c r="M21" s="8"/>
      <c r="N21" s="8"/>
      <c r="O21" s="8"/>
      <c r="P21" s="8"/>
      <c r="Q21" s="8"/>
      <c r="R21" s="8"/>
      <c r="S21" s="8"/>
      <c r="T21" s="8"/>
      <c r="U21" s="8"/>
      <c r="V21" s="8"/>
      <c r="W21" s="8"/>
      <c r="X21" s="8"/>
      <c r="Y21" s="8"/>
      <c r="Z21" s="8"/>
    </row>
    <row r="22">
      <c r="A22" s="7" t="s">
        <v>2273</v>
      </c>
      <c r="B22" s="7" t="s">
        <v>2274</v>
      </c>
      <c r="C22" s="7" t="s">
        <v>2275</v>
      </c>
      <c r="D22" s="7">
        <v>10.5</v>
      </c>
      <c r="E22" s="8"/>
      <c r="F22" s="8"/>
      <c r="G22" s="8"/>
      <c r="H22" s="7">
        <v>10.0</v>
      </c>
      <c r="I22" s="22" t="s">
        <v>2276</v>
      </c>
      <c r="J22" s="9"/>
      <c r="K22" s="8"/>
      <c r="L22" s="8"/>
      <c r="M22" s="8"/>
      <c r="N22" s="8"/>
      <c r="O22" s="8"/>
      <c r="P22" s="8"/>
      <c r="Q22" s="8"/>
      <c r="R22" s="8"/>
      <c r="S22" s="8"/>
      <c r="T22" s="8"/>
      <c r="U22" s="8"/>
      <c r="V22" s="8"/>
      <c r="W22" s="8"/>
      <c r="X22" s="8"/>
      <c r="Y22" s="8"/>
      <c r="Z22" s="8"/>
    </row>
    <row r="23">
      <c r="A23" s="7" t="s">
        <v>2273</v>
      </c>
      <c r="B23" s="7" t="s">
        <v>2277</v>
      </c>
      <c r="C23" s="7" t="s">
        <v>2278</v>
      </c>
      <c r="D23" s="7">
        <v>5.6</v>
      </c>
      <c r="E23" s="8"/>
      <c r="F23" s="8"/>
      <c r="G23" s="8"/>
      <c r="H23" s="7">
        <v>10.0</v>
      </c>
      <c r="I23" s="22" t="s">
        <v>2276</v>
      </c>
      <c r="J23" s="9"/>
      <c r="K23" s="8"/>
      <c r="L23" s="8"/>
      <c r="M23" s="8"/>
      <c r="N23" s="8"/>
      <c r="O23" s="8"/>
      <c r="P23" s="8"/>
      <c r="Q23" s="8"/>
      <c r="R23" s="8"/>
      <c r="S23" s="8"/>
      <c r="T23" s="8"/>
      <c r="U23" s="8"/>
      <c r="V23" s="8"/>
      <c r="W23" s="8"/>
      <c r="X23" s="8"/>
      <c r="Y23" s="8"/>
      <c r="Z23" s="8"/>
    </row>
    <row r="24">
      <c r="A24" s="7" t="s">
        <v>2279</v>
      </c>
      <c r="B24" s="7" t="s">
        <v>2280</v>
      </c>
      <c r="C24" s="7"/>
      <c r="D24" s="7">
        <v>1.4</v>
      </c>
      <c r="E24" s="8"/>
      <c r="F24" s="8"/>
      <c r="G24" s="8"/>
      <c r="H24" s="7"/>
      <c r="I24" s="7"/>
      <c r="J24" s="9"/>
      <c r="K24" s="8"/>
      <c r="L24" s="8"/>
      <c r="M24" s="8"/>
      <c r="N24" s="8"/>
      <c r="O24" s="8"/>
      <c r="P24" s="8"/>
      <c r="Q24" s="8"/>
      <c r="R24" s="8"/>
      <c r="S24" s="8"/>
      <c r="T24" s="8"/>
      <c r="U24" s="8"/>
      <c r="V24" s="8"/>
      <c r="W24" s="8"/>
      <c r="X24" s="8"/>
      <c r="Y24" s="8"/>
      <c r="Z24" s="8"/>
    </row>
    <row r="25">
      <c r="A25" s="7" t="s">
        <v>2281</v>
      </c>
      <c r="B25" s="7" t="s">
        <v>2282</v>
      </c>
      <c r="C25" s="8"/>
      <c r="D25" s="7">
        <v>6.49</v>
      </c>
      <c r="E25" s="8"/>
      <c r="F25" s="8"/>
      <c r="G25" s="8"/>
      <c r="H25" s="8"/>
      <c r="I25" s="7"/>
      <c r="J25" s="94"/>
      <c r="K25" s="8"/>
      <c r="L25" s="8"/>
      <c r="M25" s="8"/>
      <c r="N25" s="8"/>
      <c r="O25" s="8"/>
      <c r="P25" s="8"/>
      <c r="Q25" s="8"/>
      <c r="R25" s="8"/>
      <c r="S25" s="8"/>
      <c r="T25" s="8"/>
      <c r="U25" s="8"/>
      <c r="V25" s="8"/>
      <c r="W25" s="8"/>
      <c r="X25" s="8"/>
      <c r="Y25" s="8"/>
      <c r="Z25" s="8"/>
    </row>
    <row r="26">
      <c r="A26" s="7" t="s">
        <v>2281</v>
      </c>
      <c r="B26" s="7" t="s">
        <v>2283</v>
      </c>
      <c r="C26" s="8"/>
      <c r="D26" s="7">
        <v>5.98</v>
      </c>
      <c r="E26" s="8"/>
      <c r="F26" s="8"/>
      <c r="G26" s="8"/>
      <c r="H26" s="8"/>
      <c r="I26" s="7"/>
      <c r="J26" s="94"/>
      <c r="K26" s="8"/>
      <c r="L26" s="8"/>
      <c r="M26" s="8"/>
      <c r="N26" s="8"/>
      <c r="O26" s="8"/>
      <c r="P26" s="8"/>
      <c r="Q26" s="8"/>
      <c r="R26" s="8"/>
      <c r="S26" s="8"/>
      <c r="T26" s="8"/>
      <c r="U26" s="8"/>
      <c r="V26" s="8"/>
      <c r="W26" s="8"/>
      <c r="X26" s="8"/>
      <c r="Y26" s="8"/>
      <c r="Z26" s="8"/>
    </row>
    <row r="27">
      <c r="A27" s="7" t="s">
        <v>2281</v>
      </c>
      <c r="B27" s="7" t="s">
        <v>2284</v>
      </c>
      <c r="C27" s="8"/>
      <c r="D27" s="7">
        <v>4.5</v>
      </c>
      <c r="E27" s="8"/>
      <c r="F27" s="8"/>
      <c r="G27" s="8"/>
      <c r="H27" s="8"/>
      <c r="I27" s="7"/>
      <c r="J27" s="94"/>
      <c r="K27" s="8"/>
      <c r="L27" s="8"/>
      <c r="M27" s="8"/>
      <c r="N27" s="8"/>
      <c r="O27" s="8"/>
      <c r="P27" s="8"/>
      <c r="Q27" s="8"/>
      <c r="R27" s="8"/>
      <c r="S27" s="8"/>
      <c r="T27" s="8"/>
      <c r="U27" s="8"/>
      <c r="V27" s="8"/>
      <c r="W27" s="8"/>
      <c r="X27" s="8"/>
      <c r="Y27" s="8"/>
      <c r="Z27" s="8"/>
    </row>
    <row r="28">
      <c r="A28" s="10" t="s">
        <v>2281</v>
      </c>
      <c r="B28" s="10" t="s">
        <v>2285</v>
      </c>
      <c r="C28" s="11"/>
      <c r="D28" s="10">
        <v>7.0</v>
      </c>
      <c r="E28" s="11"/>
      <c r="F28" s="11"/>
      <c r="G28" s="11"/>
      <c r="H28" s="10" t="s">
        <v>384</v>
      </c>
      <c r="I28" s="65" t="s">
        <v>2286</v>
      </c>
      <c r="J28" s="96"/>
      <c r="K28" s="11"/>
      <c r="L28" s="11"/>
      <c r="M28" s="11"/>
      <c r="N28" s="11"/>
      <c r="O28" s="11"/>
      <c r="P28" s="11"/>
      <c r="Q28" s="11"/>
      <c r="R28" s="11"/>
      <c r="S28" s="11"/>
      <c r="T28" s="11"/>
      <c r="U28" s="11"/>
      <c r="V28" s="11"/>
      <c r="W28" s="11"/>
      <c r="X28" s="11"/>
      <c r="Y28" s="11"/>
      <c r="Z28" s="11"/>
    </row>
    <row r="29">
      <c r="A29" s="10" t="s">
        <v>2281</v>
      </c>
      <c r="B29" s="10" t="s">
        <v>2287</v>
      </c>
      <c r="C29" s="11"/>
      <c r="D29" s="10">
        <v>8.0</v>
      </c>
      <c r="E29" s="11"/>
      <c r="F29" s="11"/>
      <c r="G29" s="11"/>
      <c r="H29" s="10" t="s">
        <v>384</v>
      </c>
      <c r="I29" s="11"/>
      <c r="J29" s="97" t="s">
        <v>2288</v>
      </c>
      <c r="K29" s="11"/>
      <c r="L29" s="11"/>
      <c r="M29" s="11"/>
      <c r="N29" s="11"/>
      <c r="O29" s="11"/>
      <c r="P29" s="11"/>
      <c r="Q29" s="11"/>
      <c r="R29" s="11"/>
      <c r="S29" s="11"/>
      <c r="T29" s="11"/>
      <c r="U29" s="11"/>
      <c r="V29" s="11"/>
      <c r="W29" s="11"/>
      <c r="X29" s="11"/>
      <c r="Y29" s="11"/>
      <c r="Z29" s="11"/>
    </row>
    <row r="30">
      <c r="A30" s="10" t="s">
        <v>2281</v>
      </c>
      <c r="B30" s="10" t="s">
        <v>2289</v>
      </c>
      <c r="C30" s="11"/>
      <c r="D30" s="10">
        <v>4.7</v>
      </c>
      <c r="E30" s="11"/>
      <c r="F30" s="11"/>
      <c r="G30" s="11"/>
      <c r="H30" s="10" t="s">
        <v>384</v>
      </c>
      <c r="I30" s="11"/>
      <c r="J30" s="96"/>
      <c r="K30" s="11"/>
      <c r="L30" s="11"/>
      <c r="M30" s="11"/>
      <c r="N30" s="11"/>
      <c r="O30" s="11"/>
      <c r="P30" s="11"/>
      <c r="Q30" s="11"/>
      <c r="R30" s="11"/>
      <c r="S30" s="11"/>
      <c r="T30" s="11"/>
      <c r="U30" s="11"/>
      <c r="V30" s="11"/>
      <c r="W30" s="11"/>
      <c r="X30" s="11"/>
      <c r="Y30" s="11"/>
      <c r="Z30" s="11"/>
    </row>
    <row r="31">
      <c r="A31" s="10" t="s">
        <v>2281</v>
      </c>
      <c r="B31" s="10" t="s">
        <v>2290</v>
      </c>
      <c r="C31" s="11"/>
      <c r="D31" s="10">
        <v>4.5</v>
      </c>
      <c r="E31" s="11"/>
      <c r="F31" s="11"/>
      <c r="G31" s="11"/>
      <c r="H31" s="10" t="s">
        <v>384</v>
      </c>
      <c r="I31" s="11"/>
      <c r="J31" s="97" t="s">
        <v>2291</v>
      </c>
      <c r="K31" s="11"/>
      <c r="L31" s="11"/>
      <c r="M31" s="11"/>
      <c r="N31" s="11"/>
      <c r="O31" s="11"/>
      <c r="P31" s="11"/>
      <c r="Q31" s="11"/>
      <c r="R31" s="11"/>
      <c r="S31" s="11"/>
      <c r="T31" s="11"/>
      <c r="U31" s="11"/>
      <c r="V31" s="11"/>
      <c r="W31" s="11"/>
      <c r="X31" s="11"/>
      <c r="Y31" s="11"/>
      <c r="Z31" s="11"/>
    </row>
    <row r="32">
      <c r="A32" s="10" t="s">
        <v>2281</v>
      </c>
      <c r="B32" s="10" t="s">
        <v>2292</v>
      </c>
      <c r="C32" s="11"/>
      <c r="D32" s="10">
        <v>3.0</v>
      </c>
      <c r="E32" s="11"/>
      <c r="F32" s="11"/>
      <c r="G32" s="11"/>
      <c r="H32" s="10" t="s">
        <v>384</v>
      </c>
      <c r="I32" s="11"/>
      <c r="J32" s="12"/>
      <c r="K32" s="11"/>
      <c r="L32" s="11"/>
      <c r="M32" s="11"/>
      <c r="N32" s="11"/>
      <c r="O32" s="11"/>
      <c r="P32" s="11"/>
      <c r="Q32" s="11"/>
      <c r="R32" s="11"/>
      <c r="S32" s="11"/>
      <c r="T32" s="11"/>
      <c r="U32" s="11"/>
      <c r="V32" s="11"/>
      <c r="W32" s="11"/>
      <c r="X32" s="11"/>
      <c r="Y32" s="11"/>
      <c r="Z32" s="11"/>
    </row>
    <row r="33">
      <c r="A33" s="7" t="s">
        <v>2281</v>
      </c>
      <c r="B33" s="7" t="s">
        <v>2293</v>
      </c>
      <c r="C33" s="8"/>
      <c r="D33" s="7">
        <v>8.0</v>
      </c>
      <c r="E33" s="8"/>
      <c r="F33" s="8"/>
      <c r="G33" s="8"/>
      <c r="H33" s="7">
        <v>25.0</v>
      </c>
      <c r="I33" s="98" t="s">
        <v>2294</v>
      </c>
      <c r="J33" s="9"/>
      <c r="K33" s="8"/>
      <c r="L33" s="8"/>
      <c r="M33" s="8"/>
      <c r="N33" s="8"/>
      <c r="O33" s="8"/>
      <c r="P33" s="8"/>
      <c r="Q33" s="8"/>
      <c r="R33" s="8"/>
      <c r="S33" s="8"/>
      <c r="T33" s="8"/>
      <c r="U33" s="8"/>
      <c r="V33" s="8"/>
      <c r="W33" s="8"/>
      <c r="X33" s="8"/>
      <c r="Y33" s="8"/>
      <c r="Z33" s="8"/>
    </row>
    <row r="34">
      <c r="A34" s="7" t="s">
        <v>2281</v>
      </c>
      <c r="B34" s="7" t="s">
        <v>2295</v>
      </c>
      <c r="C34" s="8"/>
      <c r="D34" s="7">
        <v>6.5</v>
      </c>
      <c r="E34" s="8"/>
      <c r="F34" s="8"/>
      <c r="G34" s="8"/>
      <c r="H34" s="8"/>
      <c r="I34" s="22" t="s">
        <v>2296</v>
      </c>
      <c r="J34" s="9"/>
      <c r="K34" s="8"/>
      <c r="L34" s="8"/>
      <c r="M34" s="8"/>
      <c r="N34" s="8"/>
      <c r="O34" s="8"/>
      <c r="P34" s="8"/>
      <c r="Q34" s="8"/>
      <c r="R34" s="8"/>
      <c r="S34" s="8"/>
      <c r="T34" s="8"/>
      <c r="U34" s="8"/>
      <c r="V34" s="8"/>
      <c r="W34" s="8"/>
      <c r="X34" s="8"/>
      <c r="Y34" s="8"/>
      <c r="Z34" s="8"/>
    </row>
    <row r="35">
      <c r="A35" s="7" t="s">
        <v>2281</v>
      </c>
      <c r="B35" s="7" t="s">
        <v>2297</v>
      </c>
      <c r="C35" s="8"/>
      <c r="D35" s="7">
        <v>4.5</v>
      </c>
      <c r="E35" s="8"/>
      <c r="F35" s="8"/>
      <c r="G35" s="8"/>
      <c r="H35" s="7"/>
      <c r="I35" s="7"/>
      <c r="J35" s="9"/>
      <c r="K35" s="8"/>
      <c r="L35" s="8"/>
      <c r="M35" s="8"/>
      <c r="N35" s="8"/>
      <c r="O35" s="8"/>
      <c r="P35" s="8"/>
      <c r="Q35" s="8"/>
      <c r="R35" s="8"/>
      <c r="S35" s="8"/>
      <c r="T35" s="8"/>
      <c r="U35" s="8"/>
      <c r="V35" s="8"/>
      <c r="W35" s="8"/>
      <c r="X35" s="8"/>
      <c r="Y35" s="8"/>
      <c r="Z35" s="8"/>
    </row>
    <row r="36">
      <c r="A36" s="7" t="s">
        <v>2298</v>
      </c>
      <c r="B36" s="7" t="s">
        <v>2299</v>
      </c>
      <c r="C36" s="8"/>
      <c r="D36" s="7">
        <v>6.0</v>
      </c>
      <c r="E36" s="8"/>
      <c r="F36" s="8"/>
      <c r="G36" s="8"/>
      <c r="H36" s="7"/>
      <c r="I36" s="7"/>
      <c r="J36" s="9"/>
      <c r="K36" s="8"/>
      <c r="L36" s="8"/>
      <c r="M36" s="8"/>
      <c r="N36" s="8"/>
      <c r="O36" s="8"/>
      <c r="P36" s="8"/>
      <c r="Q36" s="8"/>
      <c r="R36" s="8"/>
      <c r="S36" s="8"/>
      <c r="T36" s="8"/>
      <c r="U36" s="8"/>
      <c r="V36" s="8"/>
      <c r="W36" s="8"/>
      <c r="X36" s="8"/>
      <c r="Y36" s="8"/>
      <c r="Z36" s="8"/>
    </row>
    <row r="37">
      <c r="A37" s="7" t="s">
        <v>2300</v>
      </c>
      <c r="B37" s="7" t="s">
        <v>2301</v>
      </c>
      <c r="C37" s="8"/>
      <c r="D37" s="7">
        <v>2.0</v>
      </c>
      <c r="E37" s="8"/>
      <c r="F37" s="8"/>
      <c r="G37" s="8"/>
      <c r="H37" s="8"/>
      <c r="I37" s="8"/>
      <c r="J37" s="9"/>
      <c r="K37" s="8"/>
      <c r="L37" s="8"/>
      <c r="M37" s="8"/>
      <c r="N37" s="8"/>
      <c r="O37" s="8"/>
      <c r="P37" s="8"/>
      <c r="Q37" s="8"/>
      <c r="R37" s="8"/>
      <c r="S37" s="8"/>
      <c r="T37" s="8"/>
      <c r="U37" s="8"/>
      <c r="V37" s="8"/>
      <c r="W37" s="8"/>
      <c r="X37" s="8"/>
      <c r="Y37" s="8"/>
      <c r="Z37" s="8"/>
    </row>
    <row r="38">
      <c r="A38" s="7" t="s">
        <v>2300</v>
      </c>
      <c r="B38" s="7" t="s">
        <v>2302</v>
      </c>
      <c r="C38" s="8"/>
      <c r="D38" s="7">
        <v>1.0</v>
      </c>
      <c r="E38" s="8"/>
      <c r="F38" s="8"/>
      <c r="G38" s="8"/>
      <c r="H38" s="8"/>
      <c r="I38" s="8"/>
      <c r="J38" s="9"/>
      <c r="K38" s="8"/>
      <c r="L38" s="8"/>
      <c r="M38" s="8"/>
      <c r="N38" s="8"/>
      <c r="O38" s="8"/>
      <c r="P38" s="8"/>
      <c r="Q38" s="8"/>
      <c r="R38" s="8"/>
      <c r="S38" s="8"/>
      <c r="T38" s="8"/>
      <c r="U38" s="8"/>
      <c r="V38" s="8"/>
      <c r="W38" s="8"/>
      <c r="X38" s="8"/>
      <c r="Y38" s="8"/>
      <c r="Z38" s="8"/>
    </row>
    <row r="39">
      <c r="A39" s="7" t="s">
        <v>2300</v>
      </c>
      <c r="B39" s="7" t="s">
        <v>2303</v>
      </c>
      <c r="C39" s="8"/>
      <c r="D39" s="7">
        <v>4.0</v>
      </c>
      <c r="E39" s="8"/>
      <c r="F39" s="8"/>
      <c r="G39" s="8"/>
      <c r="H39" s="8"/>
      <c r="I39" s="8"/>
      <c r="J39" s="9"/>
      <c r="K39" s="8"/>
      <c r="L39" s="8"/>
      <c r="M39" s="8"/>
      <c r="N39" s="8"/>
      <c r="O39" s="8"/>
      <c r="P39" s="8"/>
      <c r="Q39" s="8"/>
      <c r="R39" s="8"/>
      <c r="S39" s="8"/>
      <c r="T39" s="8"/>
      <c r="U39" s="8"/>
      <c r="V39" s="8"/>
      <c r="W39" s="8"/>
      <c r="X39" s="8"/>
      <c r="Y39" s="8"/>
      <c r="Z39" s="8"/>
    </row>
    <row r="40">
      <c r="A40" s="7" t="s">
        <v>2300</v>
      </c>
      <c r="B40" s="7" t="s">
        <v>2304</v>
      </c>
      <c r="C40" s="8"/>
      <c r="D40" s="7">
        <v>5.0</v>
      </c>
      <c r="E40" s="8"/>
      <c r="F40" s="8"/>
      <c r="G40" s="8"/>
      <c r="H40" s="8"/>
      <c r="I40" s="8"/>
      <c r="J40" s="9"/>
      <c r="K40" s="8"/>
      <c r="L40" s="8"/>
      <c r="M40" s="8"/>
      <c r="N40" s="8"/>
      <c r="O40" s="8"/>
      <c r="P40" s="8"/>
      <c r="Q40" s="8"/>
      <c r="R40" s="8"/>
      <c r="S40" s="8"/>
      <c r="T40" s="8"/>
      <c r="U40" s="8"/>
      <c r="V40" s="8"/>
      <c r="W40" s="8"/>
      <c r="X40" s="8"/>
      <c r="Y40" s="8"/>
      <c r="Z40" s="8"/>
    </row>
    <row r="41">
      <c r="A41" s="7" t="s">
        <v>2300</v>
      </c>
      <c r="B41" s="7" t="s">
        <v>2305</v>
      </c>
      <c r="C41" s="8"/>
      <c r="D41" s="7">
        <v>9.5</v>
      </c>
      <c r="E41" s="8"/>
      <c r="F41" s="8"/>
      <c r="G41" s="8"/>
      <c r="H41" s="8"/>
      <c r="I41" s="8"/>
      <c r="J41" s="9"/>
      <c r="K41" s="8"/>
      <c r="L41" s="8"/>
      <c r="M41" s="8"/>
      <c r="N41" s="8"/>
      <c r="O41" s="8"/>
      <c r="P41" s="8"/>
      <c r="Q41" s="8"/>
      <c r="R41" s="8"/>
      <c r="S41" s="8"/>
      <c r="T41" s="8"/>
      <c r="U41" s="8"/>
      <c r="V41" s="8"/>
      <c r="W41" s="8"/>
      <c r="X41" s="8"/>
      <c r="Y41" s="8"/>
      <c r="Z41" s="8"/>
    </row>
    <row r="42">
      <c r="A42" s="7" t="s">
        <v>2300</v>
      </c>
      <c r="B42" s="7" t="s">
        <v>2306</v>
      </c>
      <c r="C42" s="8"/>
      <c r="D42" s="7">
        <v>3.0</v>
      </c>
      <c r="E42" s="8"/>
      <c r="F42" s="8"/>
      <c r="G42" s="8"/>
      <c r="H42" s="8"/>
      <c r="I42" s="8"/>
      <c r="J42" s="9"/>
      <c r="K42" s="8"/>
      <c r="L42" s="8"/>
      <c r="M42" s="8"/>
      <c r="N42" s="8"/>
      <c r="O42" s="8"/>
      <c r="P42" s="8"/>
      <c r="Q42" s="8"/>
      <c r="R42" s="8"/>
      <c r="S42" s="8"/>
      <c r="T42" s="8"/>
      <c r="U42" s="8"/>
      <c r="V42" s="8"/>
      <c r="W42" s="8"/>
      <c r="X42" s="8"/>
      <c r="Y42" s="8"/>
      <c r="Z42" s="8"/>
    </row>
    <row r="43">
      <c r="A43" s="7" t="s">
        <v>2300</v>
      </c>
      <c r="B43" s="7" t="s">
        <v>2307</v>
      </c>
      <c r="C43" s="8"/>
      <c r="D43" s="7">
        <v>3.5</v>
      </c>
      <c r="E43" s="8"/>
      <c r="F43" s="8"/>
      <c r="G43" s="8"/>
      <c r="H43" s="7">
        <v>15.0</v>
      </c>
      <c r="I43" s="8"/>
      <c r="J43" s="9"/>
      <c r="K43" s="8"/>
      <c r="L43" s="8"/>
      <c r="M43" s="8"/>
      <c r="N43" s="8"/>
      <c r="O43" s="8"/>
      <c r="P43" s="8"/>
      <c r="Q43" s="8"/>
      <c r="R43" s="8"/>
      <c r="S43" s="8"/>
      <c r="T43" s="8"/>
      <c r="U43" s="8"/>
      <c r="V43" s="8"/>
      <c r="W43" s="8"/>
      <c r="X43" s="8"/>
      <c r="Y43" s="8"/>
      <c r="Z43" s="8"/>
    </row>
    <row r="44">
      <c r="A44" s="7" t="s">
        <v>2300</v>
      </c>
      <c r="B44" s="7" t="s">
        <v>2308</v>
      </c>
      <c r="C44" s="8"/>
      <c r="D44" s="7">
        <v>2.5</v>
      </c>
      <c r="E44" s="8"/>
      <c r="F44" s="8"/>
      <c r="G44" s="8"/>
      <c r="H44" s="7">
        <v>15.0</v>
      </c>
      <c r="I44" s="8"/>
      <c r="J44" s="9"/>
      <c r="K44" s="8"/>
      <c r="L44" s="8"/>
      <c r="M44" s="8"/>
      <c r="N44" s="8"/>
      <c r="O44" s="8"/>
      <c r="P44" s="8"/>
      <c r="Q44" s="8"/>
      <c r="R44" s="8"/>
      <c r="S44" s="8"/>
      <c r="T44" s="8"/>
      <c r="U44" s="8"/>
      <c r="V44" s="8"/>
      <c r="W44" s="8"/>
      <c r="X44" s="8"/>
      <c r="Y44" s="8"/>
      <c r="Z44" s="8"/>
    </row>
    <row r="45">
      <c r="A45" s="7" t="s">
        <v>2300</v>
      </c>
      <c r="B45" s="7" t="s">
        <v>2309</v>
      </c>
      <c r="C45" s="8"/>
      <c r="D45" s="7">
        <v>6.5</v>
      </c>
      <c r="E45" s="8"/>
      <c r="F45" s="8"/>
      <c r="G45" s="8"/>
      <c r="H45" s="7"/>
      <c r="I45" s="8"/>
      <c r="J45" s="9"/>
      <c r="K45" s="8"/>
      <c r="L45" s="8"/>
      <c r="M45" s="8"/>
      <c r="N45" s="8"/>
      <c r="O45" s="8"/>
      <c r="P45" s="8"/>
      <c r="Q45" s="8"/>
      <c r="R45" s="8"/>
      <c r="S45" s="8"/>
      <c r="T45" s="8"/>
      <c r="U45" s="8"/>
      <c r="V45" s="8"/>
      <c r="W45" s="8"/>
      <c r="X45" s="8"/>
      <c r="Y45" s="8"/>
      <c r="Z45" s="8"/>
    </row>
    <row r="46">
      <c r="A46" s="7" t="s">
        <v>2310</v>
      </c>
      <c r="B46" s="7" t="s">
        <v>2311</v>
      </c>
      <c r="C46" s="8"/>
      <c r="D46" s="7">
        <v>4.0</v>
      </c>
      <c r="E46" s="8"/>
      <c r="F46" s="8"/>
      <c r="G46" s="8"/>
      <c r="H46" s="7"/>
      <c r="I46" s="28"/>
      <c r="J46" s="9"/>
      <c r="K46" s="8"/>
      <c r="L46" s="8"/>
      <c r="M46" s="8"/>
      <c r="N46" s="8"/>
      <c r="O46" s="8"/>
      <c r="P46" s="8"/>
      <c r="Q46" s="8"/>
      <c r="R46" s="8"/>
      <c r="S46" s="8"/>
      <c r="T46" s="8"/>
      <c r="U46" s="8"/>
      <c r="V46" s="8"/>
      <c r="W46" s="8"/>
      <c r="X46" s="8"/>
      <c r="Y46" s="8"/>
      <c r="Z46" s="8"/>
    </row>
    <row r="47">
      <c r="A47" s="7" t="s">
        <v>2312</v>
      </c>
      <c r="B47" s="93" t="s">
        <v>2313</v>
      </c>
      <c r="C47" s="8"/>
      <c r="D47" s="7">
        <v>5.5</v>
      </c>
      <c r="E47" s="8"/>
      <c r="F47" s="8"/>
      <c r="G47" s="8"/>
      <c r="H47" s="7">
        <v>30.0</v>
      </c>
      <c r="I47" s="98" t="s">
        <v>2314</v>
      </c>
      <c r="J47" s="9"/>
      <c r="K47" s="8"/>
      <c r="L47" s="8"/>
      <c r="M47" s="8"/>
      <c r="N47" s="8"/>
      <c r="O47" s="8"/>
      <c r="P47" s="8"/>
      <c r="Q47" s="8"/>
      <c r="R47" s="8"/>
      <c r="S47" s="8"/>
      <c r="T47" s="8"/>
      <c r="U47" s="8"/>
      <c r="V47" s="8"/>
      <c r="W47" s="8"/>
      <c r="X47" s="8"/>
      <c r="Y47" s="8"/>
      <c r="Z47" s="8"/>
    </row>
    <row r="48">
      <c r="A48" s="7" t="s">
        <v>2315</v>
      </c>
      <c r="B48" s="93" t="s">
        <v>2316</v>
      </c>
      <c r="C48" s="8"/>
      <c r="D48" s="7">
        <v>3.0</v>
      </c>
      <c r="E48" s="8"/>
      <c r="F48" s="8"/>
      <c r="G48" s="8"/>
      <c r="H48" s="7"/>
      <c r="I48" s="28"/>
      <c r="J48" s="9"/>
      <c r="K48" s="8"/>
      <c r="L48" s="8"/>
      <c r="M48" s="8"/>
      <c r="N48" s="8"/>
      <c r="O48" s="8"/>
      <c r="P48" s="8"/>
      <c r="Q48" s="8"/>
      <c r="R48" s="8"/>
      <c r="S48" s="8"/>
      <c r="T48" s="8"/>
      <c r="U48" s="8"/>
      <c r="V48" s="8"/>
      <c r="W48" s="8"/>
      <c r="X48" s="8"/>
      <c r="Y48" s="8"/>
      <c r="Z48" s="8"/>
    </row>
    <row r="49">
      <c r="A49" s="7" t="s">
        <v>2317</v>
      </c>
      <c r="B49" s="7" t="s">
        <v>2318</v>
      </c>
      <c r="C49" s="8"/>
      <c r="D49" s="7">
        <v>3.0</v>
      </c>
      <c r="E49" s="8"/>
      <c r="F49" s="8"/>
      <c r="G49" s="8"/>
      <c r="H49" s="8"/>
      <c r="I49" s="8"/>
      <c r="J49" s="9"/>
      <c r="K49" s="8"/>
      <c r="L49" s="8"/>
      <c r="M49" s="8"/>
      <c r="N49" s="8"/>
      <c r="O49" s="8"/>
      <c r="P49" s="8"/>
      <c r="Q49" s="8"/>
      <c r="R49" s="8"/>
      <c r="S49" s="8"/>
      <c r="T49" s="8"/>
      <c r="U49" s="8"/>
      <c r="V49" s="8"/>
      <c r="W49" s="8"/>
      <c r="X49" s="8"/>
      <c r="Y49" s="8"/>
      <c r="Z49" s="8"/>
    </row>
    <row r="50">
      <c r="A50" s="10" t="s">
        <v>2319</v>
      </c>
      <c r="B50" s="10" t="s">
        <v>2320</v>
      </c>
      <c r="C50" s="11"/>
      <c r="D50" s="10">
        <v>6.6</v>
      </c>
      <c r="E50" s="11"/>
      <c r="F50" s="11"/>
      <c r="G50" s="11"/>
      <c r="H50" s="10" t="s">
        <v>384</v>
      </c>
      <c r="I50" s="78"/>
      <c r="J50" s="12"/>
      <c r="K50" s="11"/>
      <c r="L50" s="11"/>
      <c r="M50" s="11"/>
      <c r="N50" s="11"/>
      <c r="O50" s="11"/>
      <c r="P50" s="11"/>
      <c r="Q50" s="11"/>
      <c r="R50" s="11"/>
      <c r="S50" s="11"/>
      <c r="T50" s="11"/>
      <c r="U50" s="11"/>
      <c r="V50" s="11"/>
      <c r="W50" s="11"/>
      <c r="X50" s="11"/>
      <c r="Y50" s="11"/>
      <c r="Z50" s="11"/>
    </row>
    <row r="51">
      <c r="A51" s="7" t="s">
        <v>2321</v>
      </c>
      <c r="B51" s="93" t="s">
        <v>2322</v>
      </c>
      <c r="C51" s="8"/>
      <c r="D51" s="7">
        <v>3.5</v>
      </c>
      <c r="E51" s="8"/>
      <c r="F51" s="8"/>
      <c r="G51" s="8"/>
      <c r="H51" s="7"/>
      <c r="I51" s="98" t="s">
        <v>2323</v>
      </c>
      <c r="J51" s="9"/>
      <c r="K51" s="8"/>
      <c r="L51" s="8"/>
      <c r="M51" s="8"/>
      <c r="N51" s="8"/>
      <c r="O51" s="8"/>
      <c r="P51" s="8"/>
      <c r="Q51" s="8"/>
      <c r="R51" s="8"/>
      <c r="S51" s="8"/>
      <c r="T51" s="8"/>
      <c r="U51" s="8"/>
      <c r="V51" s="8"/>
      <c r="W51" s="8"/>
      <c r="X51" s="8"/>
      <c r="Y51" s="8"/>
      <c r="Z51" s="8"/>
    </row>
    <row r="52">
      <c r="A52" s="7" t="s">
        <v>2324</v>
      </c>
      <c r="B52" s="93" t="s">
        <v>2325</v>
      </c>
      <c r="C52" s="8"/>
      <c r="D52" s="7">
        <v>4.0</v>
      </c>
      <c r="E52" s="8"/>
      <c r="F52" s="8"/>
      <c r="G52" s="8"/>
      <c r="H52" s="7"/>
      <c r="I52" s="28"/>
      <c r="J52" s="9"/>
      <c r="K52" s="8"/>
      <c r="L52" s="8"/>
      <c r="M52" s="8"/>
      <c r="N52" s="8"/>
      <c r="O52" s="8"/>
      <c r="P52" s="8"/>
      <c r="Q52" s="8"/>
      <c r="R52" s="8"/>
      <c r="S52" s="8"/>
      <c r="T52" s="8"/>
      <c r="U52" s="8"/>
      <c r="V52" s="8"/>
      <c r="W52" s="8"/>
      <c r="X52" s="8"/>
      <c r="Y52" s="8"/>
      <c r="Z52" s="8"/>
    </row>
    <row r="53">
      <c r="A53" s="10" t="s">
        <v>2326</v>
      </c>
      <c r="B53" s="10" t="s">
        <v>2327</v>
      </c>
      <c r="C53" s="11"/>
      <c r="D53" s="10">
        <v>4.5</v>
      </c>
      <c r="E53" s="11"/>
      <c r="F53" s="11"/>
      <c r="G53" s="11"/>
      <c r="H53" s="10" t="s">
        <v>384</v>
      </c>
      <c r="I53" s="11"/>
      <c r="J53" s="12"/>
      <c r="K53" s="11"/>
      <c r="L53" s="11"/>
      <c r="M53" s="11"/>
      <c r="N53" s="11"/>
      <c r="O53" s="11"/>
      <c r="P53" s="11"/>
      <c r="Q53" s="11"/>
      <c r="R53" s="11"/>
      <c r="S53" s="11"/>
      <c r="T53" s="11"/>
      <c r="U53" s="11"/>
      <c r="V53" s="11"/>
      <c r="W53" s="11"/>
      <c r="X53" s="11"/>
      <c r="Y53" s="11"/>
      <c r="Z53" s="11"/>
    </row>
    <row r="54">
      <c r="A54" s="10" t="s">
        <v>2326</v>
      </c>
      <c r="B54" s="10" t="s">
        <v>2328</v>
      </c>
      <c r="C54" s="11"/>
      <c r="D54" s="10">
        <v>9.5</v>
      </c>
      <c r="E54" s="11"/>
      <c r="F54" s="11"/>
      <c r="G54" s="11"/>
      <c r="H54" s="10" t="s">
        <v>384</v>
      </c>
      <c r="I54" s="11"/>
      <c r="J54" s="12"/>
      <c r="K54" s="11"/>
      <c r="L54" s="11"/>
      <c r="M54" s="11"/>
      <c r="N54" s="11"/>
      <c r="O54" s="11"/>
      <c r="P54" s="11"/>
      <c r="Q54" s="11"/>
      <c r="R54" s="11"/>
      <c r="S54" s="11"/>
      <c r="T54" s="11"/>
      <c r="U54" s="11"/>
      <c r="V54" s="11"/>
      <c r="W54" s="11"/>
      <c r="X54" s="11"/>
      <c r="Y54" s="11"/>
      <c r="Z54" s="11"/>
    </row>
    <row r="55">
      <c r="A55" s="7" t="s">
        <v>2329</v>
      </c>
      <c r="B55" s="7" t="s">
        <v>2330</v>
      </c>
      <c r="C55" s="8"/>
      <c r="D55" s="7">
        <v>4.0</v>
      </c>
      <c r="E55" s="8"/>
      <c r="F55" s="8"/>
      <c r="G55" s="8"/>
      <c r="H55" s="8"/>
      <c r="I55" s="28"/>
      <c r="J55" s="9"/>
      <c r="K55" s="8"/>
      <c r="L55" s="8"/>
      <c r="M55" s="8"/>
      <c r="N55" s="8"/>
      <c r="O55" s="8"/>
      <c r="P55" s="8"/>
      <c r="Q55" s="8"/>
      <c r="R55" s="8"/>
      <c r="S55" s="8"/>
      <c r="T55" s="8"/>
      <c r="U55" s="8"/>
      <c r="V55" s="8"/>
      <c r="W55" s="8"/>
      <c r="X55" s="8"/>
      <c r="Y55" s="8"/>
      <c r="Z55" s="8"/>
    </row>
    <row r="56">
      <c r="A56" s="7" t="s">
        <v>2331</v>
      </c>
      <c r="B56" s="7" t="s">
        <v>2332</v>
      </c>
      <c r="C56" s="8"/>
      <c r="D56" s="7">
        <v>3.0</v>
      </c>
      <c r="E56" s="8"/>
      <c r="F56" s="8"/>
      <c r="G56" s="8"/>
      <c r="H56" s="8"/>
      <c r="I56" s="98" t="s">
        <v>2333</v>
      </c>
      <c r="J56" s="9"/>
      <c r="K56" s="8"/>
      <c r="L56" s="8"/>
      <c r="M56" s="8"/>
      <c r="N56" s="8"/>
      <c r="O56" s="8"/>
      <c r="P56" s="8"/>
      <c r="Q56" s="8"/>
      <c r="R56" s="8"/>
      <c r="S56" s="8"/>
      <c r="T56" s="8"/>
      <c r="U56" s="8"/>
      <c r="V56" s="8"/>
      <c r="W56" s="8"/>
      <c r="X56" s="8"/>
      <c r="Y56" s="8"/>
      <c r="Z56" s="8"/>
    </row>
    <row r="57">
      <c r="A57" s="7" t="s">
        <v>2334</v>
      </c>
      <c r="B57" s="7" t="s">
        <v>2335</v>
      </c>
      <c r="C57" s="8"/>
      <c r="D57" s="7">
        <v>7.0</v>
      </c>
      <c r="E57" s="8"/>
      <c r="F57" s="8"/>
      <c r="G57" s="8"/>
      <c r="H57" s="7"/>
      <c r="I57" s="8"/>
      <c r="J57" s="9"/>
      <c r="K57" s="8"/>
      <c r="L57" s="8"/>
      <c r="M57" s="8"/>
      <c r="N57" s="8"/>
      <c r="O57" s="8"/>
      <c r="P57" s="8"/>
      <c r="Q57" s="8"/>
      <c r="R57" s="8"/>
      <c r="S57" s="8"/>
      <c r="T57" s="8"/>
      <c r="U57" s="8"/>
      <c r="V57" s="8"/>
      <c r="W57" s="8"/>
      <c r="X57" s="8"/>
      <c r="Y57" s="8"/>
      <c r="Z57" s="8"/>
    </row>
    <row r="58">
      <c r="A58" s="10" t="s">
        <v>2336</v>
      </c>
      <c r="B58" s="10" t="s">
        <v>2337</v>
      </c>
      <c r="C58" s="11"/>
      <c r="D58" s="10">
        <v>5.8</v>
      </c>
      <c r="E58" s="11"/>
      <c r="F58" s="11"/>
      <c r="G58" s="11"/>
      <c r="H58" s="10" t="s">
        <v>384</v>
      </c>
      <c r="I58" s="10"/>
      <c r="J58" s="12"/>
      <c r="K58" s="11"/>
      <c r="L58" s="11"/>
      <c r="M58" s="11"/>
      <c r="N58" s="11"/>
      <c r="O58" s="11"/>
      <c r="P58" s="11"/>
      <c r="Q58" s="11"/>
      <c r="R58" s="11"/>
      <c r="S58" s="11"/>
      <c r="T58" s="11"/>
      <c r="U58" s="11"/>
      <c r="V58" s="11"/>
      <c r="W58" s="11"/>
      <c r="X58" s="11"/>
      <c r="Y58" s="11"/>
      <c r="Z58" s="11"/>
    </row>
    <row r="59">
      <c r="A59" s="7" t="s">
        <v>2338</v>
      </c>
      <c r="B59" s="7" t="s">
        <v>2339</v>
      </c>
      <c r="C59" s="8"/>
      <c r="D59" s="7">
        <v>11.5</v>
      </c>
      <c r="E59" s="8"/>
      <c r="F59" s="8"/>
      <c r="G59" s="8"/>
      <c r="H59" s="8"/>
      <c r="I59" s="22" t="s">
        <v>2340</v>
      </c>
      <c r="J59" s="9"/>
      <c r="K59" s="8"/>
      <c r="L59" s="8"/>
      <c r="M59" s="8"/>
      <c r="N59" s="8"/>
      <c r="O59" s="8"/>
      <c r="P59" s="8"/>
      <c r="Q59" s="8"/>
      <c r="R59" s="8"/>
      <c r="S59" s="8"/>
      <c r="T59" s="8"/>
      <c r="U59" s="8"/>
      <c r="V59" s="8"/>
      <c r="W59" s="8"/>
      <c r="X59" s="8"/>
      <c r="Y59" s="8"/>
      <c r="Z59" s="8"/>
    </row>
    <row r="60">
      <c r="A60" s="7" t="s">
        <v>2338</v>
      </c>
      <c r="B60" s="7" t="s">
        <v>2341</v>
      </c>
      <c r="C60" s="8"/>
      <c r="D60" s="7">
        <v>8.9</v>
      </c>
      <c r="E60" s="8"/>
      <c r="F60" s="8"/>
      <c r="G60" s="8"/>
      <c r="H60" s="8"/>
      <c r="I60" s="8"/>
      <c r="J60" s="9"/>
      <c r="K60" s="8"/>
      <c r="L60" s="8"/>
      <c r="M60" s="8"/>
      <c r="N60" s="8"/>
      <c r="O60" s="8"/>
      <c r="P60" s="8"/>
      <c r="Q60" s="8"/>
      <c r="R60" s="8"/>
      <c r="S60" s="8"/>
      <c r="T60" s="8"/>
      <c r="U60" s="8"/>
      <c r="V60" s="8"/>
      <c r="W60" s="8"/>
      <c r="X60" s="8"/>
      <c r="Y60" s="8"/>
      <c r="Z60" s="8"/>
    </row>
    <row r="61">
      <c r="A61" s="7" t="s">
        <v>2338</v>
      </c>
      <c r="B61" s="7" t="s">
        <v>2342</v>
      </c>
      <c r="C61" s="8"/>
      <c r="D61" s="7">
        <v>8.9</v>
      </c>
      <c r="E61" s="8"/>
      <c r="F61" s="8"/>
      <c r="G61" s="8"/>
      <c r="H61" s="8"/>
      <c r="I61" s="8"/>
      <c r="J61" s="9"/>
      <c r="K61" s="8"/>
      <c r="L61" s="8"/>
      <c r="M61" s="8"/>
      <c r="N61" s="8"/>
      <c r="O61" s="8"/>
      <c r="P61" s="8"/>
      <c r="Q61" s="8"/>
      <c r="R61" s="8"/>
      <c r="S61" s="8"/>
      <c r="T61" s="8"/>
      <c r="U61" s="8"/>
      <c r="V61" s="8"/>
      <c r="W61" s="8"/>
      <c r="X61" s="8"/>
      <c r="Y61" s="8"/>
      <c r="Z61" s="8"/>
    </row>
    <row r="62">
      <c r="A62" s="7" t="s">
        <v>2343</v>
      </c>
      <c r="B62" s="7" t="s">
        <v>2344</v>
      </c>
      <c r="C62" s="8"/>
      <c r="D62" s="7">
        <v>3.0</v>
      </c>
      <c r="E62" s="7"/>
      <c r="F62" s="7"/>
      <c r="G62" s="8"/>
      <c r="H62" s="7"/>
      <c r="I62" s="8"/>
      <c r="J62" s="9"/>
      <c r="K62" s="8"/>
      <c r="L62" s="8"/>
      <c r="M62" s="8"/>
      <c r="N62" s="8"/>
      <c r="O62" s="8"/>
      <c r="P62" s="8"/>
      <c r="Q62" s="8"/>
      <c r="R62" s="8"/>
      <c r="S62" s="8"/>
      <c r="T62" s="8"/>
      <c r="U62" s="8"/>
      <c r="V62" s="8"/>
      <c r="W62" s="8"/>
      <c r="X62" s="8"/>
      <c r="Y62" s="8"/>
      <c r="Z62" s="8"/>
    </row>
    <row r="63">
      <c r="A63" s="7" t="s">
        <v>2345</v>
      </c>
      <c r="B63" s="7" t="s">
        <v>2346</v>
      </c>
      <c r="C63" s="8"/>
      <c r="D63" s="7">
        <v>2.5</v>
      </c>
      <c r="E63" s="8"/>
      <c r="F63" s="8"/>
      <c r="G63" s="8"/>
      <c r="H63" s="7">
        <v>5.0</v>
      </c>
      <c r="I63" s="8"/>
      <c r="J63" s="9"/>
      <c r="K63" s="8"/>
      <c r="L63" s="8"/>
      <c r="M63" s="8"/>
      <c r="N63" s="8"/>
      <c r="O63" s="8"/>
      <c r="P63" s="8"/>
      <c r="Q63" s="8"/>
      <c r="R63" s="8"/>
      <c r="S63" s="8"/>
      <c r="T63" s="8"/>
      <c r="U63" s="8"/>
      <c r="V63" s="8"/>
      <c r="W63" s="8"/>
      <c r="X63" s="8"/>
      <c r="Y63" s="8"/>
      <c r="Z63" s="8"/>
    </row>
    <row r="64">
      <c r="A64" s="7" t="s">
        <v>2347</v>
      </c>
      <c r="B64" s="7" t="s">
        <v>2348</v>
      </c>
      <c r="C64" s="8"/>
      <c r="D64" s="7">
        <v>1.0</v>
      </c>
      <c r="E64" s="8"/>
      <c r="F64" s="8"/>
      <c r="G64" s="7"/>
      <c r="H64" s="8"/>
      <c r="I64" s="8"/>
      <c r="J64" s="9"/>
      <c r="K64" s="8"/>
      <c r="L64" s="8"/>
      <c r="M64" s="8"/>
      <c r="N64" s="8"/>
      <c r="O64" s="8"/>
      <c r="P64" s="8"/>
      <c r="Q64" s="8"/>
      <c r="R64" s="8"/>
      <c r="S64" s="8"/>
      <c r="T64" s="8"/>
      <c r="U64" s="8"/>
      <c r="V64" s="8"/>
      <c r="W64" s="8"/>
      <c r="X64" s="8"/>
      <c r="Y64" s="8"/>
      <c r="Z64" s="8"/>
    </row>
    <row r="65">
      <c r="A65" s="7" t="s">
        <v>2347</v>
      </c>
      <c r="B65" s="7" t="s">
        <v>2349</v>
      </c>
      <c r="C65" s="8"/>
      <c r="D65" s="7">
        <v>7.0</v>
      </c>
      <c r="E65" s="8"/>
      <c r="F65" s="8"/>
      <c r="G65" s="7"/>
      <c r="H65" s="8"/>
      <c r="I65" s="8"/>
      <c r="J65" s="9"/>
      <c r="K65" s="8"/>
      <c r="L65" s="8"/>
      <c r="M65" s="8"/>
      <c r="N65" s="8"/>
      <c r="O65" s="8"/>
      <c r="P65" s="8"/>
      <c r="Q65" s="8"/>
      <c r="R65" s="8"/>
      <c r="S65" s="8"/>
      <c r="T65" s="8"/>
      <c r="U65" s="8"/>
      <c r="V65" s="8"/>
      <c r="W65" s="8"/>
      <c r="X65" s="8"/>
      <c r="Y65" s="8"/>
      <c r="Z65" s="8"/>
    </row>
    <row r="66">
      <c r="A66" s="7" t="s">
        <v>2347</v>
      </c>
      <c r="B66" s="7" t="s">
        <v>2350</v>
      </c>
      <c r="C66" s="8"/>
      <c r="D66" s="7">
        <v>2.0</v>
      </c>
      <c r="E66" s="8"/>
      <c r="F66" s="8"/>
      <c r="G66" s="7"/>
      <c r="H66" s="7"/>
      <c r="I66" s="8"/>
      <c r="J66" s="9"/>
      <c r="K66" s="8"/>
      <c r="L66" s="8"/>
      <c r="M66" s="8"/>
      <c r="N66" s="8"/>
      <c r="O66" s="8"/>
      <c r="P66" s="8"/>
      <c r="Q66" s="8"/>
      <c r="R66" s="8"/>
      <c r="S66" s="8"/>
      <c r="T66" s="8"/>
      <c r="U66" s="8"/>
      <c r="V66" s="8"/>
      <c r="W66" s="8"/>
      <c r="X66" s="8"/>
      <c r="Y66" s="8"/>
      <c r="Z66" s="8"/>
    </row>
    <row r="67">
      <c r="A67" s="7" t="s">
        <v>2351</v>
      </c>
      <c r="B67" s="7" t="s">
        <v>2352</v>
      </c>
      <c r="C67" s="8"/>
      <c r="D67" s="7">
        <v>12.49</v>
      </c>
      <c r="E67" s="8"/>
      <c r="F67" s="8"/>
      <c r="G67" s="7"/>
      <c r="H67" s="7"/>
      <c r="I67" s="8"/>
      <c r="J67" s="9"/>
      <c r="K67" s="8"/>
      <c r="L67" s="8"/>
      <c r="M67" s="8"/>
      <c r="N67" s="8"/>
      <c r="O67" s="8"/>
      <c r="P67" s="8"/>
      <c r="Q67" s="8"/>
      <c r="R67" s="8"/>
      <c r="S67" s="8"/>
      <c r="T67" s="8"/>
      <c r="U67" s="8"/>
      <c r="V67" s="8"/>
      <c r="W67" s="8"/>
      <c r="X67" s="8"/>
      <c r="Y67" s="8"/>
      <c r="Z67" s="8"/>
    </row>
    <row r="68">
      <c r="A68" s="7" t="s">
        <v>2353</v>
      </c>
      <c r="B68" s="99" t="s">
        <v>2354</v>
      </c>
      <c r="C68" s="8"/>
      <c r="D68" s="7">
        <v>2.5</v>
      </c>
      <c r="E68" s="8"/>
      <c r="F68" s="8"/>
      <c r="G68" s="8"/>
      <c r="H68" s="8"/>
      <c r="I68" s="8"/>
      <c r="J68" s="95" t="s">
        <v>2355</v>
      </c>
      <c r="K68" s="8"/>
      <c r="L68" s="8"/>
      <c r="M68" s="8"/>
      <c r="N68" s="8"/>
      <c r="O68" s="8"/>
      <c r="P68" s="8"/>
      <c r="Q68" s="8"/>
      <c r="R68" s="8"/>
      <c r="S68" s="8"/>
      <c r="T68" s="8"/>
      <c r="U68" s="8"/>
      <c r="V68" s="8"/>
      <c r="W68" s="8"/>
      <c r="X68" s="8"/>
      <c r="Y68" s="8"/>
      <c r="Z68" s="8"/>
    </row>
    <row r="69">
      <c r="A69" s="19" t="s">
        <v>2356</v>
      </c>
      <c r="B69" s="19" t="s">
        <v>2357</v>
      </c>
      <c r="C69" s="20"/>
      <c r="D69" s="19">
        <v>1.5</v>
      </c>
      <c r="E69" s="20"/>
      <c r="F69" s="20"/>
      <c r="G69" s="20"/>
      <c r="H69" s="20"/>
      <c r="I69" s="20"/>
      <c r="J69" s="21"/>
      <c r="K69" s="20"/>
      <c r="L69" s="20"/>
      <c r="M69" s="20"/>
      <c r="N69" s="20"/>
      <c r="O69" s="20"/>
      <c r="P69" s="20"/>
      <c r="Q69" s="20"/>
      <c r="R69" s="20"/>
      <c r="S69" s="20"/>
      <c r="T69" s="20"/>
      <c r="U69" s="20"/>
      <c r="V69" s="20"/>
      <c r="W69" s="20"/>
      <c r="X69" s="20"/>
      <c r="Y69" s="20"/>
      <c r="Z69" s="20"/>
    </row>
    <row r="70">
      <c r="A70" s="7" t="s">
        <v>2358</v>
      </c>
      <c r="B70" s="7" t="s">
        <v>2359</v>
      </c>
      <c r="C70" s="7"/>
      <c r="D70" s="7">
        <v>2.5</v>
      </c>
      <c r="E70" s="8"/>
      <c r="F70" s="8"/>
      <c r="G70" s="8"/>
      <c r="H70" s="7"/>
      <c r="I70" s="7"/>
      <c r="J70" s="9"/>
      <c r="K70" s="8"/>
      <c r="L70" s="8"/>
      <c r="M70" s="8"/>
      <c r="N70" s="8"/>
      <c r="O70" s="8"/>
      <c r="P70" s="8"/>
      <c r="Q70" s="8"/>
      <c r="R70" s="8"/>
      <c r="S70" s="8"/>
      <c r="T70" s="8"/>
      <c r="U70" s="8"/>
      <c r="V70" s="8"/>
      <c r="W70" s="8"/>
      <c r="X70" s="8"/>
      <c r="Y70" s="8"/>
      <c r="Z70" s="8"/>
    </row>
    <row r="71">
      <c r="A71" s="7" t="s">
        <v>2360</v>
      </c>
      <c r="B71" s="7" t="s">
        <v>2361</v>
      </c>
      <c r="C71" s="7"/>
      <c r="D71" s="7">
        <v>2.0</v>
      </c>
      <c r="E71" s="8"/>
      <c r="F71" s="8"/>
      <c r="G71" s="8"/>
      <c r="H71" s="7"/>
      <c r="I71" s="28"/>
      <c r="J71" s="17"/>
      <c r="K71" s="8"/>
      <c r="L71" s="8"/>
      <c r="M71" s="8"/>
      <c r="N71" s="8"/>
      <c r="O71" s="8"/>
      <c r="P71" s="8"/>
      <c r="Q71" s="8"/>
      <c r="R71" s="8"/>
      <c r="S71" s="8"/>
      <c r="T71" s="8"/>
      <c r="U71" s="8"/>
      <c r="V71" s="8"/>
      <c r="W71" s="8"/>
      <c r="X71" s="8"/>
      <c r="Y71" s="8"/>
      <c r="Z71" s="8"/>
    </row>
    <row r="72">
      <c r="A72" s="7" t="s">
        <v>2362</v>
      </c>
      <c r="B72" s="7" t="s">
        <v>2363</v>
      </c>
      <c r="C72" s="7"/>
      <c r="D72" s="7">
        <v>5.0</v>
      </c>
      <c r="E72" s="8"/>
      <c r="F72" s="8"/>
      <c r="G72" s="8"/>
      <c r="H72" s="7"/>
      <c r="I72" s="7"/>
      <c r="J72" s="18" t="s">
        <v>2364</v>
      </c>
      <c r="K72" s="8"/>
      <c r="L72" s="8"/>
      <c r="M72" s="8"/>
      <c r="N72" s="8"/>
      <c r="O72" s="8"/>
      <c r="P72" s="8"/>
      <c r="Q72" s="8"/>
      <c r="R72" s="8"/>
      <c r="S72" s="8"/>
      <c r="T72" s="8"/>
      <c r="U72" s="8"/>
      <c r="V72" s="8"/>
      <c r="W72" s="8"/>
      <c r="X72" s="8"/>
      <c r="Y72" s="8"/>
      <c r="Z72" s="8"/>
    </row>
    <row r="73">
      <c r="A73" s="7" t="s">
        <v>2362</v>
      </c>
      <c r="B73" s="7" t="s">
        <v>2365</v>
      </c>
      <c r="C73" s="7"/>
      <c r="D73" s="7">
        <v>4.5</v>
      </c>
      <c r="E73" s="8"/>
      <c r="F73" s="8"/>
      <c r="G73" s="8"/>
      <c r="H73" s="7"/>
      <c r="I73" s="7"/>
      <c r="J73" s="18" t="s">
        <v>2366</v>
      </c>
      <c r="K73" s="8"/>
      <c r="L73" s="8"/>
      <c r="M73" s="8"/>
      <c r="N73" s="8"/>
      <c r="O73" s="8"/>
      <c r="P73" s="8"/>
      <c r="Q73" s="8"/>
      <c r="R73" s="8"/>
      <c r="S73" s="8"/>
      <c r="T73" s="8"/>
      <c r="U73" s="8"/>
      <c r="V73" s="8"/>
      <c r="W73" s="8"/>
      <c r="X73" s="8"/>
      <c r="Y73" s="8"/>
      <c r="Z73" s="8"/>
    </row>
    <row r="74">
      <c r="A74" s="7" t="s">
        <v>2367</v>
      </c>
      <c r="B74" s="7" t="s">
        <v>2368</v>
      </c>
      <c r="C74" s="7"/>
      <c r="D74" s="7">
        <v>4.0</v>
      </c>
      <c r="E74" s="8"/>
      <c r="F74" s="8"/>
      <c r="G74" s="8"/>
      <c r="H74" s="7"/>
      <c r="I74" s="7"/>
      <c r="J74" s="17"/>
      <c r="K74" s="8"/>
      <c r="L74" s="8"/>
      <c r="M74" s="8"/>
      <c r="N74" s="8"/>
      <c r="O74" s="8"/>
      <c r="P74" s="8"/>
      <c r="Q74" s="8"/>
      <c r="R74" s="8"/>
      <c r="S74" s="8"/>
      <c r="T74" s="8"/>
      <c r="U74" s="8"/>
      <c r="V74" s="8"/>
      <c r="W74" s="8"/>
      <c r="X74" s="8"/>
      <c r="Y74" s="8"/>
      <c r="Z74" s="8"/>
    </row>
    <row r="75">
      <c r="A75" s="7" t="s">
        <v>2367</v>
      </c>
      <c r="B75" s="7" t="s">
        <v>2369</v>
      </c>
      <c r="C75" s="7"/>
      <c r="D75" s="7">
        <v>7.0</v>
      </c>
      <c r="E75" s="8"/>
      <c r="F75" s="8"/>
      <c r="G75" s="8"/>
      <c r="H75" s="7"/>
      <c r="I75" s="7"/>
      <c r="J75" s="17"/>
      <c r="K75" s="8"/>
      <c r="L75" s="8"/>
      <c r="M75" s="8"/>
      <c r="N75" s="8"/>
      <c r="O75" s="8"/>
      <c r="P75" s="8"/>
      <c r="Q75" s="8"/>
      <c r="R75" s="8"/>
      <c r="S75" s="8"/>
      <c r="T75" s="8"/>
      <c r="U75" s="8"/>
      <c r="V75" s="8"/>
      <c r="W75" s="8"/>
      <c r="X75" s="8"/>
      <c r="Y75" s="8"/>
      <c r="Z75" s="8"/>
    </row>
    <row r="76">
      <c r="A76" s="7" t="s">
        <v>2367</v>
      </c>
      <c r="B76" s="7" t="s">
        <v>2370</v>
      </c>
      <c r="C76" s="7" t="s">
        <v>2371</v>
      </c>
      <c r="D76" s="7">
        <v>3.5</v>
      </c>
      <c r="E76" s="8"/>
      <c r="F76" s="8"/>
      <c r="G76" s="8"/>
      <c r="H76" s="7">
        <v>30.0</v>
      </c>
      <c r="I76" s="22" t="s">
        <v>2372</v>
      </c>
      <c r="J76" s="17" t="s">
        <v>2373</v>
      </c>
      <c r="K76" s="8"/>
      <c r="L76" s="8"/>
      <c r="M76" s="8"/>
      <c r="N76" s="8"/>
      <c r="O76" s="8"/>
      <c r="P76" s="8"/>
      <c r="Q76" s="8"/>
      <c r="R76" s="8"/>
      <c r="S76" s="8"/>
      <c r="T76" s="8"/>
      <c r="U76" s="8"/>
      <c r="V76" s="8"/>
      <c r="W76" s="8"/>
      <c r="X76" s="8"/>
      <c r="Y76" s="8"/>
      <c r="Z76" s="8"/>
    </row>
    <row r="77">
      <c r="A77" s="7" t="s">
        <v>2367</v>
      </c>
      <c r="B77" s="7" t="s">
        <v>2374</v>
      </c>
      <c r="C77" s="7" t="s">
        <v>2375</v>
      </c>
      <c r="D77" s="7">
        <v>5.5</v>
      </c>
      <c r="E77" s="8"/>
      <c r="F77" s="8"/>
      <c r="G77" s="8"/>
      <c r="H77" s="7">
        <v>40.0</v>
      </c>
      <c r="I77" s="22" t="s">
        <v>2372</v>
      </c>
      <c r="J77" s="17" t="s">
        <v>2373</v>
      </c>
      <c r="K77" s="8"/>
      <c r="L77" s="8"/>
      <c r="M77" s="8"/>
      <c r="N77" s="8"/>
      <c r="O77" s="8"/>
      <c r="P77" s="8"/>
      <c r="Q77" s="8"/>
      <c r="R77" s="8"/>
      <c r="S77" s="8"/>
      <c r="T77" s="8"/>
      <c r="U77" s="8"/>
      <c r="V77" s="8"/>
      <c r="W77" s="8"/>
      <c r="X77" s="8"/>
      <c r="Y77" s="8"/>
      <c r="Z77" s="8"/>
    </row>
    <row r="78">
      <c r="A78" s="7" t="s">
        <v>2367</v>
      </c>
      <c r="B78" s="7" t="s">
        <v>2376</v>
      </c>
      <c r="C78" s="8"/>
      <c r="D78" s="7">
        <v>4.5</v>
      </c>
      <c r="E78" s="8"/>
      <c r="F78" s="8"/>
      <c r="G78" s="8"/>
      <c r="H78" s="7">
        <v>20.0</v>
      </c>
      <c r="I78" s="22" t="s">
        <v>2372</v>
      </c>
      <c r="J78" s="17" t="s">
        <v>2373</v>
      </c>
      <c r="K78" s="8"/>
      <c r="L78" s="8"/>
      <c r="M78" s="8"/>
      <c r="N78" s="8"/>
      <c r="O78" s="8"/>
      <c r="P78" s="8"/>
      <c r="Q78" s="8"/>
      <c r="R78" s="8"/>
      <c r="S78" s="8"/>
      <c r="T78" s="8"/>
      <c r="U78" s="8"/>
      <c r="V78" s="8"/>
      <c r="W78" s="8"/>
      <c r="X78" s="8"/>
      <c r="Y78" s="8"/>
      <c r="Z78" s="8"/>
    </row>
    <row r="79">
      <c r="A79" s="7" t="s">
        <v>2377</v>
      </c>
      <c r="B79" s="7" t="s">
        <v>2378</v>
      </c>
      <c r="C79" s="8"/>
      <c r="D79" s="7">
        <v>1.0</v>
      </c>
      <c r="E79" s="8"/>
      <c r="F79" s="8"/>
      <c r="G79" s="8"/>
      <c r="H79" s="7"/>
      <c r="I79" s="7"/>
      <c r="J79" s="17"/>
      <c r="K79" s="8"/>
      <c r="L79" s="8"/>
      <c r="M79" s="8"/>
      <c r="N79" s="8"/>
      <c r="O79" s="8"/>
      <c r="P79" s="8"/>
      <c r="Q79" s="8"/>
      <c r="R79" s="8"/>
      <c r="S79" s="8"/>
      <c r="T79" s="8"/>
      <c r="U79" s="8"/>
      <c r="V79" s="8"/>
      <c r="W79" s="8"/>
      <c r="X79" s="8"/>
      <c r="Y79" s="8"/>
      <c r="Z79" s="8"/>
    </row>
    <row r="80">
      <c r="A80" s="10" t="s">
        <v>2379</v>
      </c>
      <c r="B80" s="10" t="s">
        <v>2380</v>
      </c>
      <c r="C80" s="11"/>
      <c r="D80" s="10">
        <v>7.0</v>
      </c>
      <c r="E80" s="11"/>
      <c r="F80" s="11"/>
      <c r="G80" s="11"/>
      <c r="H80" s="10" t="s">
        <v>384</v>
      </c>
      <c r="I80" s="10"/>
      <c r="J80" s="100"/>
      <c r="K80" s="11"/>
      <c r="L80" s="11"/>
      <c r="M80" s="11"/>
      <c r="N80" s="11"/>
      <c r="O80" s="11"/>
      <c r="P80" s="11"/>
      <c r="Q80" s="11"/>
      <c r="R80" s="11"/>
      <c r="S80" s="11"/>
      <c r="T80" s="11"/>
      <c r="U80" s="11"/>
      <c r="V80" s="11"/>
      <c r="W80" s="11"/>
      <c r="X80" s="11"/>
      <c r="Y80" s="11"/>
      <c r="Z80" s="11"/>
    </row>
    <row r="81">
      <c r="A81" s="7" t="s">
        <v>2381</v>
      </c>
      <c r="B81" s="7" t="s">
        <v>2382</v>
      </c>
      <c r="C81" s="8"/>
      <c r="D81" s="7">
        <v>3.0</v>
      </c>
      <c r="E81" s="8"/>
      <c r="F81" s="8"/>
      <c r="G81" s="8"/>
      <c r="H81" s="7"/>
      <c r="I81" s="7"/>
      <c r="J81" s="17"/>
      <c r="K81" s="8"/>
      <c r="L81" s="8"/>
      <c r="M81" s="8"/>
      <c r="N81" s="8"/>
      <c r="O81" s="8"/>
      <c r="P81" s="8"/>
      <c r="Q81" s="8"/>
      <c r="R81" s="8"/>
      <c r="S81" s="8"/>
      <c r="T81" s="8"/>
      <c r="U81" s="8"/>
      <c r="V81" s="8"/>
      <c r="W81" s="8"/>
      <c r="X81" s="8"/>
      <c r="Y81" s="8"/>
      <c r="Z81" s="8"/>
    </row>
    <row r="82">
      <c r="A82" s="7" t="s">
        <v>2383</v>
      </c>
      <c r="B82" s="7" t="s">
        <v>2384</v>
      </c>
      <c r="C82" s="8"/>
      <c r="D82" s="7">
        <v>4.0</v>
      </c>
      <c r="E82" s="8"/>
      <c r="F82" s="8"/>
      <c r="G82" s="8"/>
      <c r="H82" s="7"/>
      <c r="I82" s="7"/>
      <c r="J82" s="17"/>
      <c r="K82" s="8"/>
      <c r="L82" s="8"/>
      <c r="M82" s="8"/>
      <c r="N82" s="8"/>
      <c r="O82" s="8"/>
      <c r="P82" s="8"/>
      <c r="Q82" s="8"/>
      <c r="R82" s="8"/>
      <c r="S82" s="8"/>
      <c r="T82" s="8"/>
      <c r="U82" s="8"/>
      <c r="V82" s="8"/>
      <c r="W82" s="8"/>
      <c r="X82" s="8"/>
      <c r="Y82" s="8"/>
      <c r="Z82" s="8"/>
    </row>
    <row r="83">
      <c r="A83" s="7" t="s">
        <v>2385</v>
      </c>
      <c r="B83" s="7" t="s">
        <v>2386</v>
      </c>
      <c r="C83" s="8"/>
      <c r="D83" s="7">
        <v>4.0</v>
      </c>
      <c r="E83" s="8"/>
      <c r="F83" s="8"/>
      <c r="G83" s="8"/>
      <c r="H83" s="7"/>
      <c r="I83" s="7"/>
      <c r="J83" s="17"/>
      <c r="K83" s="8"/>
      <c r="L83" s="8"/>
      <c r="M83" s="8"/>
      <c r="N83" s="8"/>
      <c r="O83" s="8"/>
      <c r="P83" s="8"/>
      <c r="Q83" s="8"/>
      <c r="R83" s="8"/>
      <c r="S83" s="8"/>
      <c r="T83" s="8"/>
      <c r="U83" s="8"/>
      <c r="V83" s="8"/>
      <c r="W83" s="8"/>
      <c r="X83" s="8"/>
      <c r="Y83" s="8"/>
      <c r="Z83" s="8"/>
    </row>
    <row r="84">
      <c r="A84" s="7" t="s">
        <v>2387</v>
      </c>
      <c r="B84" s="7" t="s">
        <v>2388</v>
      </c>
      <c r="C84" s="8"/>
      <c r="D84" s="7">
        <v>2.5</v>
      </c>
      <c r="E84" s="8"/>
      <c r="F84" s="8"/>
      <c r="G84" s="8"/>
      <c r="H84" s="7"/>
      <c r="I84" s="7"/>
      <c r="J84" s="17"/>
      <c r="K84" s="8"/>
      <c r="L84" s="8"/>
      <c r="M84" s="8"/>
      <c r="N84" s="8"/>
      <c r="O84" s="8"/>
      <c r="P84" s="8"/>
      <c r="Q84" s="8"/>
      <c r="R84" s="8"/>
      <c r="S84" s="8"/>
      <c r="T84" s="8"/>
      <c r="U84" s="8"/>
      <c r="V84" s="8"/>
      <c r="W84" s="8"/>
      <c r="X84" s="8"/>
      <c r="Y84" s="8"/>
      <c r="Z84" s="8"/>
    </row>
    <row r="85">
      <c r="A85" s="7" t="s">
        <v>2389</v>
      </c>
      <c r="B85" s="7" t="s">
        <v>2390</v>
      </c>
      <c r="C85" s="8"/>
      <c r="D85" s="7">
        <v>3.5</v>
      </c>
      <c r="E85" s="8"/>
      <c r="F85" s="8"/>
      <c r="G85" s="8"/>
      <c r="H85" s="7"/>
      <c r="I85" s="7"/>
      <c r="J85" s="17"/>
      <c r="K85" s="8"/>
      <c r="L85" s="8"/>
      <c r="M85" s="8"/>
      <c r="N85" s="8"/>
      <c r="O85" s="8"/>
      <c r="P85" s="8"/>
      <c r="Q85" s="8"/>
      <c r="R85" s="8"/>
      <c r="S85" s="8"/>
      <c r="T85" s="8"/>
      <c r="U85" s="8"/>
      <c r="V85" s="8"/>
      <c r="W85" s="8"/>
      <c r="X85" s="8"/>
      <c r="Y85" s="8"/>
      <c r="Z85" s="8"/>
    </row>
    <row r="86">
      <c r="A86" s="7" t="s">
        <v>2389</v>
      </c>
      <c r="B86" s="7" t="s">
        <v>2391</v>
      </c>
      <c r="C86" s="8"/>
      <c r="D86" s="7">
        <v>3.5</v>
      </c>
      <c r="E86" s="8"/>
      <c r="F86" s="8"/>
      <c r="G86" s="8"/>
      <c r="H86" s="7"/>
      <c r="I86" s="7"/>
      <c r="J86" s="17"/>
      <c r="K86" s="8"/>
      <c r="L86" s="8"/>
      <c r="M86" s="8"/>
      <c r="N86" s="8"/>
      <c r="O86" s="8"/>
      <c r="P86" s="8"/>
      <c r="Q86" s="8"/>
      <c r="R86" s="8"/>
      <c r="S86" s="8"/>
      <c r="T86" s="8"/>
      <c r="U86" s="8"/>
      <c r="V86" s="8"/>
      <c r="W86" s="8"/>
      <c r="X86" s="8"/>
      <c r="Y86" s="8"/>
      <c r="Z86" s="8"/>
    </row>
    <row r="87">
      <c r="A87" s="7" t="s">
        <v>2389</v>
      </c>
      <c r="B87" s="7" t="s">
        <v>2392</v>
      </c>
      <c r="C87" s="8"/>
      <c r="D87" s="7">
        <v>2.5</v>
      </c>
      <c r="E87" s="8"/>
      <c r="F87" s="8"/>
      <c r="G87" s="8"/>
      <c r="H87" s="7"/>
      <c r="I87" s="7"/>
      <c r="J87" s="17"/>
      <c r="K87" s="8"/>
      <c r="L87" s="8"/>
      <c r="M87" s="8"/>
      <c r="N87" s="8"/>
      <c r="O87" s="8"/>
      <c r="P87" s="8"/>
      <c r="Q87" s="8"/>
      <c r="R87" s="8"/>
      <c r="S87" s="8"/>
      <c r="T87" s="8"/>
      <c r="U87" s="8"/>
      <c r="V87" s="8"/>
      <c r="W87" s="8"/>
      <c r="X87" s="8"/>
      <c r="Y87" s="8"/>
      <c r="Z87" s="8"/>
    </row>
    <row r="88">
      <c r="A88" s="7" t="s">
        <v>2389</v>
      </c>
      <c r="B88" s="7" t="s">
        <v>2393</v>
      </c>
      <c r="C88" s="8"/>
      <c r="D88" s="7">
        <v>2.5</v>
      </c>
      <c r="E88" s="8"/>
      <c r="F88" s="8"/>
      <c r="G88" s="8"/>
      <c r="H88" s="7"/>
      <c r="I88" s="7"/>
      <c r="J88" s="17"/>
      <c r="K88" s="8"/>
      <c r="L88" s="8"/>
      <c r="M88" s="8"/>
      <c r="N88" s="8"/>
      <c r="O88" s="8"/>
      <c r="P88" s="8"/>
      <c r="Q88" s="8"/>
      <c r="R88" s="8"/>
      <c r="S88" s="8"/>
      <c r="T88" s="8"/>
      <c r="U88" s="8"/>
      <c r="V88" s="8"/>
      <c r="W88" s="8"/>
      <c r="X88" s="8"/>
      <c r="Y88" s="8"/>
      <c r="Z88" s="8"/>
    </row>
    <row r="89">
      <c r="A89" s="7" t="s">
        <v>2394</v>
      </c>
      <c r="B89" s="7" t="s">
        <v>2395</v>
      </c>
      <c r="C89" s="8"/>
      <c r="D89" s="7">
        <v>3.5</v>
      </c>
      <c r="E89" s="8"/>
      <c r="F89" s="8"/>
      <c r="G89" s="8"/>
      <c r="H89" s="7"/>
      <c r="I89" s="7"/>
      <c r="J89" s="9"/>
      <c r="K89" s="8"/>
      <c r="L89" s="8"/>
      <c r="M89" s="8"/>
      <c r="N89" s="8"/>
      <c r="O89" s="8"/>
      <c r="P89" s="8"/>
      <c r="Q89" s="8"/>
      <c r="R89" s="8"/>
      <c r="S89" s="8"/>
      <c r="T89" s="8"/>
      <c r="U89" s="8"/>
      <c r="V89" s="8"/>
      <c r="W89" s="8"/>
      <c r="X89" s="8"/>
      <c r="Y89" s="8"/>
      <c r="Z89" s="8"/>
    </row>
    <row r="90">
      <c r="A90" s="7" t="s">
        <v>2396</v>
      </c>
      <c r="B90" s="7" t="s">
        <v>2397</v>
      </c>
      <c r="C90" s="8"/>
      <c r="D90" s="7">
        <v>7.0</v>
      </c>
      <c r="E90" s="8"/>
      <c r="F90" s="8"/>
      <c r="G90" s="8"/>
      <c r="H90" s="7">
        <v>20.0</v>
      </c>
      <c r="I90" s="22" t="s">
        <v>2398</v>
      </c>
      <c r="J90" s="9"/>
      <c r="K90" s="8"/>
      <c r="L90" s="8"/>
      <c r="M90" s="8"/>
      <c r="N90" s="8"/>
      <c r="O90" s="8"/>
      <c r="P90" s="8"/>
      <c r="Q90" s="8"/>
      <c r="R90" s="8"/>
      <c r="S90" s="8"/>
      <c r="T90" s="8"/>
      <c r="U90" s="8"/>
      <c r="V90" s="8"/>
      <c r="W90" s="8"/>
      <c r="X90" s="8"/>
      <c r="Y90" s="8"/>
      <c r="Z90" s="8"/>
    </row>
    <row r="91">
      <c r="A91" s="7" t="s">
        <v>2399</v>
      </c>
      <c r="B91" s="7" t="s">
        <v>2400</v>
      </c>
      <c r="C91" s="8"/>
      <c r="D91" s="7">
        <v>4.0</v>
      </c>
      <c r="E91" s="8"/>
      <c r="F91" s="8"/>
      <c r="G91" s="8"/>
      <c r="H91" s="7"/>
      <c r="I91" s="28"/>
      <c r="J91" s="9"/>
      <c r="K91" s="8"/>
      <c r="L91" s="8"/>
      <c r="M91" s="8"/>
      <c r="N91" s="8"/>
      <c r="O91" s="8"/>
      <c r="P91" s="8"/>
      <c r="Q91" s="8"/>
      <c r="R91" s="8"/>
      <c r="S91" s="8"/>
      <c r="T91" s="8"/>
      <c r="U91" s="8"/>
      <c r="V91" s="8"/>
      <c r="W91" s="8"/>
      <c r="X91" s="8"/>
      <c r="Y91" s="8"/>
      <c r="Z91" s="8"/>
    </row>
    <row r="92">
      <c r="A92" s="7" t="s">
        <v>2401</v>
      </c>
      <c r="B92" s="7" t="s">
        <v>2402</v>
      </c>
      <c r="C92" s="8"/>
      <c r="D92" s="7">
        <v>5.5</v>
      </c>
      <c r="E92" s="8"/>
      <c r="F92" s="8"/>
      <c r="G92" s="8"/>
      <c r="H92" s="7"/>
      <c r="I92" s="28"/>
      <c r="J92" s="9"/>
      <c r="K92" s="8"/>
      <c r="L92" s="8"/>
      <c r="M92" s="8"/>
      <c r="N92" s="8"/>
      <c r="O92" s="8"/>
      <c r="P92" s="8"/>
      <c r="Q92" s="8"/>
      <c r="R92" s="8"/>
      <c r="S92" s="8"/>
      <c r="T92" s="8"/>
      <c r="U92" s="8"/>
      <c r="V92" s="8"/>
      <c r="W92" s="8"/>
      <c r="X92" s="8"/>
      <c r="Y92" s="8"/>
      <c r="Z92" s="8"/>
    </row>
    <row r="93">
      <c r="A93" s="7" t="s">
        <v>2401</v>
      </c>
      <c r="B93" s="7" t="s">
        <v>2403</v>
      </c>
      <c r="C93" s="8"/>
      <c r="D93" s="7">
        <v>6.5</v>
      </c>
      <c r="E93" s="8"/>
      <c r="F93" s="8"/>
      <c r="G93" s="8"/>
      <c r="H93" s="7"/>
      <c r="I93" s="28"/>
      <c r="J93" s="9"/>
      <c r="K93" s="8"/>
      <c r="L93" s="8"/>
      <c r="M93" s="8"/>
      <c r="N93" s="8"/>
      <c r="O93" s="8"/>
      <c r="P93" s="8"/>
      <c r="Q93" s="8"/>
      <c r="R93" s="8"/>
      <c r="S93" s="8"/>
      <c r="T93" s="8"/>
      <c r="U93" s="8"/>
      <c r="V93" s="8"/>
      <c r="W93" s="8"/>
      <c r="X93" s="8"/>
      <c r="Y93" s="8"/>
      <c r="Z93" s="8"/>
    </row>
    <row r="94">
      <c r="A94" s="7" t="s">
        <v>2401</v>
      </c>
      <c r="B94" s="7" t="s">
        <v>2404</v>
      </c>
      <c r="C94" s="8"/>
      <c r="D94" s="7">
        <v>4.5</v>
      </c>
      <c r="E94" s="8"/>
      <c r="F94" s="8"/>
      <c r="G94" s="8"/>
      <c r="H94" s="7"/>
      <c r="I94" s="28"/>
      <c r="J94" s="9"/>
      <c r="K94" s="8"/>
      <c r="L94" s="8"/>
      <c r="M94" s="8"/>
      <c r="N94" s="8"/>
      <c r="O94" s="8"/>
      <c r="P94" s="8"/>
      <c r="Q94" s="8"/>
      <c r="R94" s="8"/>
      <c r="S94" s="8"/>
      <c r="T94" s="8"/>
      <c r="U94" s="8"/>
      <c r="V94" s="8"/>
      <c r="W94" s="8"/>
      <c r="X94" s="8"/>
      <c r="Y94" s="8"/>
      <c r="Z94" s="8"/>
    </row>
    <row r="95">
      <c r="A95" s="7" t="s">
        <v>2405</v>
      </c>
      <c r="B95" s="7" t="s">
        <v>2406</v>
      </c>
      <c r="C95" s="8"/>
      <c r="D95" s="7">
        <v>1.25</v>
      </c>
      <c r="E95" s="8"/>
      <c r="F95" s="8"/>
      <c r="G95" s="8"/>
      <c r="H95" s="7"/>
      <c r="I95" s="28"/>
      <c r="J95" s="9"/>
      <c r="K95" s="8"/>
      <c r="L95" s="8"/>
      <c r="M95" s="8"/>
      <c r="N95" s="8"/>
      <c r="O95" s="8"/>
      <c r="P95" s="8"/>
      <c r="Q95" s="8"/>
      <c r="R95" s="8"/>
      <c r="S95" s="8"/>
      <c r="T95" s="8"/>
      <c r="U95" s="8"/>
      <c r="V95" s="8"/>
      <c r="W95" s="8"/>
      <c r="X95" s="8"/>
      <c r="Y95" s="8"/>
      <c r="Z95" s="8"/>
    </row>
    <row r="96">
      <c r="A96" s="14" t="s">
        <v>2407</v>
      </c>
      <c r="B96" s="101" t="s">
        <v>2408</v>
      </c>
      <c r="C96" s="15"/>
      <c r="D96" s="14">
        <v>2.5</v>
      </c>
      <c r="E96" s="15"/>
      <c r="F96" s="15"/>
      <c r="G96" s="15"/>
      <c r="H96" s="14">
        <v>15.0</v>
      </c>
      <c r="I96" s="102" t="s">
        <v>2409</v>
      </c>
      <c r="J96" s="16"/>
      <c r="K96" s="15"/>
      <c r="L96" s="15"/>
      <c r="M96" s="15"/>
      <c r="N96" s="15"/>
      <c r="O96" s="15"/>
      <c r="P96" s="15"/>
      <c r="Q96" s="15"/>
      <c r="R96" s="15"/>
      <c r="S96" s="15"/>
      <c r="T96" s="15"/>
      <c r="U96" s="15"/>
      <c r="V96" s="15"/>
      <c r="W96" s="15"/>
      <c r="X96" s="15"/>
      <c r="Y96" s="15"/>
      <c r="Z96" s="15"/>
    </row>
    <row r="97">
      <c r="A97" s="7" t="s">
        <v>2410</v>
      </c>
      <c r="B97" s="7" t="s">
        <v>2411</v>
      </c>
      <c r="C97" s="8"/>
      <c r="D97" s="7">
        <v>5.0</v>
      </c>
      <c r="E97" s="8"/>
      <c r="F97" s="8"/>
      <c r="G97" s="8"/>
      <c r="H97" s="7">
        <v>20.0</v>
      </c>
      <c r="I97" s="98" t="s">
        <v>2412</v>
      </c>
      <c r="J97" s="17" t="s">
        <v>2413</v>
      </c>
      <c r="K97" s="98" t="s">
        <v>2414</v>
      </c>
      <c r="L97" s="8"/>
      <c r="M97" s="8"/>
      <c r="N97" s="8"/>
      <c r="O97" s="8"/>
      <c r="P97" s="8"/>
      <c r="Q97" s="8"/>
      <c r="R97" s="8"/>
      <c r="S97" s="8"/>
      <c r="T97" s="8"/>
      <c r="U97" s="8"/>
      <c r="V97" s="8"/>
      <c r="W97" s="8"/>
      <c r="X97" s="8"/>
      <c r="Y97" s="8"/>
      <c r="Z97" s="8"/>
    </row>
    <row r="98">
      <c r="A98" s="7" t="s">
        <v>2415</v>
      </c>
      <c r="B98" s="7" t="s">
        <v>2416</v>
      </c>
      <c r="C98" s="8"/>
      <c r="D98" s="7">
        <v>3.0</v>
      </c>
      <c r="E98" s="8"/>
      <c r="F98" s="8"/>
      <c r="G98" s="8"/>
      <c r="H98" s="7"/>
      <c r="I98" s="28"/>
      <c r="J98" s="17"/>
      <c r="K98" s="28"/>
      <c r="L98" s="8"/>
      <c r="M98" s="8"/>
      <c r="N98" s="8"/>
      <c r="O98" s="8"/>
      <c r="P98" s="8"/>
      <c r="Q98" s="8"/>
      <c r="R98" s="8"/>
      <c r="S98" s="8"/>
      <c r="T98" s="8"/>
      <c r="U98" s="8"/>
      <c r="V98" s="8"/>
      <c r="W98" s="8"/>
      <c r="X98" s="8"/>
      <c r="Y98" s="8"/>
      <c r="Z98" s="8"/>
    </row>
    <row r="99">
      <c r="A99" s="7" t="s">
        <v>2417</v>
      </c>
      <c r="B99" s="7" t="s">
        <v>2418</v>
      </c>
      <c r="C99" s="8"/>
      <c r="D99" s="7">
        <v>2.5</v>
      </c>
      <c r="E99" s="8"/>
      <c r="F99" s="8"/>
      <c r="G99" s="8"/>
      <c r="H99" s="7"/>
      <c r="I99" s="8"/>
      <c r="J99" s="9"/>
      <c r="K99" s="8"/>
      <c r="L99" s="8"/>
      <c r="M99" s="8"/>
      <c r="N99" s="8"/>
      <c r="O99" s="8"/>
      <c r="P99" s="8"/>
      <c r="Q99" s="8"/>
      <c r="R99" s="8"/>
      <c r="S99" s="8"/>
      <c r="T99" s="8"/>
      <c r="U99" s="8"/>
      <c r="V99" s="8"/>
      <c r="W99" s="8"/>
      <c r="X99" s="8"/>
      <c r="Y99" s="8"/>
      <c r="Z99" s="8"/>
    </row>
    <row r="100">
      <c r="A100" s="7" t="s">
        <v>2419</v>
      </c>
      <c r="B100" s="7" t="s">
        <v>2420</v>
      </c>
      <c r="C100" s="8"/>
      <c r="D100" s="7">
        <v>2.0</v>
      </c>
      <c r="E100" s="8"/>
      <c r="F100" s="8"/>
      <c r="G100" s="8"/>
      <c r="H100" s="7"/>
      <c r="I100" s="8"/>
      <c r="J100" s="9"/>
      <c r="K100" s="8"/>
      <c r="L100" s="8"/>
      <c r="M100" s="8"/>
      <c r="N100" s="8"/>
      <c r="O100" s="8"/>
      <c r="P100" s="8"/>
      <c r="Q100" s="8"/>
      <c r="R100" s="8"/>
      <c r="S100" s="8"/>
      <c r="T100" s="8"/>
      <c r="U100" s="8"/>
      <c r="V100" s="8"/>
      <c r="W100" s="8"/>
      <c r="X100" s="8"/>
      <c r="Y100" s="8"/>
      <c r="Z100" s="8"/>
    </row>
    <row r="101">
      <c r="A101" s="7" t="s">
        <v>2421</v>
      </c>
      <c r="B101" s="7" t="s">
        <v>2422</v>
      </c>
      <c r="C101" s="8"/>
      <c r="D101" s="7">
        <v>6.0</v>
      </c>
      <c r="E101" s="8"/>
      <c r="F101" s="8"/>
      <c r="G101" s="8"/>
      <c r="H101" s="7"/>
      <c r="I101" s="8"/>
      <c r="J101" s="9"/>
      <c r="K101" s="8"/>
      <c r="L101" s="8"/>
      <c r="M101" s="8"/>
      <c r="N101" s="8"/>
      <c r="O101" s="8"/>
      <c r="P101" s="8"/>
      <c r="Q101" s="8"/>
      <c r="R101" s="8"/>
      <c r="S101" s="8"/>
      <c r="T101" s="8"/>
      <c r="U101" s="8"/>
      <c r="V101" s="8"/>
      <c r="W101" s="8"/>
      <c r="X101" s="8"/>
      <c r="Y101" s="8"/>
      <c r="Z101" s="8"/>
    </row>
    <row r="102">
      <c r="A102" s="7" t="s">
        <v>2423</v>
      </c>
      <c r="B102" s="7" t="s">
        <v>2424</v>
      </c>
      <c r="C102" s="8"/>
      <c r="D102" s="7">
        <v>3.5</v>
      </c>
      <c r="E102" s="8"/>
      <c r="F102" s="8"/>
      <c r="G102" s="8"/>
      <c r="H102" s="7">
        <v>10.0</v>
      </c>
      <c r="I102" s="8"/>
      <c r="J102" s="9"/>
      <c r="K102" s="8"/>
      <c r="L102" s="8"/>
      <c r="M102" s="8"/>
      <c r="N102" s="8"/>
      <c r="O102" s="8"/>
      <c r="P102" s="8"/>
      <c r="Q102" s="8"/>
      <c r="R102" s="8"/>
      <c r="S102" s="8"/>
      <c r="T102" s="8"/>
      <c r="U102" s="8"/>
      <c r="V102" s="8"/>
      <c r="W102" s="8"/>
      <c r="X102" s="8"/>
      <c r="Y102" s="8"/>
      <c r="Z102" s="8"/>
    </row>
    <row r="103">
      <c r="A103" s="7" t="s">
        <v>2423</v>
      </c>
      <c r="B103" s="7" t="s">
        <v>2425</v>
      </c>
      <c r="C103" s="8"/>
      <c r="D103" s="7">
        <v>2.0</v>
      </c>
      <c r="E103" s="8"/>
      <c r="F103" s="8"/>
      <c r="G103" s="8"/>
      <c r="H103" s="7"/>
      <c r="I103" s="8"/>
      <c r="J103" s="9"/>
      <c r="K103" s="8"/>
      <c r="L103" s="8"/>
      <c r="M103" s="8"/>
      <c r="N103" s="8"/>
      <c r="O103" s="8"/>
      <c r="P103" s="8"/>
      <c r="Q103" s="8"/>
      <c r="R103" s="8"/>
      <c r="S103" s="8"/>
      <c r="T103" s="8"/>
      <c r="U103" s="8"/>
      <c r="V103" s="8"/>
      <c r="W103" s="8"/>
      <c r="X103" s="8"/>
      <c r="Y103" s="8"/>
      <c r="Z103" s="8"/>
    </row>
    <row r="104">
      <c r="A104" s="10" t="s">
        <v>2426</v>
      </c>
      <c r="B104" s="10" t="s">
        <v>2427</v>
      </c>
      <c r="C104" s="11"/>
      <c r="D104" s="10">
        <v>5.49</v>
      </c>
      <c r="E104" s="11"/>
      <c r="F104" s="11"/>
      <c r="G104" s="11"/>
      <c r="H104" s="10" t="s">
        <v>384</v>
      </c>
      <c r="I104" s="11"/>
      <c r="J104" s="12"/>
      <c r="K104" s="11"/>
      <c r="L104" s="11"/>
      <c r="M104" s="11"/>
      <c r="N104" s="11"/>
      <c r="O104" s="11"/>
      <c r="P104" s="11"/>
      <c r="Q104" s="11"/>
      <c r="R104" s="11"/>
      <c r="S104" s="11"/>
      <c r="T104" s="11"/>
      <c r="U104" s="11"/>
      <c r="V104" s="11"/>
      <c r="W104" s="11"/>
      <c r="X104" s="11"/>
      <c r="Y104" s="11"/>
      <c r="Z104" s="11"/>
    </row>
    <row r="105">
      <c r="A105" s="10" t="s">
        <v>2428</v>
      </c>
      <c r="B105" s="10" t="s">
        <v>2429</v>
      </c>
      <c r="C105" s="11"/>
      <c r="D105" s="10">
        <v>9.5</v>
      </c>
      <c r="E105" s="11"/>
      <c r="F105" s="11"/>
      <c r="G105" s="11"/>
      <c r="H105" s="10" t="s">
        <v>384</v>
      </c>
      <c r="I105" s="11"/>
      <c r="J105" s="12"/>
      <c r="K105" s="11"/>
      <c r="L105" s="11"/>
      <c r="M105" s="11"/>
      <c r="N105" s="11"/>
      <c r="O105" s="11"/>
      <c r="P105" s="11"/>
      <c r="Q105" s="11"/>
      <c r="R105" s="11"/>
      <c r="S105" s="11"/>
      <c r="T105" s="11"/>
      <c r="U105" s="11"/>
      <c r="V105" s="11"/>
      <c r="W105" s="11"/>
      <c r="X105" s="11"/>
      <c r="Y105" s="11"/>
      <c r="Z105" s="11"/>
    </row>
    <row r="106">
      <c r="A106" s="7" t="s">
        <v>2430</v>
      </c>
      <c r="B106" s="7" t="s">
        <v>2431</v>
      </c>
      <c r="C106" s="8"/>
      <c r="D106" s="7">
        <v>6.0</v>
      </c>
      <c r="E106" s="8"/>
      <c r="F106" s="8"/>
      <c r="G106" s="8"/>
      <c r="H106" s="8"/>
      <c r="I106" s="28"/>
      <c r="J106" s="9"/>
      <c r="K106" s="8"/>
      <c r="L106" s="8"/>
      <c r="M106" s="8"/>
      <c r="N106" s="8"/>
      <c r="O106" s="8"/>
      <c r="P106" s="8"/>
      <c r="Q106" s="8"/>
      <c r="R106" s="8"/>
      <c r="S106" s="8"/>
      <c r="T106" s="8"/>
      <c r="U106" s="8"/>
      <c r="V106" s="8"/>
      <c r="W106" s="8"/>
      <c r="X106" s="8"/>
      <c r="Y106" s="8"/>
      <c r="Z106" s="8"/>
    </row>
    <row r="107">
      <c r="A107" s="7" t="s">
        <v>2432</v>
      </c>
      <c r="B107" s="7" t="s">
        <v>2433</v>
      </c>
      <c r="C107" s="8"/>
      <c r="D107" s="7">
        <v>2.0</v>
      </c>
      <c r="E107" s="8"/>
      <c r="F107" s="8"/>
      <c r="G107" s="8"/>
      <c r="H107" s="8"/>
      <c r="I107" s="28"/>
      <c r="J107" s="9"/>
      <c r="K107" s="8"/>
      <c r="L107" s="8"/>
      <c r="M107" s="8"/>
      <c r="N107" s="8"/>
      <c r="O107" s="8"/>
      <c r="P107" s="8"/>
      <c r="Q107" s="8"/>
      <c r="R107" s="8"/>
      <c r="S107" s="8"/>
      <c r="T107" s="8"/>
      <c r="U107" s="8"/>
      <c r="V107" s="8"/>
      <c r="W107" s="8"/>
      <c r="X107" s="8"/>
      <c r="Y107" s="8"/>
      <c r="Z107" s="8"/>
    </row>
    <row r="108">
      <c r="A108" s="7" t="s">
        <v>2434</v>
      </c>
      <c r="B108" s="7" t="s">
        <v>2435</v>
      </c>
      <c r="C108" s="8"/>
      <c r="D108" s="7">
        <v>4.0</v>
      </c>
      <c r="E108" s="8"/>
      <c r="F108" s="8"/>
      <c r="G108" s="8"/>
      <c r="H108" s="8"/>
      <c r="I108" s="28"/>
      <c r="J108" s="9"/>
      <c r="K108" s="8"/>
      <c r="L108" s="8"/>
      <c r="M108" s="8"/>
      <c r="N108" s="8"/>
      <c r="O108" s="8"/>
      <c r="P108" s="8"/>
      <c r="Q108" s="8"/>
      <c r="R108" s="8"/>
      <c r="S108" s="8"/>
      <c r="T108" s="8"/>
      <c r="U108" s="8"/>
      <c r="V108" s="8"/>
      <c r="W108" s="8"/>
      <c r="X108" s="8"/>
      <c r="Y108" s="8"/>
      <c r="Z108" s="8"/>
    </row>
    <row r="109">
      <c r="A109" s="7" t="s">
        <v>2436</v>
      </c>
      <c r="B109" s="7" t="s">
        <v>2437</v>
      </c>
      <c r="C109" s="8"/>
      <c r="D109" s="7">
        <v>6.8</v>
      </c>
      <c r="E109" s="8"/>
      <c r="F109" s="8"/>
      <c r="G109" s="8"/>
      <c r="H109" s="8"/>
      <c r="I109" s="28"/>
      <c r="J109" s="9"/>
      <c r="K109" s="8"/>
      <c r="L109" s="8"/>
      <c r="M109" s="8"/>
      <c r="N109" s="8"/>
      <c r="O109" s="8"/>
      <c r="P109" s="8"/>
      <c r="Q109" s="8"/>
      <c r="R109" s="8"/>
      <c r="S109" s="8"/>
      <c r="T109" s="8"/>
      <c r="U109" s="8"/>
      <c r="V109" s="8"/>
      <c r="W109" s="8"/>
      <c r="X109" s="8"/>
      <c r="Y109" s="8"/>
      <c r="Z109" s="8"/>
    </row>
    <row r="110">
      <c r="A110" s="7" t="s">
        <v>2438</v>
      </c>
      <c r="B110" s="7" t="s">
        <v>2439</v>
      </c>
      <c r="C110" s="7"/>
      <c r="D110" s="7">
        <v>2.5</v>
      </c>
      <c r="E110" s="8"/>
      <c r="F110" s="8"/>
      <c r="G110" s="8"/>
      <c r="H110" s="7"/>
      <c r="I110" s="28"/>
      <c r="J110" s="9"/>
      <c r="K110" s="8"/>
      <c r="L110" s="8"/>
      <c r="M110" s="8"/>
      <c r="N110" s="8"/>
      <c r="O110" s="8"/>
      <c r="P110" s="8"/>
      <c r="Q110" s="8"/>
      <c r="R110" s="8"/>
      <c r="S110" s="8"/>
      <c r="T110" s="8"/>
      <c r="U110" s="8"/>
      <c r="V110" s="8"/>
      <c r="W110" s="8"/>
      <c r="X110" s="8"/>
      <c r="Y110" s="8"/>
      <c r="Z110" s="8"/>
    </row>
    <row r="111">
      <c r="A111" s="7" t="s">
        <v>2440</v>
      </c>
      <c r="B111" s="7" t="s">
        <v>2441</v>
      </c>
      <c r="C111" s="7"/>
      <c r="D111" s="7">
        <v>5.0</v>
      </c>
      <c r="E111" s="8"/>
      <c r="F111" s="8"/>
      <c r="G111" s="8"/>
      <c r="H111" s="7"/>
      <c r="I111" s="28"/>
      <c r="J111" s="9"/>
      <c r="K111" s="8"/>
      <c r="L111" s="8"/>
      <c r="M111" s="8"/>
      <c r="N111" s="8"/>
      <c r="O111" s="8"/>
      <c r="P111" s="8"/>
      <c r="Q111" s="8"/>
      <c r="R111" s="8"/>
      <c r="S111" s="8"/>
      <c r="T111" s="8"/>
      <c r="U111" s="8"/>
      <c r="V111" s="8"/>
      <c r="W111" s="8"/>
      <c r="X111" s="8"/>
      <c r="Y111" s="8"/>
      <c r="Z111" s="8"/>
    </row>
    <row r="112">
      <c r="A112" s="10" t="s">
        <v>2442</v>
      </c>
      <c r="B112" s="10" t="s">
        <v>2443</v>
      </c>
      <c r="C112" s="11"/>
      <c r="D112" s="10">
        <v>2.74</v>
      </c>
      <c r="E112" s="11"/>
      <c r="F112" s="11"/>
      <c r="G112" s="11"/>
      <c r="H112" s="10" t="s">
        <v>2444</v>
      </c>
      <c r="I112" s="11"/>
      <c r="J112" s="12"/>
      <c r="K112" s="11"/>
      <c r="L112" s="11"/>
      <c r="M112" s="11"/>
      <c r="N112" s="11"/>
      <c r="O112" s="11"/>
      <c r="P112" s="11"/>
      <c r="Q112" s="11"/>
      <c r="R112" s="11"/>
      <c r="S112" s="11"/>
      <c r="T112" s="11"/>
      <c r="U112" s="11"/>
      <c r="V112" s="11"/>
      <c r="W112" s="11"/>
      <c r="X112" s="11"/>
      <c r="Y112" s="11"/>
      <c r="Z112" s="11"/>
    </row>
    <row r="113">
      <c r="A113" s="7" t="s">
        <v>2445</v>
      </c>
      <c r="B113" s="7" t="s">
        <v>2446</v>
      </c>
      <c r="C113" s="8"/>
      <c r="D113" s="7">
        <v>2.0</v>
      </c>
      <c r="E113" s="7"/>
      <c r="F113" s="8"/>
      <c r="G113" s="8"/>
      <c r="H113" s="8"/>
      <c r="I113" s="8"/>
      <c r="J113" s="8"/>
      <c r="K113" s="8"/>
      <c r="L113" s="8"/>
      <c r="M113" s="8"/>
      <c r="N113" s="8"/>
      <c r="O113" s="8"/>
      <c r="P113" s="8"/>
      <c r="Q113" s="8"/>
      <c r="R113" s="8"/>
      <c r="S113" s="8"/>
      <c r="T113" s="8"/>
      <c r="U113" s="8"/>
      <c r="V113" s="8"/>
      <c r="W113" s="8"/>
      <c r="X113" s="8"/>
      <c r="Y113" s="8"/>
      <c r="Z113" s="8"/>
    </row>
    <row r="114">
      <c r="A114" s="7" t="s">
        <v>1031</v>
      </c>
      <c r="B114" s="7" t="s">
        <v>2447</v>
      </c>
      <c r="C114" s="8"/>
      <c r="D114" s="7">
        <v>1.0</v>
      </c>
      <c r="E114" s="7"/>
      <c r="F114" s="8"/>
      <c r="G114" s="8"/>
      <c r="H114" s="8"/>
      <c r="I114" s="8"/>
      <c r="J114" s="8"/>
      <c r="K114" s="8"/>
      <c r="L114" s="8"/>
      <c r="M114" s="8"/>
      <c r="N114" s="8"/>
      <c r="O114" s="8"/>
      <c r="P114" s="8"/>
      <c r="Q114" s="8"/>
      <c r="R114" s="8"/>
      <c r="S114" s="8"/>
      <c r="T114" s="8"/>
      <c r="U114" s="8"/>
      <c r="V114" s="8"/>
      <c r="W114" s="8"/>
      <c r="X114" s="8"/>
      <c r="Y114" s="8"/>
      <c r="Z114" s="8"/>
    </row>
    <row r="115">
      <c r="A115" s="7" t="s">
        <v>1031</v>
      </c>
      <c r="B115" s="7" t="s">
        <v>2448</v>
      </c>
      <c r="C115" s="8"/>
      <c r="D115" s="7">
        <v>1.0</v>
      </c>
      <c r="E115" s="7"/>
      <c r="F115" s="8"/>
      <c r="G115" s="8"/>
      <c r="H115" s="8"/>
      <c r="I115" s="8"/>
      <c r="J115" s="8"/>
      <c r="K115" s="8"/>
      <c r="L115" s="8"/>
      <c r="M115" s="8"/>
      <c r="N115" s="8"/>
      <c r="O115" s="8"/>
      <c r="P115" s="8"/>
      <c r="Q115" s="8"/>
      <c r="R115" s="8"/>
      <c r="S115" s="8"/>
      <c r="T115" s="8"/>
      <c r="U115" s="8"/>
      <c r="V115" s="8"/>
      <c r="W115" s="8"/>
      <c r="X115" s="8"/>
      <c r="Y115" s="8"/>
      <c r="Z115" s="8"/>
    </row>
    <row r="116">
      <c r="A116" s="7" t="s">
        <v>1031</v>
      </c>
      <c r="B116" s="7" t="s">
        <v>2449</v>
      </c>
      <c r="C116" s="8"/>
      <c r="D116" s="7">
        <v>1.0</v>
      </c>
      <c r="E116" s="7"/>
      <c r="F116" s="8"/>
      <c r="G116" s="8"/>
      <c r="H116" s="8"/>
      <c r="I116" s="8"/>
      <c r="J116" s="8"/>
      <c r="K116" s="8"/>
      <c r="L116" s="8"/>
      <c r="M116" s="8"/>
      <c r="N116" s="8"/>
      <c r="O116" s="8"/>
      <c r="P116" s="8"/>
      <c r="Q116" s="8"/>
      <c r="R116" s="8"/>
      <c r="S116" s="8"/>
      <c r="T116" s="8"/>
      <c r="U116" s="8"/>
      <c r="V116" s="8"/>
      <c r="W116" s="8"/>
      <c r="X116" s="8"/>
      <c r="Y116" s="8"/>
      <c r="Z116" s="8"/>
    </row>
    <row r="117">
      <c r="A117" s="7" t="s">
        <v>1031</v>
      </c>
      <c r="B117" s="7" t="s">
        <v>2450</v>
      </c>
      <c r="C117" s="8"/>
      <c r="D117" s="7">
        <v>2.5</v>
      </c>
      <c r="E117" s="7"/>
      <c r="F117" s="8"/>
      <c r="G117" s="8"/>
      <c r="H117" s="8"/>
      <c r="I117" s="8"/>
      <c r="J117" s="8"/>
      <c r="K117" s="8"/>
      <c r="L117" s="8"/>
      <c r="M117" s="8"/>
      <c r="N117" s="8"/>
      <c r="O117" s="8"/>
      <c r="P117" s="8"/>
      <c r="Q117" s="8"/>
      <c r="R117" s="8"/>
      <c r="S117" s="8"/>
      <c r="T117" s="8"/>
      <c r="U117" s="8"/>
      <c r="V117" s="8"/>
      <c r="W117" s="8"/>
      <c r="X117" s="8"/>
      <c r="Y117" s="8"/>
      <c r="Z117" s="8"/>
    </row>
    <row r="118">
      <c r="A118" s="7" t="s">
        <v>1031</v>
      </c>
      <c r="B118" s="7" t="s">
        <v>2451</v>
      </c>
      <c r="C118" s="8"/>
      <c r="D118" s="7">
        <v>7.0</v>
      </c>
      <c r="E118" s="7"/>
      <c r="F118" s="8"/>
      <c r="G118" s="8"/>
      <c r="H118" s="8"/>
      <c r="I118" s="8"/>
      <c r="J118" s="8"/>
      <c r="K118" s="8"/>
      <c r="L118" s="8"/>
      <c r="M118" s="8"/>
      <c r="N118" s="8"/>
      <c r="O118" s="8"/>
      <c r="P118" s="8"/>
      <c r="Q118" s="8"/>
      <c r="R118" s="8"/>
      <c r="S118" s="8"/>
      <c r="T118" s="8"/>
      <c r="U118" s="8"/>
      <c r="V118" s="8"/>
      <c r="W118" s="8"/>
      <c r="X118" s="8"/>
      <c r="Y118" s="8"/>
      <c r="Z118" s="8"/>
    </row>
    <row r="119">
      <c r="A119" s="7" t="s">
        <v>1031</v>
      </c>
      <c r="B119" s="7" t="s">
        <v>2452</v>
      </c>
      <c r="C119" s="8"/>
      <c r="D119" s="7">
        <v>8.0</v>
      </c>
      <c r="E119" s="7"/>
      <c r="F119" s="8"/>
      <c r="G119" s="8"/>
      <c r="H119" s="8"/>
      <c r="I119" s="8"/>
      <c r="J119" s="8"/>
      <c r="K119" s="8"/>
      <c r="L119" s="8"/>
      <c r="M119" s="8"/>
      <c r="N119" s="8"/>
      <c r="O119" s="8"/>
      <c r="P119" s="8"/>
      <c r="Q119" s="8"/>
      <c r="R119" s="8"/>
      <c r="S119" s="8"/>
      <c r="T119" s="8"/>
      <c r="U119" s="8"/>
      <c r="V119" s="8"/>
      <c r="W119" s="8"/>
      <c r="X119" s="8"/>
      <c r="Y119" s="8"/>
      <c r="Z119" s="8"/>
    </row>
    <row r="120">
      <c r="A120" s="7" t="s">
        <v>1031</v>
      </c>
      <c r="B120" s="7" t="s">
        <v>2453</v>
      </c>
      <c r="C120" s="8"/>
      <c r="D120" s="7">
        <v>6.0</v>
      </c>
      <c r="E120" s="7"/>
      <c r="F120" s="8"/>
      <c r="G120" s="8"/>
      <c r="H120" s="8"/>
      <c r="I120" s="8"/>
      <c r="J120" s="8"/>
      <c r="K120" s="8"/>
      <c r="L120" s="8"/>
      <c r="M120" s="8"/>
      <c r="N120" s="8"/>
      <c r="O120" s="8"/>
      <c r="P120" s="8"/>
      <c r="Q120" s="8"/>
      <c r="R120" s="8"/>
      <c r="S120" s="8"/>
      <c r="T120" s="8"/>
      <c r="U120" s="8"/>
      <c r="V120" s="8"/>
      <c r="W120" s="8"/>
      <c r="X120" s="8"/>
      <c r="Y120" s="8"/>
      <c r="Z120" s="8"/>
    </row>
    <row r="121">
      <c r="A121" s="7" t="s">
        <v>1031</v>
      </c>
      <c r="B121" s="7" t="s">
        <v>2454</v>
      </c>
      <c r="C121" s="8"/>
      <c r="D121" s="7">
        <v>2.0</v>
      </c>
      <c r="E121" s="7"/>
      <c r="F121" s="8"/>
      <c r="G121" s="8"/>
      <c r="H121" s="8"/>
      <c r="I121" s="8"/>
      <c r="J121" s="8"/>
      <c r="K121" s="8"/>
      <c r="L121" s="8"/>
      <c r="M121" s="8"/>
      <c r="N121" s="8"/>
      <c r="O121" s="8"/>
      <c r="P121" s="8"/>
      <c r="Q121" s="8"/>
      <c r="R121" s="8"/>
      <c r="S121" s="8"/>
      <c r="T121" s="8"/>
      <c r="U121" s="8"/>
      <c r="V121" s="8"/>
      <c r="W121" s="8"/>
      <c r="X121" s="8"/>
      <c r="Y121" s="8"/>
      <c r="Z121" s="8"/>
    </row>
    <row r="122">
      <c r="A122" s="7" t="s">
        <v>1031</v>
      </c>
      <c r="B122" s="7" t="s">
        <v>2455</v>
      </c>
      <c r="C122" s="8"/>
      <c r="D122" s="7">
        <v>1.5</v>
      </c>
      <c r="E122" s="7"/>
      <c r="F122" s="8"/>
      <c r="G122" s="8"/>
      <c r="H122" s="8"/>
      <c r="I122" s="8"/>
      <c r="J122" s="8"/>
      <c r="K122" s="8"/>
      <c r="L122" s="8"/>
      <c r="M122" s="8"/>
      <c r="N122" s="8"/>
      <c r="O122" s="8"/>
      <c r="P122" s="8"/>
      <c r="Q122" s="8"/>
      <c r="R122" s="8"/>
      <c r="S122" s="8"/>
      <c r="T122" s="8"/>
      <c r="U122" s="8"/>
      <c r="V122" s="8"/>
      <c r="W122" s="8"/>
      <c r="X122" s="8"/>
      <c r="Y122" s="8"/>
      <c r="Z122" s="8"/>
    </row>
    <row r="123">
      <c r="A123" s="7" t="s">
        <v>1031</v>
      </c>
      <c r="B123" s="7" t="s">
        <v>2456</v>
      </c>
      <c r="C123" s="8"/>
      <c r="D123" s="7">
        <v>3.0</v>
      </c>
      <c r="E123" s="7"/>
      <c r="F123" s="8"/>
      <c r="G123" s="8"/>
      <c r="H123" s="8"/>
      <c r="I123" s="8"/>
      <c r="J123" s="8"/>
      <c r="K123" s="8"/>
      <c r="L123" s="8"/>
      <c r="M123" s="8"/>
      <c r="N123" s="8"/>
      <c r="O123" s="8"/>
      <c r="P123" s="8"/>
      <c r="Q123" s="8"/>
      <c r="R123" s="8"/>
      <c r="S123" s="8"/>
      <c r="T123" s="8"/>
      <c r="U123" s="8"/>
      <c r="V123" s="8"/>
      <c r="W123" s="8"/>
      <c r="X123" s="8"/>
      <c r="Y123" s="8"/>
      <c r="Z123" s="8"/>
    </row>
    <row r="124">
      <c r="A124" s="7" t="s">
        <v>1031</v>
      </c>
      <c r="B124" s="7" t="s">
        <v>2457</v>
      </c>
      <c r="C124" s="8"/>
      <c r="D124" s="7">
        <v>5.0</v>
      </c>
      <c r="E124" s="7"/>
      <c r="F124" s="8"/>
      <c r="G124" s="8"/>
      <c r="H124" s="8"/>
      <c r="I124" s="8"/>
      <c r="J124" s="8"/>
      <c r="K124" s="8"/>
      <c r="L124" s="8"/>
      <c r="M124" s="8"/>
      <c r="N124" s="8"/>
      <c r="O124" s="8"/>
      <c r="P124" s="8"/>
      <c r="Q124" s="8"/>
      <c r="R124" s="8"/>
      <c r="S124" s="8"/>
      <c r="T124" s="8"/>
      <c r="U124" s="8"/>
      <c r="V124" s="8"/>
      <c r="W124" s="8"/>
      <c r="X124" s="8"/>
      <c r="Y124" s="8"/>
      <c r="Z124" s="8"/>
    </row>
    <row r="125">
      <c r="A125" s="7" t="s">
        <v>1031</v>
      </c>
      <c r="B125" s="7" t="s">
        <v>2458</v>
      </c>
      <c r="C125" s="8"/>
      <c r="D125" s="7">
        <v>3.0</v>
      </c>
      <c r="E125" s="7"/>
      <c r="F125" s="8"/>
      <c r="G125" s="8"/>
      <c r="H125" s="8"/>
      <c r="I125" s="8"/>
      <c r="J125" s="8"/>
      <c r="K125" s="8"/>
      <c r="L125" s="8"/>
      <c r="M125" s="8"/>
      <c r="N125" s="8"/>
      <c r="O125" s="8"/>
      <c r="P125" s="8"/>
      <c r="Q125" s="8"/>
      <c r="R125" s="8"/>
      <c r="S125" s="8"/>
      <c r="T125" s="8"/>
      <c r="U125" s="8"/>
      <c r="V125" s="8"/>
      <c r="W125" s="8"/>
      <c r="X125" s="8"/>
      <c r="Y125" s="8"/>
      <c r="Z125" s="8"/>
    </row>
    <row r="126">
      <c r="A126" s="7" t="s">
        <v>1031</v>
      </c>
      <c r="B126" s="7" t="s">
        <v>2459</v>
      </c>
      <c r="C126" s="8"/>
      <c r="D126" s="7">
        <v>2.0</v>
      </c>
      <c r="E126" s="7"/>
      <c r="F126" s="8"/>
      <c r="G126" s="8"/>
      <c r="H126" s="8"/>
      <c r="I126" s="8"/>
      <c r="J126" s="8"/>
      <c r="K126" s="8"/>
      <c r="L126" s="8"/>
      <c r="M126" s="8"/>
      <c r="N126" s="8"/>
      <c r="O126" s="8"/>
      <c r="P126" s="8"/>
      <c r="Q126" s="8"/>
      <c r="R126" s="8"/>
      <c r="S126" s="8"/>
      <c r="T126" s="8"/>
      <c r="U126" s="8"/>
      <c r="V126" s="8"/>
      <c r="W126" s="8"/>
      <c r="X126" s="8"/>
      <c r="Y126" s="8"/>
      <c r="Z126" s="8"/>
    </row>
    <row r="127">
      <c r="A127" s="7" t="s">
        <v>1031</v>
      </c>
      <c r="B127" s="7" t="s">
        <v>2460</v>
      </c>
      <c r="C127" s="8"/>
      <c r="D127" s="7">
        <v>3.0</v>
      </c>
      <c r="E127" s="7"/>
      <c r="F127" s="8"/>
      <c r="G127" s="8"/>
      <c r="H127" s="8"/>
      <c r="I127" s="8"/>
      <c r="J127" s="8"/>
      <c r="K127" s="8"/>
      <c r="L127" s="8"/>
      <c r="M127" s="8"/>
      <c r="N127" s="8"/>
      <c r="O127" s="8"/>
      <c r="P127" s="8"/>
      <c r="Q127" s="8"/>
      <c r="R127" s="8"/>
      <c r="S127" s="8"/>
      <c r="T127" s="8"/>
      <c r="U127" s="8"/>
      <c r="V127" s="8"/>
      <c r="W127" s="8"/>
      <c r="X127" s="8"/>
      <c r="Y127" s="8"/>
      <c r="Z127" s="8"/>
    </row>
    <row r="128">
      <c r="A128" s="7" t="s">
        <v>1031</v>
      </c>
      <c r="B128" s="7" t="s">
        <v>2461</v>
      </c>
      <c r="C128" s="8"/>
      <c r="D128" s="7">
        <v>3.5</v>
      </c>
      <c r="E128" s="7"/>
      <c r="F128" s="8"/>
      <c r="G128" s="8"/>
      <c r="H128" s="8"/>
      <c r="I128" s="8"/>
      <c r="J128" s="8"/>
      <c r="K128" s="8"/>
      <c r="L128" s="8"/>
      <c r="M128" s="8"/>
      <c r="N128" s="8"/>
      <c r="O128" s="8"/>
      <c r="P128" s="8"/>
      <c r="Q128" s="8"/>
      <c r="R128" s="8"/>
      <c r="S128" s="8"/>
      <c r="T128" s="8"/>
      <c r="U128" s="8"/>
      <c r="V128" s="8"/>
      <c r="W128" s="8"/>
      <c r="X128" s="8"/>
      <c r="Y128" s="8"/>
      <c r="Z128" s="8"/>
    </row>
    <row r="129">
      <c r="A129" s="7" t="s">
        <v>1031</v>
      </c>
      <c r="B129" s="7" t="s">
        <v>2462</v>
      </c>
      <c r="C129" s="7"/>
      <c r="D129" s="7">
        <v>1.25</v>
      </c>
      <c r="E129" s="8"/>
      <c r="F129" s="8"/>
      <c r="G129" s="8"/>
      <c r="H129" s="7"/>
      <c r="I129" s="7"/>
      <c r="J129" s="9"/>
      <c r="K129" s="8"/>
      <c r="L129" s="8"/>
      <c r="M129" s="8"/>
      <c r="N129" s="8"/>
      <c r="O129" s="8"/>
      <c r="P129" s="8"/>
      <c r="Q129" s="8"/>
      <c r="R129" s="8"/>
      <c r="S129" s="8"/>
      <c r="T129" s="8"/>
      <c r="U129" s="8"/>
      <c r="V129" s="8"/>
      <c r="W129" s="8"/>
      <c r="X129" s="8"/>
      <c r="Y129" s="8"/>
      <c r="Z129" s="8"/>
    </row>
    <row r="130">
      <c r="A130" s="7" t="s">
        <v>1031</v>
      </c>
      <c r="B130" s="7" t="s">
        <v>2463</v>
      </c>
      <c r="C130" s="7"/>
      <c r="D130" s="7">
        <v>4.5</v>
      </c>
      <c r="E130" s="8"/>
      <c r="F130" s="8"/>
      <c r="G130" s="8"/>
      <c r="H130" s="7"/>
      <c r="I130" s="7"/>
      <c r="J130" s="9"/>
      <c r="K130" s="8"/>
      <c r="L130" s="8"/>
      <c r="M130" s="8"/>
      <c r="N130" s="8"/>
      <c r="O130" s="8"/>
      <c r="P130" s="8"/>
      <c r="Q130" s="8"/>
      <c r="R130" s="8"/>
      <c r="S130" s="8"/>
      <c r="T130" s="8"/>
      <c r="U130" s="8"/>
      <c r="V130" s="8"/>
      <c r="W130" s="8"/>
      <c r="X130" s="8"/>
      <c r="Y130" s="8"/>
      <c r="Z130" s="8"/>
    </row>
    <row r="131">
      <c r="A131" s="7" t="s">
        <v>1031</v>
      </c>
      <c r="B131" s="7" t="s">
        <v>2464</v>
      </c>
      <c r="C131" s="7"/>
      <c r="D131" s="7">
        <v>3.5</v>
      </c>
      <c r="E131" s="8"/>
      <c r="F131" s="8"/>
      <c r="G131" s="8"/>
      <c r="H131" s="7"/>
      <c r="I131" s="7"/>
      <c r="J131" s="9"/>
      <c r="K131" s="8"/>
      <c r="L131" s="8"/>
      <c r="M131" s="8"/>
      <c r="N131" s="8"/>
      <c r="O131" s="8"/>
      <c r="P131" s="8"/>
      <c r="Q131" s="8"/>
      <c r="R131" s="8"/>
      <c r="S131" s="8"/>
      <c r="T131" s="8"/>
      <c r="U131" s="8"/>
      <c r="V131" s="8"/>
      <c r="W131" s="8"/>
      <c r="X131" s="8"/>
      <c r="Y131" s="8"/>
      <c r="Z131" s="8"/>
    </row>
    <row r="132">
      <c r="A132" s="7" t="s">
        <v>1031</v>
      </c>
      <c r="B132" s="7" t="s">
        <v>2465</v>
      </c>
      <c r="C132" s="7"/>
      <c r="D132" s="7">
        <v>2.5</v>
      </c>
      <c r="E132" s="8"/>
      <c r="F132" s="8"/>
      <c r="G132" s="8"/>
      <c r="H132" s="7"/>
      <c r="I132" s="7"/>
      <c r="J132" s="9"/>
      <c r="K132" s="8"/>
      <c r="L132" s="8"/>
      <c r="M132" s="8"/>
      <c r="N132" s="8"/>
      <c r="O132" s="8"/>
      <c r="P132" s="8"/>
      <c r="Q132" s="8"/>
      <c r="R132" s="8"/>
      <c r="S132" s="8"/>
      <c r="T132" s="8"/>
      <c r="U132" s="8"/>
      <c r="V132" s="8"/>
      <c r="W132" s="8"/>
      <c r="X132" s="8"/>
      <c r="Y132" s="8"/>
      <c r="Z132" s="8"/>
    </row>
    <row r="133">
      <c r="A133" s="7" t="s">
        <v>1031</v>
      </c>
      <c r="B133" s="7" t="s">
        <v>2466</v>
      </c>
      <c r="C133" s="7"/>
      <c r="D133" s="7">
        <v>3.5</v>
      </c>
      <c r="E133" s="8"/>
      <c r="F133" s="8"/>
      <c r="G133" s="8"/>
      <c r="H133" s="7"/>
      <c r="I133" s="7"/>
      <c r="J133" s="9"/>
      <c r="K133" s="8"/>
      <c r="L133" s="8"/>
      <c r="M133" s="8"/>
      <c r="N133" s="8"/>
      <c r="O133" s="8"/>
      <c r="P133" s="8"/>
      <c r="Q133" s="8"/>
      <c r="R133" s="8"/>
      <c r="S133" s="8"/>
      <c r="T133" s="8"/>
      <c r="U133" s="8"/>
      <c r="V133" s="8"/>
      <c r="W133" s="8"/>
      <c r="X133" s="8"/>
      <c r="Y133" s="8"/>
      <c r="Z133" s="8"/>
    </row>
    <row r="134">
      <c r="A134" s="7" t="s">
        <v>1031</v>
      </c>
      <c r="B134" s="7" t="s">
        <v>2467</v>
      </c>
      <c r="C134" s="7"/>
      <c r="D134" s="7">
        <v>1.0</v>
      </c>
      <c r="E134" s="8"/>
      <c r="F134" s="8"/>
      <c r="G134" s="8"/>
      <c r="H134" s="7"/>
      <c r="I134" s="7"/>
      <c r="J134" s="9"/>
      <c r="K134" s="8"/>
      <c r="L134" s="8"/>
      <c r="M134" s="8"/>
      <c r="N134" s="8"/>
      <c r="O134" s="8"/>
      <c r="P134" s="8"/>
      <c r="Q134" s="8"/>
      <c r="R134" s="8"/>
      <c r="S134" s="8"/>
      <c r="T134" s="8"/>
      <c r="U134" s="8"/>
      <c r="V134" s="8"/>
      <c r="W134" s="8"/>
      <c r="X134" s="8"/>
      <c r="Y134" s="8"/>
      <c r="Z134" s="8"/>
    </row>
    <row r="135">
      <c r="A135" s="7" t="s">
        <v>1031</v>
      </c>
      <c r="B135" s="7" t="s">
        <v>2468</v>
      </c>
      <c r="C135" s="7"/>
      <c r="D135" s="7">
        <v>4.5</v>
      </c>
      <c r="E135" s="8"/>
      <c r="F135" s="8"/>
      <c r="G135" s="8"/>
      <c r="H135" s="7"/>
      <c r="I135" s="7"/>
      <c r="J135" s="9"/>
      <c r="K135" s="8"/>
      <c r="L135" s="8"/>
      <c r="M135" s="8"/>
      <c r="N135" s="8"/>
      <c r="O135" s="8"/>
      <c r="P135" s="8"/>
      <c r="Q135" s="8"/>
      <c r="R135" s="8"/>
      <c r="S135" s="8"/>
      <c r="T135" s="8"/>
      <c r="U135" s="8"/>
      <c r="V135" s="8"/>
      <c r="W135" s="8"/>
      <c r="X135" s="8"/>
      <c r="Y135" s="8"/>
      <c r="Z135" s="8"/>
    </row>
    <row r="136">
      <c r="A136" s="7" t="s">
        <v>1031</v>
      </c>
      <c r="B136" s="7" t="s">
        <v>2469</v>
      </c>
      <c r="C136" s="7"/>
      <c r="D136" s="7">
        <v>5.0</v>
      </c>
      <c r="E136" s="8"/>
      <c r="F136" s="8"/>
      <c r="G136" s="8"/>
      <c r="H136" s="7"/>
      <c r="I136" s="7"/>
      <c r="J136" s="9"/>
      <c r="K136" s="8"/>
      <c r="L136" s="8"/>
      <c r="M136" s="8"/>
      <c r="N136" s="8"/>
      <c r="O136" s="8"/>
      <c r="P136" s="8"/>
      <c r="Q136" s="8"/>
      <c r="R136" s="8"/>
      <c r="S136" s="8"/>
      <c r="T136" s="8"/>
      <c r="U136" s="8"/>
      <c r="V136" s="8"/>
      <c r="W136" s="8"/>
      <c r="X136" s="8"/>
      <c r="Y136" s="8"/>
      <c r="Z136" s="8"/>
    </row>
    <row r="137">
      <c r="A137" s="7" t="s">
        <v>1031</v>
      </c>
      <c r="B137" s="7" t="s">
        <v>2470</v>
      </c>
      <c r="C137" s="7"/>
      <c r="D137" s="7">
        <v>1.5</v>
      </c>
      <c r="E137" s="8"/>
      <c r="F137" s="8"/>
      <c r="G137" s="8"/>
      <c r="H137" s="7"/>
      <c r="I137" s="7"/>
      <c r="J137" s="9"/>
      <c r="K137" s="8"/>
      <c r="L137" s="8"/>
      <c r="M137" s="8"/>
      <c r="N137" s="8"/>
      <c r="O137" s="8"/>
      <c r="P137" s="8"/>
      <c r="Q137" s="8"/>
      <c r="R137" s="8"/>
      <c r="S137" s="8"/>
      <c r="T137" s="8"/>
      <c r="U137" s="8"/>
      <c r="V137" s="8"/>
      <c r="W137" s="8"/>
      <c r="X137" s="8"/>
      <c r="Y137" s="8"/>
      <c r="Z137" s="8"/>
    </row>
    <row r="138">
      <c r="A138" s="7" t="s">
        <v>1031</v>
      </c>
      <c r="B138" s="7" t="s">
        <v>2471</v>
      </c>
      <c r="C138" s="7"/>
      <c r="D138" s="7">
        <v>4.0</v>
      </c>
      <c r="E138" s="8"/>
      <c r="F138" s="8"/>
      <c r="G138" s="8"/>
      <c r="H138" s="7"/>
      <c r="I138" s="7"/>
      <c r="J138" s="9"/>
      <c r="K138" s="8"/>
      <c r="L138" s="8"/>
      <c r="M138" s="8"/>
      <c r="N138" s="8"/>
      <c r="O138" s="8"/>
      <c r="P138" s="8"/>
      <c r="Q138" s="8"/>
      <c r="R138" s="8"/>
      <c r="S138" s="8"/>
      <c r="T138" s="8"/>
      <c r="U138" s="8"/>
      <c r="V138" s="8"/>
      <c r="W138" s="8"/>
      <c r="X138" s="8"/>
      <c r="Y138" s="8"/>
      <c r="Z138" s="8"/>
    </row>
    <row r="139">
      <c r="A139" s="7" t="s">
        <v>1031</v>
      </c>
      <c r="B139" s="7" t="s">
        <v>2472</v>
      </c>
      <c r="C139" s="7"/>
      <c r="D139" s="7">
        <v>4.0</v>
      </c>
      <c r="E139" s="8"/>
      <c r="F139" s="8"/>
      <c r="G139" s="8"/>
      <c r="H139" s="7"/>
      <c r="I139" s="7"/>
      <c r="J139" s="9"/>
      <c r="K139" s="8"/>
      <c r="L139" s="8"/>
      <c r="M139" s="8"/>
      <c r="N139" s="8"/>
      <c r="O139" s="8"/>
      <c r="P139" s="8"/>
      <c r="Q139" s="8"/>
      <c r="R139" s="8"/>
      <c r="S139" s="8"/>
      <c r="T139" s="8"/>
      <c r="U139" s="8"/>
      <c r="V139" s="8"/>
      <c r="W139" s="8"/>
      <c r="X139" s="8"/>
      <c r="Y139" s="8"/>
      <c r="Z139" s="8"/>
    </row>
    <row r="140">
      <c r="A140" s="7" t="s">
        <v>1031</v>
      </c>
      <c r="B140" s="7" t="s">
        <v>2473</v>
      </c>
      <c r="C140" s="7"/>
      <c r="D140" s="7">
        <v>4.0</v>
      </c>
      <c r="E140" s="8"/>
      <c r="F140" s="8"/>
      <c r="G140" s="8"/>
      <c r="H140" s="7"/>
      <c r="I140" s="7"/>
      <c r="J140" s="9"/>
      <c r="K140" s="8"/>
      <c r="L140" s="8"/>
      <c r="M140" s="8"/>
      <c r="N140" s="8"/>
      <c r="O140" s="8"/>
      <c r="P140" s="8"/>
      <c r="Q140" s="8"/>
      <c r="R140" s="8"/>
      <c r="S140" s="8"/>
      <c r="T140" s="8"/>
      <c r="U140" s="8"/>
      <c r="V140" s="8"/>
      <c r="W140" s="8"/>
      <c r="X140" s="8"/>
      <c r="Y140" s="8"/>
      <c r="Z140" s="8"/>
    </row>
    <row r="141">
      <c r="A141" s="7" t="s">
        <v>1031</v>
      </c>
      <c r="B141" s="7" t="s">
        <v>2474</v>
      </c>
      <c r="C141" s="7"/>
      <c r="D141" s="7">
        <v>6.5</v>
      </c>
      <c r="E141" s="8"/>
      <c r="F141" s="8"/>
      <c r="G141" s="8"/>
      <c r="H141" s="7"/>
      <c r="I141" s="7"/>
      <c r="J141" s="9"/>
      <c r="K141" s="8"/>
      <c r="L141" s="8"/>
      <c r="M141" s="8"/>
      <c r="N141" s="8"/>
      <c r="O141" s="8"/>
      <c r="P141" s="8"/>
      <c r="Q141" s="8"/>
      <c r="R141" s="8"/>
      <c r="S141" s="8"/>
      <c r="T141" s="8"/>
      <c r="U141" s="8"/>
      <c r="V141" s="8"/>
      <c r="W141" s="8"/>
      <c r="X141" s="8"/>
      <c r="Y141" s="8"/>
      <c r="Z141" s="8"/>
    </row>
    <row r="142">
      <c r="A142" s="7" t="s">
        <v>1031</v>
      </c>
      <c r="B142" s="7" t="s">
        <v>2475</v>
      </c>
      <c r="C142" s="8"/>
      <c r="D142" s="7">
        <v>4.5</v>
      </c>
      <c r="E142" s="8"/>
      <c r="F142" s="8"/>
      <c r="G142" s="8"/>
      <c r="H142" s="7"/>
      <c r="I142" s="7"/>
      <c r="J142" s="9"/>
      <c r="K142" s="8"/>
      <c r="L142" s="8"/>
      <c r="M142" s="8"/>
      <c r="N142" s="8"/>
      <c r="O142" s="8"/>
      <c r="P142" s="8"/>
      <c r="Q142" s="8"/>
      <c r="R142" s="8"/>
      <c r="S142" s="8"/>
      <c r="T142" s="8"/>
      <c r="U142" s="8"/>
      <c r="V142" s="8"/>
      <c r="W142" s="8"/>
      <c r="X142" s="8"/>
      <c r="Y142" s="8"/>
      <c r="Z142" s="8"/>
    </row>
    <row r="143">
      <c r="A143" s="7" t="s">
        <v>1031</v>
      </c>
      <c r="B143" s="7" t="s">
        <v>2476</v>
      </c>
      <c r="C143" s="8"/>
      <c r="D143" s="7">
        <v>4.5</v>
      </c>
      <c r="E143" s="8"/>
      <c r="F143" s="8"/>
      <c r="G143" s="8"/>
      <c r="H143" s="7"/>
      <c r="I143" s="7"/>
      <c r="J143" s="9"/>
      <c r="K143" s="8"/>
      <c r="L143" s="8"/>
      <c r="M143" s="8"/>
      <c r="N143" s="8"/>
      <c r="O143" s="8"/>
      <c r="P143" s="8"/>
      <c r="Q143" s="8"/>
      <c r="R143" s="8"/>
      <c r="S143" s="8"/>
      <c r="T143" s="8"/>
      <c r="U143" s="8"/>
      <c r="V143" s="8"/>
      <c r="W143" s="8"/>
      <c r="X143" s="8"/>
      <c r="Y143" s="8"/>
      <c r="Z143" s="8"/>
    </row>
    <row r="144">
      <c r="A144" s="7" t="s">
        <v>1031</v>
      </c>
      <c r="B144" s="7" t="s">
        <v>2477</v>
      </c>
      <c r="C144" s="8"/>
      <c r="D144" s="7">
        <v>2.5</v>
      </c>
      <c r="E144" s="8"/>
      <c r="F144" s="8"/>
      <c r="G144" s="8"/>
      <c r="H144" s="7"/>
      <c r="I144" s="7"/>
      <c r="J144" s="9"/>
      <c r="K144" s="8"/>
      <c r="L144" s="8"/>
      <c r="M144" s="8"/>
      <c r="N144" s="8"/>
      <c r="O144" s="8"/>
      <c r="P144" s="8"/>
      <c r="Q144" s="8"/>
      <c r="R144" s="8"/>
      <c r="S144" s="8"/>
      <c r="T144" s="8"/>
      <c r="U144" s="8"/>
      <c r="V144" s="8"/>
      <c r="W144" s="8"/>
      <c r="X144" s="8"/>
      <c r="Y144" s="8"/>
      <c r="Z144" s="8"/>
    </row>
    <row r="145">
      <c r="A145" s="7" t="s">
        <v>1031</v>
      </c>
      <c r="B145" s="7" t="s">
        <v>2478</v>
      </c>
      <c r="C145" s="8"/>
      <c r="D145" s="7">
        <v>0.0</v>
      </c>
      <c r="E145" s="8"/>
      <c r="F145" s="8"/>
      <c r="G145" s="8"/>
      <c r="H145" s="7"/>
      <c r="I145" s="7"/>
      <c r="J145" s="9"/>
      <c r="K145" s="8"/>
      <c r="L145" s="8"/>
      <c r="M145" s="8"/>
      <c r="N145" s="8"/>
      <c r="O145" s="8"/>
      <c r="P145" s="8"/>
      <c r="Q145" s="8"/>
      <c r="R145" s="8"/>
      <c r="S145" s="8"/>
      <c r="T145" s="8"/>
      <c r="U145" s="8"/>
      <c r="V145" s="8"/>
      <c r="W145" s="8"/>
      <c r="X145" s="8"/>
      <c r="Y145" s="8"/>
      <c r="Z145" s="8"/>
    </row>
    <row r="146">
      <c r="A146" s="7" t="s">
        <v>1031</v>
      </c>
      <c r="B146" s="7" t="s">
        <v>2479</v>
      </c>
      <c r="C146" s="8"/>
      <c r="D146" s="7">
        <v>3.5</v>
      </c>
      <c r="E146" s="8"/>
      <c r="F146" s="8"/>
      <c r="G146" s="8"/>
      <c r="H146" s="7"/>
      <c r="I146" s="7"/>
      <c r="J146" s="9"/>
      <c r="K146" s="8"/>
      <c r="L146" s="8"/>
      <c r="M146" s="8"/>
      <c r="N146" s="8"/>
      <c r="O146" s="8"/>
      <c r="P146" s="8"/>
      <c r="Q146" s="8"/>
      <c r="R146" s="8"/>
      <c r="S146" s="8"/>
      <c r="T146" s="8"/>
      <c r="U146" s="8"/>
      <c r="V146" s="8"/>
      <c r="W146" s="8"/>
      <c r="X146" s="8"/>
      <c r="Y146" s="8"/>
      <c r="Z146" s="8"/>
    </row>
    <row r="147">
      <c r="A147" s="7" t="s">
        <v>1031</v>
      </c>
      <c r="B147" s="7" t="s">
        <v>2480</v>
      </c>
      <c r="C147" s="8"/>
      <c r="D147" s="7">
        <v>3.5</v>
      </c>
      <c r="E147" s="8"/>
      <c r="F147" s="8"/>
      <c r="G147" s="8"/>
      <c r="H147" s="7"/>
      <c r="I147" s="7"/>
      <c r="J147" s="9"/>
      <c r="K147" s="8"/>
      <c r="L147" s="8"/>
      <c r="M147" s="8"/>
      <c r="N147" s="8"/>
      <c r="O147" s="8"/>
      <c r="P147" s="8"/>
      <c r="Q147" s="8"/>
      <c r="R147" s="8"/>
      <c r="S147" s="8"/>
      <c r="T147" s="8"/>
      <c r="U147" s="8"/>
      <c r="V147" s="8"/>
      <c r="W147" s="8"/>
      <c r="X147" s="8"/>
      <c r="Y147" s="8"/>
      <c r="Z147" s="8"/>
    </row>
    <row r="148">
      <c r="A148" s="7" t="s">
        <v>1031</v>
      </c>
      <c r="B148" s="7" t="s">
        <v>2481</v>
      </c>
      <c r="C148" s="8"/>
      <c r="D148" s="7">
        <v>8.5</v>
      </c>
      <c r="E148" s="8"/>
      <c r="F148" s="8"/>
      <c r="G148" s="8"/>
      <c r="H148" s="7"/>
      <c r="I148" s="7"/>
      <c r="J148" s="9"/>
      <c r="K148" s="8"/>
      <c r="L148" s="8"/>
      <c r="M148" s="8"/>
      <c r="N148" s="8"/>
      <c r="O148" s="8"/>
      <c r="P148" s="8"/>
      <c r="Q148" s="8"/>
      <c r="R148" s="8"/>
      <c r="S148" s="8"/>
      <c r="T148" s="8"/>
      <c r="U148" s="8"/>
      <c r="V148" s="8"/>
      <c r="W148" s="8"/>
      <c r="X148" s="8"/>
      <c r="Y148" s="8"/>
      <c r="Z148" s="8"/>
    </row>
    <row r="149">
      <c r="A149" s="7" t="s">
        <v>1031</v>
      </c>
      <c r="B149" s="7" t="s">
        <v>2482</v>
      </c>
      <c r="C149" s="8"/>
      <c r="D149" s="7">
        <v>3.0</v>
      </c>
      <c r="E149" s="8"/>
      <c r="F149" s="8"/>
      <c r="G149" s="8"/>
      <c r="H149" s="7">
        <v>10.0</v>
      </c>
      <c r="I149" s="22" t="s">
        <v>2483</v>
      </c>
      <c r="J149" s="9"/>
      <c r="K149" s="8"/>
      <c r="L149" s="8"/>
      <c r="M149" s="8"/>
      <c r="N149" s="8"/>
      <c r="O149" s="8"/>
      <c r="P149" s="8"/>
      <c r="Q149" s="8"/>
      <c r="R149" s="8"/>
      <c r="S149" s="8"/>
      <c r="T149" s="8"/>
      <c r="U149" s="8"/>
      <c r="V149" s="8"/>
      <c r="W149" s="8"/>
      <c r="X149" s="8"/>
      <c r="Y149" s="8"/>
      <c r="Z149" s="8"/>
    </row>
    <row r="150">
      <c r="A150" s="7" t="s">
        <v>1031</v>
      </c>
      <c r="B150" s="7" t="s">
        <v>2484</v>
      </c>
      <c r="C150" s="8"/>
      <c r="D150" s="7">
        <v>12.0</v>
      </c>
      <c r="E150" s="8"/>
      <c r="F150" s="8"/>
      <c r="G150" s="8"/>
      <c r="H150" s="7"/>
      <c r="I150" s="22" t="s">
        <v>2485</v>
      </c>
      <c r="J150" s="103" t="s">
        <v>2486</v>
      </c>
      <c r="K150" s="8"/>
      <c r="L150" s="8"/>
      <c r="M150" s="8"/>
      <c r="N150" s="8"/>
      <c r="O150" s="8"/>
      <c r="P150" s="8"/>
      <c r="Q150" s="8"/>
      <c r="R150" s="8"/>
      <c r="S150" s="8"/>
      <c r="T150" s="8"/>
      <c r="U150" s="8"/>
      <c r="V150" s="8"/>
      <c r="W150" s="8"/>
      <c r="X150" s="8"/>
      <c r="Y150" s="8"/>
      <c r="Z150" s="8"/>
    </row>
    <row r="151">
      <c r="A151" s="7" t="s">
        <v>1031</v>
      </c>
      <c r="B151" s="7" t="s">
        <v>2487</v>
      </c>
      <c r="C151" s="8"/>
      <c r="D151" s="7">
        <v>2.5</v>
      </c>
      <c r="E151" s="8"/>
      <c r="F151" s="8"/>
      <c r="G151" s="8"/>
      <c r="H151" s="7">
        <v>10.0</v>
      </c>
      <c r="I151" s="8"/>
      <c r="J151" s="9"/>
      <c r="K151" s="8"/>
      <c r="L151" s="8"/>
      <c r="M151" s="8"/>
      <c r="N151" s="8"/>
      <c r="O151" s="8"/>
      <c r="P151" s="8"/>
      <c r="Q151" s="8"/>
      <c r="R151" s="8"/>
      <c r="S151" s="8"/>
      <c r="T151" s="8"/>
      <c r="U151" s="8"/>
      <c r="V151" s="8"/>
      <c r="W151" s="8"/>
      <c r="X151" s="8"/>
      <c r="Y151" s="8"/>
      <c r="Z151" s="8"/>
    </row>
    <row r="152">
      <c r="A152" s="7" t="s">
        <v>1031</v>
      </c>
      <c r="B152" s="93" t="s">
        <v>2488</v>
      </c>
      <c r="C152" s="8"/>
      <c r="D152" s="7">
        <v>5.5</v>
      </c>
      <c r="E152" s="8"/>
      <c r="F152" s="8"/>
      <c r="G152" s="8"/>
      <c r="H152" s="7">
        <v>50.0</v>
      </c>
      <c r="I152" s="8"/>
      <c r="J152" s="9"/>
      <c r="K152" s="8"/>
      <c r="L152" s="8"/>
      <c r="M152" s="8"/>
      <c r="N152" s="8"/>
      <c r="O152" s="8"/>
      <c r="P152" s="8"/>
      <c r="Q152" s="8"/>
      <c r="R152" s="8"/>
      <c r="S152" s="8"/>
      <c r="T152" s="8"/>
      <c r="U152" s="8"/>
      <c r="V152" s="8"/>
      <c r="W152" s="8"/>
      <c r="X152" s="8"/>
      <c r="Y152" s="8"/>
      <c r="Z152" s="8"/>
    </row>
    <row r="153">
      <c r="A153" s="7" t="s">
        <v>1031</v>
      </c>
      <c r="B153" s="7" t="s">
        <v>2489</v>
      </c>
      <c r="C153" s="8"/>
      <c r="D153" s="7">
        <v>1.0</v>
      </c>
      <c r="E153" s="8"/>
      <c r="F153" s="8"/>
      <c r="G153" s="8"/>
      <c r="H153" s="8"/>
      <c r="I153" s="8"/>
      <c r="J153" s="9"/>
      <c r="K153" s="8"/>
      <c r="L153" s="8"/>
      <c r="M153" s="8"/>
      <c r="N153" s="8"/>
      <c r="O153" s="8"/>
      <c r="P153" s="8"/>
      <c r="Q153" s="8"/>
      <c r="R153" s="8"/>
      <c r="S153" s="8"/>
      <c r="T153" s="8"/>
      <c r="U153" s="8"/>
      <c r="V153" s="8"/>
      <c r="W153" s="8"/>
      <c r="X153" s="8"/>
      <c r="Y153" s="8"/>
      <c r="Z153" s="8"/>
    </row>
    <row r="154">
      <c r="A154" s="7" t="s">
        <v>1031</v>
      </c>
      <c r="B154" s="7" t="s">
        <v>2490</v>
      </c>
      <c r="C154" s="8"/>
      <c r="D154" s="7">
        <v>6.5</v>
      </c>
      <c r="E154" s="8"/>
      <c r="F154" s="8"/>
      <c r="G154" s="8"/>
      <c r="H154" s="8"/>
      <c r="I154" s="8"/>
      <c r="J154" s="9"/>
      <c r="K154" s="8"/>
      <c r="L154" s="8"/>
      <c r="M154" s="8"/>
      <c r="N154" s="8"/>
      <c r="O154" s="8"/>
      <c r="P154" s="8"/>
      <c r="Q154" s="8"/>
      <c r="R154" s="8"/>
      <c r="S154" s="8"/>
      <c r="T154" s="8"/>
      <c r="U154" s="8"/>
      <c r="V154" s="8"/>
      <c r="W154" s="8"/>
      <c r="X154" s="8"/>
      <c r="Y154" s="8"/>
      <c r="Z154" s="8"/>
    </row>
    <row r="155">
      <c r="A155" s="7" t="s">
        <v>1031</v>
      </c>
      <c r="B155" s="7" t="s">
        <v>2491</v>
      </c>
      <c r="C155" s="8"/>
      <c r="D155" s="7">
        <v>4.5</v>
      </c>
      <c r="E155" s="8"/>
      <c r="F155" s="8"/>
      <c r="G155" s="8"/>
      <c r="H155" s="8"/>
      <c r="I155" s="8"/>
      <c r="J155" s="9"/>
      <c r="K155" s="8"/>
      <c r="L155" s="8"/>
      <c r="M155" s="8"/>
      <c r="N155" s="8"/>
      <c r="O155" s="8"/>
      <c r="P155" s="8"/>
      <c r="Q155" s="8"/>
      <c r="R155" s="8"/>
      <c r="S155" s="8"/>
      <c r="T155" s="8"/>
      <c r="U155" s="8"/>
      <c r="V155" s="8"/>
      <c r="W155" s="8"/>
      <c r="X155" s="8"/>
      <c r="Y155" s="8"/>
      <c r="Z155" s="8"/>
    </row>
    <row r="156">
      <c r="A156" s="7" t="s">
        <v>1031</v>
      </c>
      <c r="B156" s="7" t="s">
        <v>2492</v>
      </c>
      <c r="C156" s="8"/>
      <c r="D156" s="7">
        <v>3.5</v>
      </c>
      <c r="E156" s="8"/>
      <c r="F156" s="8"/>
      <c r="G156" s="8"/>
      <c r="H156" s="7"/>
      <c r="I156" s="8"/>
      <c r="J156" s="9"/>
      <c r="K156" s="8"/>
      <c r="L156" s="8"/>
      <c r="M156" s="8"/>
      <c r="N156" s="8"/>
      <c r="O156" s="8"/>
      <c r="P156" s="8"/>
      <c r="Q156" s="8"/>
      <c r="R156" s="8"/>
      <c r="S156" s="8"/>
      <c r="T156" s="8"/>
      <c r="U156" s="8"/>
      <c r="V156" s="8"/>
      <c r="W156" s="8"/>
      <c r="X156" s="8"/>
      <c r="Y156" s="8"/>
      <c r="Z156" s="8"/>
    </row>
    <row r="157">
      <c r="A157" s="19" t="s">
        <v>1031</v>
      </c>
      <c r="B157" s="19" t="s">
        <v>2493</v>
      </c>
      <c r="C157" s="20"/>
      <c r="D157" s="19">
        <v>2.5</v>
      </c>
      <c r="E157" s="20"/>
      <c r="F157" s="20"/>
      <c r="G157" s="20"/>
      <c r="H157" s="19"/>
      <c r="I157" s="20"/>
      <c r="J157" s="21"/>
      <c r="K157" s="20"/>
      <c r="L157" s="20"/>
      <c r="M157" s="20"/>
      <c r="N157" s="20"/>
      <c r="O157" s="20"/>
      <c r="P157" s="20"/>
      <c r="Q157" s="20"/>
      <c r="R157" s="20"/>
      <c r="S157" s="20"/>
      <c r="T157" s="20"/>
      <c r="U157" s="20"/>
      <c r="V157" s="20"/>
      <c r="W157" s="20"/>
      <c r="X157" s="20"/>
      <c r="Y157" s="20"/>
      <c r="Z157" s="20"/>
    </row>
    <row r="158">
      <c r="A158" s="7" t="s">
        <v>1031</v>
      </c>
      <c r="B158" s="7" t="s">
        <v>2494</v>
      </c>
      <c r="C158" s="8"/>
      <c r="D158" s="7">
        <v>8.72</v>
      </c>
      <c r="E158" s="8"/>
      <c r="F158" s="8"/>
      <c r="G158" s="8"/>
      <c r="H158" s="7"/>
      <c r="I158" s="8"/>
      <c r="J158" s="9"/>
      <c r="K158" s="8"/>
      <c r="L158" s="8"/>
      <c r="M158" s="8"/>
      <c r="N158" s="8"/>
      <c r="O158" s="8"/>
      <c r="P158" s="8"/>
      <c r="Q158" s="8"/>
      <c r="R158" s="8"/>
      <c r="S158" s="8"/>
      <c r="T158" s="8"/>
      <c r="U158" s="8"/>
      <c r="V158" s="8"/>
      <c r="W158" s="8"/>
      <c r="X158" s="8"/>
      <c r="Y158" s="8"/>
      <c r="Z158" s="8"/>
    </row>
    <row r="159">
      <c r="A159" s="7" t="s">
        <v>1031</v>
      </c>
      <c r="B159" s="7" t="s">
        <v>2495</v>
      </c>
      <c r="C159" s="8"/>
      <c r="D159" s="7">
        <v>2.0</v>
      </c>
      <c r="E159" s="8"/>
      <c r="F159" s="8"/>
      <c r="G159" s="8"/>
      <c r="H159" s="7"/>
      <c r="I159" s="8"/>
      <c r="J159" s="9"/>
      <c r="K159" s="8"/>
      <c r="L159" s="8"/>
      <c r="M159" s="8"/>
      <c r="N159" s="8"/>
      <c r="O159" s="8"/>
      <c r="P159" s="8"/>
      <c r="Q159" s="8"/>
      <c r="R159" s="8"/>
      <c r="S159" s="8"/>
      <c r="T159" s="8"/>
      <c r="U159" s="8"/>
      <c r="V159" s="8"/>
      <c r="W159" s="8"/>
      <c r="X159" s="8"/>
      <c r="Y159" s="8"/>
      <c r="Z159" s="8"/>
    </row>
    <row r="160">
      <c r="A160" s="7" t="s">
        <v>1031</v>
      </c>
      <c r="B160" s="7" t="s">
        <v>2496</v>
      </c>
      <c r="C160" s="8"/>
      <c r="D160" s="7">
        <v>2.31</v>
      </c>
      <c r="E160" s="8"/>
      <c r="F160" s="8"/>
      <c r="G160" s="8"/>
      <c r="H160" s="7"/>
      <c r="I160" s="8"/>
      <c r="J160" s="9"/>
      <c r="K160" s="8"/>
      <c r="L160" s="8"/>
      <c r="M160" s="8"/>
      <c r="N160" s="8"/>
      <c r="O160" s="8"/>
      <c r="P160" s="8"/>
      <c r="Q160" s="8"/>
      <c r="R160" s="8"/>
      <c r="S160" s="8"/>
      <c r="T160" s="8"/>
      <c r="U160" s="8"/>
      <c r="V160" s="8"/>
      <c r="W160" s="8"/>
      <c r="X160" s="8"/>
      <c r="Y160" s="8"/>
      <c r="Z160" s="8"/>
    </row>
    <row r="161">
      <c r="A161" s="7" t="s">
        <v>1031</v>
      </c>
      <c r="B161" s="7" t="s">
        <v>2497</v>
      </c>
      <c r="C161" s="8"/>
      <c r="D161" s="7">
        <v>10.98</v>
      </c>
      <c r="E161" s="8"/>
      <c r="F161" s="8"/>
      <c r="G161" s="8"/>
      <c r="H161" s="7"/>
      <c r="I161" s="8"/>
      <c r="J161" s="9"/>
      <c r="K161" s="8"/>
      <c r="L161" s="8"/>
      <c r="M161" s="8"/>
      <c r="N161" s="8"/>
      <c r="O161" s="8"/>
      <c r="P161" s="8"/>
      <c r="Q161" s="8"/>
      <c r="R161" s="8"/>
      <c r="S161" s="8"/>
      <c r="T161" s="8"/>
      <c r="U161" s="8"/>
      <c r="V161" s="8"/>
      <c r="W161" s="8"/>
      <c r="X161" s="8"/>
      <c r="Y161" s="8"/>
      <c r="Z161" s="8"/>
    </row>
    <row r="162">
      <c r="A162" s="7" t="s">
        <v>1031</v>
      </c>
      <c r="B162" s="7" t="s">
        <v>2498</v>
      </c>
      <c r="C162" s="8"/>
      <c r="D162" s="7">
        <v>2.0</v>
      </c>
      <c r="E162" s="8"/>
      <c r="F162" s="8"/>
      <c r="G162" s="8"/>
      <c r="H162" s="7"/>
      <c r="I162" s="8"/>
      <c r="J162" s="9"/>
      <c r="K162" s="8"/>
      <c r="L162" s="8"/>
      <c r="M162" s="8"/>
      <c r="N162" s="8"/>
      <c r="O162" s="8"/>
      <c r="P162" s="8"/>
      <c r="Q162" s="8"/>
      <c r="R162" s="8"/>
      <c r="S162" s="8"/>
      <c r="T162" s="8"/>
      <c r="U162" s="8"/>
      <c r="V162" s="8"/>
      <c r="W162" s="8"/>
      <c r="X162" s="8"/>
      <c r="Y162" s="8"/>
      <c r="Z162" s="8"/>
    </row>
    <row r="163">
      <c r="A163" s="7" t="s">
        <v>2499</v>
      </c>
      <c r="B163" s="7" t="s">
        <v>2500</v>
      </c>
      <c r="C163" s="8"/>
      <c r="D163" s="7">
        <v>7.0</v>
      </c>
      <c r="E163" s="8"/>
      <c r="F163" s="8"/>
      <c r="G163" s="8"/>
      <c r="H163" s="8"/>
      <c r="I163" s="8"/>
      <c r="J163" s="9"/>
      <c r="K163" s="8"/>
      <c r="L163" s="8"/>
      <c r="M163" s="8"/>
      <c r="N163" s="8"/>
      <c r="O163" s="8"/>
      <c r="P163" s="8"/>
      <c r="Q163" s="8"/>
      <c r="R163" s="8"/>
      <c r="S163" s="8"/>
      <c r="T163" s="8"/>
      <c r="U163" s="8"/>
      <c r="V163" s="8"/>
      <c r="W163" s="8"/>
      <c r="X163" s="8"/>
      <c r="Y163" s="8"/>
      <c r="Z163" s="8"/>
    </row>
    <row r="164">
      <c r="A164" s="7" t="s">
        <v>2501</v>
      </c>
      <c r="B164" s="7" t="s">
        <v>2502</v>
      </c>
      <c r="C164" s="8"/>
      <c r="D164" s="7">
        <v>3.0</v>
      </c>
      <c r="E164" s="8"/>
      <c r="F164" s="8"/>
      <c r="G164" s="8"/>
      <c r="H164" s="8"/>
      <c r="I164" s="8"/>
      <c r="J164" s="9"/>
      <c r="K164" s="8"/>
      <c r="L164" s="8"/>
      <c r="M164" s="8"/>
      <c r="N164" s="8"/>
      <c r="O164" s="8"/>
      <c r="P164" s="8"/>
      <c r="Q164" s="8"/>
      <c r="R164" s="8"/>
      <c r="S164" s="8"/>
      <c r="T164" s="8"/>
      <c r="U164" s="8"/>
      <c r="V164" s="8"/>
      <c r="W164" s="8"/>
      <c r="X164" s="8"/>
      <c r="Y164" s="8"/>
      <c r="Z164" s="8"/>
    </row>
    <row r="165">
      <c r="A165" s="7" t="s">
        <v>2503</v>
      </c>
      <c r="B165" s="7" t="s">
        <v>2504</v>
      </c>
      <c r="C165" s="8"/>
      <c r="D165" s="7">
        <v>4.0</v>
      </c>
      <c r="E165" s="8"/>
      <c r="F165" s="8"/>
      <c r="G165" s="8"/>
      <c r="H165" s="8"/>
      <c r="I165" s="8"/>
      <c r="J165" s="9"/>
      <c r="K165" s="8"/>
      <c r="L165" s="8"/>
      <c r="M165" s="8"/>
      <c r="N165" s="8"/>
      <c r="O165" s="8"/>
      <c r="P165" s="8"/>
      <c r="Q165" s="8"/>
      <c r="R165" s="8"/>
      <c r="S165" s="8"/>
      <c r="T165" s="8"/>
      <c r="U165" s="8"/>
      <c r="V165" s="8"/>
      <c r="W165" s="8"/>
      <c r="X165" s="8"/>
      <c r="Y165" s="8"/>
      <c r="Z165" s="8"/>
    </row>
    <row r="166">
      <c r="A166" s="7" t="s">
        <v>2505</v>
      </c>
      <c r="B166" s="7" t="s">
        <v>2506</v>
      </c>
      <c r="C166" s="8"/>
      <c r="D166" s="7">
        <v>6.5</v>
      </c>
      <c r="E166" s="8"/>
      <c r="F166" s="8"/>
      <c r="G166" s="8"/>
      <c r="H166" s="8"/>
      <c r="I166" s="8"/>
      <c r="J166" s="9"/>
      <c r="K166" s="8"/>
      <c r="L166" s="8"/>
      <c r="M166" s="8"/>
      <c r="N166" s="8"/>
      <c r="O166" s="8"/>
      <c r="P166" s="8"/>
      <c r="Q166" s="8"/>
      <c r="R166" s="8"/>
      <c r="S166" s="8"/>
      <c r="T166" s="8"/>
      <c r="U166" s="8"/>
      <c r="V166" s="8"/>
      <c r="W166" s="8"/>
      <c r="X166" s="8"/>
      <c r="Y166" s="8"/>
      <c r="Z166" s="8"/>
    </row>
    <row r="167">
      <c r="A167" s="7" t="s">
        <v>2507</v>
      </c>
      <c r="B167" s="7" t="s">
        <v>2508</v>
      </c>
      <c r="C167" s="8"/>
      <c r="D167" s="7">
        <v>2.0</v>
      </c>
      <c r="E167" s="8"/>
      <c r="F167" s="8"/>
      <c r="G167" s="8"/>
      <c r="H167" s="8"/>
      <c r="I167" s="8"/>
      <c r="J167" s="9"/>
      <c r="K167" s="8"/>
      <c r="L167" s="8"/>
      <c r="M167" s="8"/>
      <c r="N167" s="8"/>
      <c r="O167" s="8"/>
      <c r="P167" s="8"/>
      <c r="Q167" s="8"/>
      <c r="R167" s="8"/>
      <c r="S167" s="8"/>
      <c r="T167" s="8"/>
      <c r="U167" s="8"/>
      <c r="V167" s="8"/>
      <c r="W167" s="8"/>
      <c r="X167" s="8"/>
      <c r="Y167" s="8"/>
      <c r="Z167" s="8"/>
    </row>
    <row r="168">
      <c r="A168" s="7" t="s">
        <v>2507</v>
      </c>
      <c r="B168" s="7" t="s">
        <v>2509</v>
      </c>
      <c r="C168" s="8"/>
      <c r="D168" s="7">
        <v>2.0</v>
      </c>
      <c r="E168" s="8"/>
      <c r="F168" s="8"/>
      <c r="G168" s="8"/>
      <c r="H168" s="8"/>
      <c r="I168" s="8"/>
      <c r="J168" s="9"/>
      <c r="K168" s="8"/>
      <c r="L168" s="8"/>
      <c r="M168" s="8"/>
      <c r="N168" s="8"/>
      <c r="O168" s="8"/>
      <c r="P168" s="8"/>
      <c r="Q168" s="8"/>
      <c r="R168" s="8"/>
      <c r="S168" s="8"/>
      <c r="T168" s="8"/>
      <c r="U168" s="8"/>
      <c r="V168" s="8"/>
      <c r="W168" s="8"/>
      <c r="X168" s="8"/>
      <c r="Y168" s="8"/>
      <c r="Z168" s="8"/>
    </row>
    <row r="169">
      <c r="A169" s="7" t="s">
        <v>2507</v>
      </c>
      <c r="B169" s="7" t="s">
        <v>2510</v>
      </c>
      <c r="C169" s="8"/>
      <c r="D169" s="7">
        <v>0.0</v>
      </c>
      <c r="E169" s="8"/>
      <c r="F169" s="8"/>
      <c r="G169" s="8"/>
      <c r="H169" s="8"/>
      <c r="I169" s="8"/>
      <c r="J169" s="9"/>
      <c r="K169" s="8"/>
      <c r="L169" s="8"/>
      <c r="M169" s="8"/>
      <c r="N169" s="8"/>
      <c r="O169" s="8"/>
      <c r="P169" s="8"/>
      <c r="Q169" s="8"/>
      <c r="R169" s="8"/>
      <c r="S169" s="8"/>
      <c r="T169" s="8"/>
      <c r="U169" s="8"/>
      <c r="V169" s="8"/>
      <c r="W169" s="8"/>
      <c r="X169" s="8"/>
      <c r="Y169" s="8"/>
      <c r="Z169" s="8"/>
    </row>
    <row r="170">
      <c r="A170" s="7" t="s">
        <v>2507</v>
      </c>
      <c r="B170" s="7" t="s">
        <v>2511</v>
      </c>
      <c r="C170" s="8"/>
      <c r="D170" s="7">
        <v>2.0</v>
      </c>
      <c r="E170" s="8"/>
      <c r="F170" s="8"/>
      <c r="G170" s="8"/>
      <c r="H170" s="8"/>
      <c r="I170" s="8"/>
      <c r="J170" s="9"/>
      <c r="K170" s="8"/>
      <c r="L170" s="8"/>
      <c r="M170" s="8"/>
      <c r="N170" s="8"/>
      <c r="O170" s="8"/>
      <c r="P170" s="8"/>
      <c r="Q170" s="8"/>
      <c r="R170" s="8"/>
      <c r="S170" s="8"/>
      <c r="T170" s="8"/>
      <c r="U170" s="8"/>
      <c r="V170" s="8"/>
      <c r="W170" s="8"/>
      <c r="X170" s="8"/>
      <c r="Y170" s="8"/>
      <c r="Z170" s="8"/>
    </row>
    <row r="171">
      <c r="A171" s="7" t="s">
        <v>2507</v>
      </c>
      <c r="B171" s="7" t="s">
        <v>2512</v>
      </c>
      <c r="C171" s="8"/>
      <c r="D171" s="7">
        <v>3.0</v>
      </c>
      <c r="E171" s="8"/>
      <c r="F171" s="8"/>
      <c r="G171" s="8"/>
      <c r="H171" s="8"/>
      <c r="I171" s="8"/>
      <c r="J171" s="9"/>
      <c r="K171" s="8"/>
      <c r="L171" s="8"/>
      <c r="M171" s="8"/>
      <c r="N171" s="8"/>
      <c r="O171" s="8"/>
      <c r="P171" s="8"/>
      <c r="Q171" s="8"/>
      <c r="R171" s="8"/>
      <c r="S171" s="8"/>
      <c r="T171" s="8"/>
      <c r="U171" s="8"/>
      <c r="V171" s="8"/>
      <c r="W171" s="8"/>
      <c r="X171" s="8"/>
      <c r="Y171" s="8"/>
      <c r="Z171" s="8"/>
    </row>
    <row r="172">
      <c r="A172" s="7" t="s">
        <v>2507</v>
      </c>
      <c r="B172" s="7" t="s">
        <v>2513</v>
      </c>
      <c r="C172" s="8"/>
      <c r="D172" s="7">
        <v>3.0</v>
      </c>
      <c r="E172" s="8"/>
      <c r="F172" s="8"/>
      <c r="G172" s="8"/>
      <c r="H172" s="8"/>
      <c r="I172" s="8"/>
      <c r="J172" s="9"/>
      <c r="K172" s="8"/>
      <c r="L172" s="8"/>
      <c r="M172" s="8"/>
      <c r="N172" s="8"/>
      <c r="O172" s="8"/>
      <c r="P172" s="8"/>
      <c r="Q172" s="8"/>
      <c r="R172" s="8"/>
      <c r="S172" s="8"/>
      <c r="T172" s="8"/>
      <c r="U172" s="8"/>
      <c r="V172" s="8"/>
      <c r="W172" s="8"/>
      <c r="X172" s="8"/>
      <c r="Y172" s="8"/>
      <c r="Z172" s="8"/>
    </row>
    <row r="173">
      <c r="A173" s="7" t="s">
        <v>2514</v>
      </c>
      <c r="B173" s="7" t="s">
        <v>2515</v>
      </c>
      <c r="C173" s="8"/>
      <c r="D173" s="7">
        <v>2.0</v>
      </c>
      <c r="E173" s="8"/>
      <c r="F173" s="8"/>
      <c r="G173" s="8"/>
      <c r="H173" s="7"/>
      <c r="I173" s="8"/>
      <c r="J173" s="9"/>
      <c r="K173" s="8"/>
      <c r="L173" s="8"/>
      <c r="M173" s="8"/>
      <c r="N173" s="8"/>
      <c r="O173" s="8"/>
      <c r="P173" s="8"/>
      <c r="Q173" s="8"/>
      <c r="R173" s="8"/>
      <c r="S173" s="8"/>
      <c r="T173" s="8"/>
      <c r="U173" s="8"/>
      <c r="V173" s="8"/>
      <c r="W173" s="8"/>
      <c r="X173" s="8"/>
      <c r="Y173" s="8"/>
      <c r="Z173" s="8"/>
    </row>
    <row r="174">
      <c r="A174" s="7" t="s">
        <v>2516</v>
      </c>
      <c r="B174" s="7" t="s">
        <v>2517</v>
      </c>
      <c r="C174" s="8"/>
      <c r="D174" s="7">
        <v>2.31</v>
      </c>
      <c r="E174" s="8"/>
      <c r="F174" s="8"/>
      <c r="G174" s="8"/>
      <c r="H174" s="7"/>
      <c r="I174" s="8"/>
      <c r="J174" s="9"/>
      <c r="K174" s="8"/>
      <c r="L174" s="8"/>
      <c r="M174" s="8"/>
      <c r="N174" s="8"/>
      <c r="O174" s="8"/>
      <c r="P174" s="8"/>
      <c r="Q174" s="8"/>
      <c r="R174" s="8"/>
      <c r="S174" s="8"/>
      <c r="T174" s="8"/>
      <c r="U174" s="8"/>
      <c r="V174" s="8"/>
      <c r="W174" s="8"/>
      <c r="X174" s="8"/>
      <c r="Y174" s="8"/>
      <c r="Z174" s="8"/>
    </row>
    <row r="175">
      <c r="A175" s="7" t="s">
        <v>2049</v>
      </c>
      <c r="B175" s="7" t="s">
        <v>2518</v>
      </c>
      <c r="C175" s="8"/>
      <c r="D175" s="7">
        <v>4.0</v>
      </c>
      <c r="E175" s="8"/>
      <c r="F175" s="8"/>
      <c r="G175" s="8"/>
      <c r="H175" s="7"/>
      <c r="I175" s="7"/>
      <c r="J175" s="9"/>
      <c r="K175" s="8"/>
      <c r="L175" s="8"/>
      <c r="M175" s="8"/>
      <c r="N175" s="8"/>
      <c r="O175" s="8"/>
      <c r="P175" s="8"/>
      <c r="Q175" s="8"/>
      <c r="R175" s="8"/>
      <c r="S175" s="8"/>
      <c r="T175" s="8"/>
      <c r="U175" s="8"/>
      <c r="V175" s="8"/>
      <c r="W175" s="8"/>
      <c r="X175" s="8"/>
      <c r="Y175" s="8"/>
      <c r="Z175" s="8"/>
    </row>
    <row r="176">
      <c r="A176" s="7" t="s">
        <v>2049</v>
      </c>
      <c r="B176" s="7" t="s">
        <v>2519</v>
      </c>
      <c r="C176" s="8"/>
      <c r="D176" s="7">
        <v>6.4</v>
      </c>
      <c r="E176" s="8"/>
      <c r="F176" s="8"/>
      <c r="G176" s="8"/>
      <c r="H176" s="7"/>
      <c r="I176" s="7"/>
      <c r="J176" s="9"/>
      <c r="K176" s="8"/>
      <c r="L176" s="8"/>
      <c r="M176" s="8"/>
      <c r="N176" s="8"/>
      <c r="O176" s="8"/>
      <c r="P176" s="8"/>
      <c r="Q176" s="8"/>
      <c r="R176" s="8"/>
      <c r="S176" s="8"/>
      <c r="T176" s="8"/>
      <c r="U176" s="8"/>
      <c r="V176" s="8"/>
      <c r="W176" s="8"/>
      <c r="X176" s="8"/>
      <c r="Y176" s="8"/>
      <c r="Z176" s="8"/>
    </row>
    <row r="177">
      <c r="A177" s="7" t="s">
        <v>2520</v>
      </c>
      <c r="B177" s="7" t="s">
        <v>2521</v>
      </c>
      <c r="C177" s="8"/>
      <c r="D177" s="7">
        <v>1.25</v>
      </c>
      <c r="E177" s="8"/>
      <c r="F177" s="8"/>
      <c r="G177" s="8"/>
      <c r="H177" s="8"/>
      <c r="I177" s="8"/>
      <c r="J177" s="8"/>
      <c r="K177" s="8"/>
      <c r="L177" s="8"/>
      <c r="M177" s="8"/>
      <c r="N177" s="8"/>
      <c r="O177" s="8"/>
      <c r="P177" s="8"/>
      <c r="Q177" s="8"/>
      <c r="R177" s="8"/>
      <c r="S177" s="8"/>
      <c r="T177" s="8"/>
      <c r="U177" s="8"/>
      <c r="V177" s="8"/>
      <c r="W177" s="8"/>
      <c r="X177" s="8"/>
      <c r="Y177" s="8"/>
      <c r="Z177" s="8"/>
    </row>
    <row r="178">
      <c r="B178" s="83"/>
      <c r="D178" s="84"/>
      <c r="E178" s="84"/>
      <c r="F178" s="84"/>
      <c r="G178" s="84"/>
      <c r="H178" s="85"/>
      <c r="J178" s="86"/>
    </row>
    <row r="179">
      <c r="J179" s="6"/>
    </row>
    <row r="180">
      <c r="J180" s="6"/>
    </row>
    <row r="181">
      <c r="J181" s="6"/>
    </row>
    <row r="182">
      <c r="A182" s="23" t="s">
        <v>1031</v>
      </c>
      <c r="B182" s="23" t="s">
        <v>2522</v>
      </c>
      <c r="C182" s="24"/>
      <c r="D182" s="23">
        <v>6.0</v>
      </c>
      <c r="E182" s="24"/>
      <c r="F182" s="24"/>
      <c r="G182" s="23" t="s">
        <v>1104</v>
      </c>
      <c r="H182" s="24"/>
      <c r="I182" s="24"/>
      <c r="J182" s="25"/>
      <c r="K182" s="24"/>
      <c r="L182" s="24"/>
      <c r="M182" s="24"/>
      <c r="N182" s="24"/>
      <c r="O182" s="24"/>
      <c r="P182" s="24"/>
      <c r="Q182" s="24"/>
      <c r="R182" s="24"/>
      <c r="S182" s="24"/>
      <c r="T182" s="24"/>
      <c r="U182" s="24"/>
      <c r="V182" s="24"/>
      <c r="W182" s="24"/>
      <c r="X182" s="24"/>
      <c r="Y182" s="24"/>
      <c r="Z182" s="24"/>
    </row>
    <row r="183">
      <c r="A183" s="23" t="s">
        <v>2523</v>
      </c>
      <c r="B183" s="23" t="s">
        <v>2524</v>
      </c>
      <c r="C183" s="24"/>
      <c r="D183" s="23">
        <v>2.5</v>
      </c>
      <c r="E183" s="24"/>
      <c r="F183" s="24"/>
      <c r="G183" s="23" t="s">
        <v>1104</v>
      </c>
      <c r="H183" s="23">
        <v>15.0</v>
      </c>
      <c r="I183" s="24"/>
      <c r="J183" s="25"/>
      <c r="K183" s="24"/>
      <c r="L183" s="24"/>
      <c r="M183" s="24"/>
      <c r="N183" s="24"/>
      <c r="O183" s="24"/>
      <c r="P183" s="24"/>
      <c r="Q183" s="24"/>
      <c r="R183" s="24"/>
      <c r="S183" s="24"/>
      <c r="T183" s="24"/>
      <c r="U183" s="24"/>
      <c r="V183" s="24"/>
      <c r="W183" s="24"/>
      <c r="X183" s="24"/>
      <c r="Y183" s="24"/>
      <c r="Z183" s="24"/>
    </row>
    <row r="184">
      <c r="A184" s="23" t="s">
        <v>1031</v>
      </c>
      <c r="B184" s="23" t="s">
        <v>2525</v>
      </c>
      <c r="C184" s="24"/>
      <c r="D184" s="23">
        <v>4.5</v>
      </c>
      <c r="E184" s="24"/>
      <c r="F184" s="24"/>
      <c r="G184" s="23" t="s">
        <v>1104</v>
      </c>
      <c r="H184" s="24"/>
      <c r="I184" s="24"/>
      <c r="J184" s="25"/>
      <c r="K184" s="24"/>
      <c r="L184" s="24"/>
      <c r="M184" s="24"/>
      <c r="N184" s="24"/>
      <c r="O184" s="24"/>
      <c r="P184" s="24"/>
      <c r="Q184" s="24"/>
      <c r="R184" s="24"/>
      <c r="S184" s="24"/>
      <c r="T184" s="24"/>
      <c r="U184" s="24"/>
      <c r="V184" s="24"/>
      <c r="W184" s="24"/>
      <c r="X184" s="24"/>
      <c r="Y184" s="24"/>
      <c r="Z184" s="24"/>
    </row>
    <row r="185">
      <c r="A185" s="23" t="s">
        <v>2526</v>
      </c>
      <c r="B185" s="23" t="s">
        <v>2527</v>
      </c>
      <c r="C185" s="24"/>
      <c r="D185" s="23">
        <v>5.0</v>
      </c>
      <c r="E185" s="24"/>
      <c r="F185" s="24"/>
      <c r="G185" s="23" t="s">
        <v>1104</v>
      </c>
      <c r="H185" s="24"/>
      <c r="I185" s="24"/>
      <c r="J185" s="25"/>
      <c r="K185" s="24"/>
      <c r="L185" s="24"/>
      <c r="M185" s="24"/>
      <c r="N185" s="24"/>
      <c r="O185" s="24"/>
      <c r="P185" s="24"/>
      <c r="Q185" s="24"/>
      <c r="R185" s="24"/>
      <c r="S185" s="24"/>
      <c r="T185" s="24"/>
      <c r="U185" s="24"/>
      <c r="V185" s="24"/>
      <c r="W185" s="24"/>
      <c r="X185" s="24"/>
      <c r="Y185" s="24"/>
      <c r="Z185" s="24"/>
    </row>
    <row r="186">
      <c r="A186" s="23" t="s">
        <v>2360</v>
      </c>
      <c r="B186" s="23" t="s">
        <v>2528</v>
      </c>
      <c r="C186" s="23" t="s">
        <v>2529</v>
      </c>
      <c r="D186" s="23">
        <v>7.5</v>
      </c>
      <c r="E186" s="24"/>
      <c r="F186" s="24"/>
      <c r="G186" s="23" t="s">
        <v>1104</v>
      </c>
      <c r="H186" s="23">
        <v>40.0</v>
      </c>
      <c r="I186" s="104" t="s">
        <v>2530</v>
      </c>
      <c r="J186" s="105" t="s">
        <v>2531</v>
      </c>
      <c r="K186" s="24"/>
      <c r="L186" s="24"/>
      <c r="M186" s="24"/>
      <c r="N186" s="24"/>
      <c r="O186" s="24"/>
      <c r="P186" s="24"/>
      <c r="Q186" s="24"/>
      <c r="R186" s="24"/>
      <c r="S186" s="24"/>
      <c r="T186" s="24"/>
      <c r="U186" s="24"/>
      <c r="V186" s="24"/>
      <c r="W186" s="24"/>
      <c r="X186" s="24"/>
      <c r="Y186" s="24"/>
      <c r="Z186" s="24"/>
    </row>
    <row r="187">
      <c r="A187" s="23" t="s">
        <v>2300</v>
      </c>
      <c r="B187" s="23" t="s">
        <v>2429</v>
      </c>
      <c r="C187" s="23" t="s">
        <v>2532</v>
      </c>
      <c r="D187" s="23">
        <v>3.5</v>
      </c>
      <c r="E187" s="24"/>
      <c r="F187" s="24"/>
      <c r="G187" s="23" t="s">
        <v>1104</v>
      </c>
      <c r="H187" s="23">
        <v>25.0</v>
      </c>
      <c r="I187" s="23" t="s">
        <v>2533</v>
      </c>
      <c r="J187" s="105" t="s">
        <v>2534</v>
      </c>
      <c r="K187" s="24"/>
      <c r="L187" s="24"/>
      <c r="M187" s="24"/>
      <c r="N187" s="24"/>
      <c r="O187" s="24"/>
      <c r="P187" s="24"/>
      <c r="Q187" s="24"/>
      <c r="R187" s="24"/>
      <c r="S187" s="24"/>
      <c r="T187" s="24"/>
      <c r="U187" s="24"/>
      <c r="V187" s="24"/>
      <c r="W187" s="24"/>
      <c r="X187" s="24"/>
      <c r="Y187" s="24"/>
      <c r="Z187" s="24"/>
    </row>
    <row r="188">
      <c r="A188" s="23" t="s">
        <v>2535</v>
      </c>
      <c r="B188" s="23" t="s">
        <v>2536</v>
      </c>
      <c r="C188" s="24"/>
      <c r="D188" s="23">
        <v>3.5</v>
      </c>
      <c r="E188" s="24"/>
      <c r="F188" s="24"/>
      <c r="G188" s="23" t="s">
        <v>1104</v>
      </c>
      <c r="H188" s="24"/>
      <c r="I188" s="24"/>
      <c r="J188" s="25"/>
      <c r="K188" s="24"/>
      <c r="L188" s="24"/>
      <c r="M188" s="24"/>
      <c r="N188" s="24"/>
      <c r="O188" s="24"/>
      <c r="P188" s="24"/>
      <c r="Q188" s="24"/>
      <c r="R188" s="24"/>
      <c r="S188" s="24"/>
      <c r="T188" s="24"/>
      <c r="U188" s="24"/>
      <c r="V188" s="24"/>
      <c r="W188" s="24"/>
      <c r="X188" s="24"/>
      <c r="Y188" s="24"/>
      <c r="Z188" s="24"/>
    </row>
    <row r="189">
      <c r="A189" s="23" t="s">
        <v>1031</v>
      </c>
      <c r="B189" s="23" t="s">
        <v>2537</v>
      </c>
      <c r="C189" s="24"/>
      <c r="D189" s="23">
        <v>4.5</v>
      </c>
      <c r="E189" s="24"/>
      <c r="F189" s="24"/>
      <c r="G189" s="23" t="s">
        <v>1104</v>
      </c>
      <c r="H189" s="24"/>
      <c r="I189" s="24"/>
      <c r="J189" s="25"/>
      <c r="K189" s="24"/>
      <c r="L189" s="24"/>
      <c r="M189" s="24"/>
      <c r="N189" s="24"/>
      <c r="O189" s="24"/>
      <c r="P189" s="24"/>
      <c r="Q189" s="24"/>
      <c r="R189" s="24"/>
      <c r="S189" s="24"/>
      <c r="T189" s="24"/>
      <c r="U189" s="24"/>
      <c r="V189" s="24"/>
      <c r="W189" s="24"/>
      <c r="X189" s="24"/>
      <c r="Y189" s="24"/>
      <c r="Z189" s="24"/>
    </row>
    <row r="190">
      <c r="A190" s="23" t="s">
        <v>1031</v>
      </c>
      <c r="B190" s="23" t="s">
        <v>2538</v>
      </c>
      <c r="C190" s="23"/>
      <c r="D190" s="23">
        <v>1.25</v>
      </c>
      <c r="E190" s="24"/>
      <c r="F190" s="24"/>
      <c r="G190" s="23" t="s">
        <v>1104</v>
      </c>
      <c r="H190" s="23"/>
      <c r="I190" s="23"/>
      <c r="J190" s="25"/>
      <c r="K190" s="24"/>
      <c r="L190" s="24"/>
      <c r="M190" s="24"/>
      <c r="N190" s="24"/>
      <c r="O190" s="24"/>
      <c r="P190" s="24"/>
      <c r="Q190" s="24"/>
      <c r="R190" s="24"/>
      <c r="S190" s="24"/>
      <c r="T190" s="24"/>
      <c r="U190" s="24"/>
      <c r="V190" s="24"/>
      <c r="W190" s="24"/>
      <c r="X190" s="24"/>
      <c r="Y190" s="24"/>
      <c r="Z190" s="24"/>
    </row>
    <row r="191">
      <c r="A191" s="23" t="s">
        <v>2300</v>
      </c>
      <c r="B191" s="23" t="s">
        <v>2539</v>
      </c>
      <c r="C191" s="24"/>
      <c r="D191" s="23">
        <v>12.0</v>
      </c>
      <c r="E191" s="24"/>
      <c r="F191" s="24"/>
      <c r="G191" s="24"/>
      <c r="H191" s="24"/>
      <c r="I191" s="24"/>
      <c r="J191" s="25"/>
      <c r="K191" s="24"/>
      <c r="L191" s="24"/>
      <c r="M191" s="24"/>
      <c r="N191" s="24"/>
      <c r="O191" s="24"/>
      <c r="P191" s="24"/>
      <c r="Q191" s="24"/>
      <c r="R191" s="24"/>
      <c r="S191" s="24"/>
      <c r="T191" s="24"/>
      <c r="U191" s="24"/>
      <c r="V191" s="24"/>
      <c r="W191" s="24"/>
      <c r="X191" s="24"/>
      <c r="Y191" s="24"/>
      <c r="Z191" s="24"/>
    </row>
    <row r="192">
      <c r="A192" s="23" t="s">
        <v>2300</v>
      </c>
      <c r="B192" s="23" t="s">
        <v>2540</v>
      </c>
      <c r="C192" s="24"/>
      <c r="D192" s="23">
        <v>2.5</v>
      </c>
      <c r="E192" s="24"/>
      <c r="F192" s="24"/>
      <c r="G192" s="24"/>
      <c r="H192" s="24"/>
      <c r="I192" s="24"/>
      <c r="J192" s="25"/>
      <c r="K192" s="24"/>
      <c r="L192" s="24"/>
      <c r="M192" s="24"/>
      <c r="N192" s="24"/>
      <c r="O192" s="24"/>
      <c r="P192" s="24"/>
      <c r="Q192" s="24"/>
      <c r="R192" s="24"/>
      <c r="S192" s="24"/>
      <c r="T192" s="24"/>
      <c r="U192" s="24"/>
      <c r="V192" s="24"/>
      <c r="W192" s="24"/>
      <c r="X192" s="24"/>
      <c r="Y192" s="24"/>
      <c r="Z192" s="24"/>
    </row>
    <row r="193">
      <c r="J193" s="6"/>
    </row>
    <row r="194">
      <c r="J194" s="6"/>
    </row>
    <row r="195">
      <c r="J195" s="6"/>
    </row>
    <row r="196">
      <c r="J196" s="6"/>
    </row>
    <row r="197">
      <c r="J197" s="6"/>
    </row>
    <row r="198">
      <c r="J198" s="6"/>
    </row>
    <row r="199">
      <c r="J199" s="6"/>
    </row>
    <row r="200">
      <c r="J200" s="6"/>
    </row>
    <row r="201">
      <c r="J201" s="6"/>
    </row>
    <row r="202">
      <c r="J202" s="6"/>
    </row>
    <row r="203">
      <c r="J203" s="6"/>
    </row>
    <row r="204">
      <c r="J204" s="6"/>
    </row>
    <row r="205">
      <c r="J205" s="6"/>
    </row>
    <row r="206">
      <c r="J206" s="6"/>
    </row>
    <row r="207">
      <c r="J207" s="6"/>
    </row>
    <row r="208">
      <c r="J208" s="6"/>
    </row>
    <row r="209">
      <c r="J209" s="6"/>
    </row>
    <row r="210">
      <c r="J210" s="6"/>
    </row>
    <row r="211">
      <c r="J211" s="6"/>
    </row>
    <row r="212">
      <c r="J212" s="6"/>
    </row>
    <row r="213">
      <c r="J213" s="6"/>
    </row>
    <row r="214">
      <c r="J214" s="6"/>
    </row>
    <row r="215">
      <c r="J215" s="6"/>
    </row>
    <row r="216">
      <c r="J216" s="6"/>
    </row>
    <row r="217">
      <c r="J217" s="6"/>
    </row>
    <row r="218">
      <c r="J218" s="6"/>
    </row>
    <row r="219">
      <c r="J219" s="6"/>
    </row>
    <row r="220">
      <c r="J220" s="6"/>
    </row>
    <row r="221">
      <c r="J221" s="6"/>
    </row>
    <row r="222">
      <c r="J222" s="6"/>
    </row>
    <row r="223">
      <c r="J223" s="6"/>
    </row>
    <row r="224">
      <c r="J224" s="6"/>
    </row>
    <row r="225">
      <c r="J225" s="6"/>
    </row>
    <row r="226">
      <c r="J226" s="6"/>
    </row>
    <row r="227">
      <c r="J227" s="6"/>
    </row>
    <row r="228">
      <c r="J228" s="6"/>
    </row>
    <row r="229">
      <c r="J229" s="6"/>
    </row>
    <row r="230">
      <c r="J230" s="6"/>
    </row>
    <row r="231">
      <c r="J231" s="6"/>
    </row>
    <row r="232">
      <c r="J232" s="6"/>
    </row>
    <row r="233">
      <c r="J233" s="6"/>
    </row>
    <row r="234">
      <c r="J234" s="6"/>
    </row>
    <row r="235">
      <c r="J235" s="6"/>
    </row>
    <row r="236">
      <c r="J236" s="6"/>
    </row>
    <row r="237">
      <c r="J237" s="6"/>
    </row>
    <row r="238">
      <c r="J238" s="6"/>
    </row>
    <row r="239">
      <c r="J239" s="6"/>
    </row>
    <row r="240">
      <c r="J240" s="6"/>
    </row>
    <row r="241">
      <c r="J241" s="6"/>
    </row>
    <row r="242">
      <c r="J242" s="6"/>
    </row>
    <row r="243">
      <c r="J243" s="6"/>
    </row>
    <row r="244">
      <c r="J244" s="6"/>
    </row>
    <row r="245">
      <c r="J245" s="6"/>
    </row>
    <row r="246">
      <c r="J246" s="6"/>
    </row>
    <row r="247">
      <c r="J247" s="6"/>
    </row>
    <row r="248">
      <c r="J248" s="6"/>
    </row>
    <row r="249">
      <c r="J249" s="6"/>
    </row>
    <row r="250">
      <c r="J250" s="6"/>
    </row>
    <row r="251">
      <c r="J251" s="6"/>
    </row>
    <row r="252">
      <c r="J252" s="6"/>
    </row>
    <row r="253">
      <c r="J253" s="6"/>
    </row>
    <row r="254">
      <c r="J254" s="6"/>
    </row>
    <row r="255">
      <c r="J255" s="6"/>
    </row>
    <row r="256">
      <c r="J256" s="6"/>
    </row>
    <row r="257">
      <c r="J257" s="6"/>
    </row>
    <row r="258">
      <c r="J258" s="6"/>
    </row>
    <row r="259">
      <c r="J259" s="6"/>
    </row>
    <row r="260">
      <c r="J260" s="6"/>
    </row>
    <row r="261">
      <c r="J261" s="6"/>
    </row>
    <row r="262">
      <c r="J262" s="6"/>
    </row>
    <row r="263">
      <c r="J263" s="6"/>
    </row>
    <row r="264">
      <c r="J264" s="6"/>
    </row>
    <row r="265">
      <c r="J265" s="6"/>
    </row>
    <row r="266">
      <c r="J266" s="6"/>
    </row>
    <row r="267">
      <c r="J267" s="6"/>
    </row>
    <row r="268">
      <c r="J268" s="6"/>
    </row>
    <row r="269">
      <c r="J269" s="6"/>
    </row>
    <row r="270">
      <c r="J270" s="6"/>
    </row>
    <row r="271">
      <c r="J271" s="6"/>
    </row>
    <row r="272">
      <c r="J272" s="6"/>
    </row>
    <row r="273">
      <c r="J273" s="6"/>
    </row>
    <row r="274">
      <c r="J274" s="6"/>
    </row>
    <row r="275">
      <c r="J275" s="6"/>
    </row>
    <row r="276">
      <c r="J276" s="6"/>
    </row>
    <row r="277">
      <c r="J277" s="6"/>
    </row>
    <row r="278">
      <c r="J278" s="6"/>
    </row>
    <row r="279">
      <c r="J279" s="6"/>
    </row>
    <row r="280">
      <c r="J280" s="6"/>
    </row>
    <row r="281">
      <c r="J281" s="6"/>
    </row>
    <row r="282">
      <c r="J282" s="6"/>
    </row>
    <row r="283">
      <c r="J283" s="6"/>
    </row>
    <row r="284">
      <c r="J284" s="6"/>
    </row>
    <row r="285">
      <c r="J285" s="6"/>
    </row>
    <row r="286">
      <c r="J286" s="6"/>
    </row>
    <row r="287">
      <c r="J287" s="6"/>
    </row>
    <row r="288">
      <c r="J288" s="6"/>
    </row>
    <row r="289">
      <c r="J289" s="6"/>
    </row>
    <row r="290">
      <c r="J290" s="6"/>
    </row>
    <row r="291">
      <c r="J291" s="6"/>
    </row>
    <row r="292">
      <c r="J292" s="6"/>
    </row>
    <row r="293">
      <c r="J293" s="6"/>
    </row>
    <row r="294">
      <c r="J294" s="6"/>
    </row>
    <row r="295">
      <c r="J295" s="6"/>
    </row>
    <row r="296">
      <c r="J296" s="6"/>
    </row>
    <row r="297">
      <c r="J297" s="6"/>
    </row>
    <row r="298">
      <c r="J298" s="6"/>
    </row>
    <row r="299">
      <c r="J299" s="6"/>
    </row>
    <row r="300">
      <c r="J300" s="6"/>
    </row>
    <row r="301">
      <c r="J301" s="6"/>
    </row>
    <row r="302">
      <c r="J302" s="6"/>
    </row>
    <row r="303">
      <c r="J303" s="6"/>
    </row>
    <row r="304">
      <c r="J304" s="6"/>
    </row>
    <row r="305">
      <c r="J305" s="6"/>
    </row>
    <row r="306">
      <c r="J306" s="6"/>
    </row>
    <row r="307">
      <c r="J307" s="6"/>
    </row>
    <row r="308">
      <c r="J308" s="6"/>
    </row>
    <row r="309">
      <c r="J309" s="6"/>
    </row>
    <row r="310">
      <c r="J310" s="6"/>
    </row>
    <row r="311">
      <c r="J311" s="6"/>
    </row>
    <row r="312">
      <c r="J312" s="6"/>
    </row>
    <row r="313">
      <c r="J313" s="6"/>
    </row>
    <row r="314">
      <c r="J314" s="6"/>
    </row>
    <row r="315">
      <c r="J315" s="6"/>
    </row>
    <row r="316">
      <c r="J316" s="6"/>
    </row>
    <row r="317">
      <c r="J317" s="6"/>
    </row>
    <row r="318">
      <c r="J318" s="6"/>
    </row>
    <row r="319">
      <c r="J319" s="6"/>
    </row>
    <row r="320">
      <c r="J320" s="6"/>
    </row>
    <row r="321">
      <c r="J321" s="6"/>
    </row>
    <row r="322">
      <c r="J322" s="6"/>
    </row>
    <row r="323">
      <c r="J323" s="6"/>
    </row>
    <row r="324">
      <c r="J324" s="6"/>
    </row>
    <row r="325">
      <c r="J325" s="6"/>
    </row>
    <row r="326">
      <c r="J326" s="6"/>
    </row>
    <row r="327">
      <c r="J327" s="6"/>
    </row>
    <row r="328">
      <c r="J328" s="6"/>
    </row>
    <row r="329">
      <c r="J329" s="6"/>
    </row>
    <row r="330">
      <c r="J330" s="6"/>
    </row>
    <row r="331">
      <c r="J331" s="6"/>
    </row>
    <row r="332">
      <c r="J332" s="6"/>
    </row>
    <row r="333">
      <c r="J333" s="6"/>
    </row>
    <row r="334">
      <c r="J334" s="6"/>
    </row>
    <row r="335">
      <c r="J335" s="6"/>
    </row>
    <row r="336">
      <c r="J336" s="6"/>
    </row>
    <row r="337">
      <c r="J337" s="6"/>
    </row>
    <row r="338">
      <c r="J338" s="6"/>
    </row>
    <row r="339">
      <c r="J339" s="6"/>
    </row>
    <row r="340">
      <c r="J340" s="6"/>
    </row>
    <row r="341">
      <c r="J341" s="6"/>
    </row>
    <row r="342">
      <c r="J342" s="6"/>
    </row>
    <row r="343">
      <c r="J343" s="6"/>
    </row>
    <row r="344">
      <c r="J344" s="6"/>
    </row>
    <row r="345">
      <c r="J345" s="6"/>
    </row>
    <row r="346">
      <c r="J346" s="6"/>
    </row>
    <row r="347">
      <c r="J347" s="6"/>
    </row>
    <row r="348">
      <c r="J348" s="6"/>
    </row>
    <row r="349">
      <c r="J349" s="6"/>
    </row>
    <row r="350">
      <c r="J350" s="6"/>
    </row>
    <row r="351">
      <c r="J351" s="6"/>
    </row>
    <row r="352">
      <c r="J352" s="6"/>
    </row>
    <row r="353">
      <c r="J353" s="6"/>
    </row>
    <row r="354">
      <c r="J354" s="6"/>
    </row>
    <row r="355">
      <c r="J355" s="6"/>
    </row>
    <row r="356">
      <c r="J356" s="6"/>
    </row>
    <row r="357">
      <c r="J357" s="6"/>
    </row>
    <row r="358">
      <c r="J358" s="6"/>
    </row>
    <row r="359">
      <c r="J359" s="6"/>
    </row>
    <row r="360">
      <c r="J360" s="6"/>
    </row>
    <row r="361">
      <c r="J361" s="6"/>
    </row>
    <row r="362">
      <c r="J362" s="6"/>
    </row>
    <row r="363">
      <c r="J363" s="6"/>
    </row>
    <row r="364">
      <c r="J364" s="6"/>
    </row>
    <row r="365">
      <c r="J365" s="6"/>
    </row>
    <row r="366">
      <c r="J366" s="6"/>
    </row>
    <row r="367">
      <c r="J367" s="6"/>
    </row>
    <row r="368">
      <c r="J368" s="6"/>
    </row>
    <row r="369">
      <c r="J369" s="6"/>
    </row>
    <row r="370">
      <c r="J370" s="6"/>
    </row>
    <row r="371">
      <c r="J371" s="6"/>
    </row>
    <row r="372">
      <c r="J372" s="6"/>
    </row>
    <row r="373">
      <c r="J373" s="6"/>
    </row>
    <row r="374">
      <c r="J374" s="6"/>
    </row>
    <row r="375">
      <c r="J375" s="6"/>
    </row>
    <row r="376">
      <c r="J376" s="6"/>
    </row>
    <row r="377">
      <c r="J377" s="6"/>
    </row>
    <row r="378">
      <c r="J378" s="6"/>
    </row>
    <row r="379">
      <c r="J379" s="6"/>
    </row>
    <row r="380">
      <c r="J380" s="6"/>
    </row>
    <row r="381">
      <c r="J381" s="6"/>
    </row>
    <row r="382">
      <c r="J382" s="6"/>
    </row>
    <row r="383">
      <c r="J383" s="6"/>
    </row>
    <row r="384">
      <c r="J384" s="6"/>
    </row>
    <row r="385">
      <c r="J385" s="6"/>
    </row>
    <row r="386">
      <c r="J386" s="6"/>
    </row>
    <row r="387">
      <c r="J387" s="6"/>
    </row>
    <row r="388">
      <c r="J388" s="6"/>
    </row>
    <row r="389">
      <c r="J389" s="6"/>
    </row>
    <row r="390">
      <c r="J390" s="6"/>
    </row>
    <row r="391">
      <c r="J391" s="6"/>
    </row>
    <row r="392">
      <c r="J392" s="6"/>
    </row>
    <row r="393">
      <c r="J393" s="6"/>
    </row>
    <row r="394">
      <c r="J394" s="6"/>
    </row>
    <row r="395">
      <c r="J395" s="6"/>
    </row>
    <row r="396">
      <c r="J396" s="6"/>
    </row>
    <row r="397">
      <c r="J397" s="6"/>
    </row>
    <row r="398">
      <c r="J398" s="6"/>
    </row>
    <row r="399">
      <c r="J399" s="6"/>
    </row>
    <row r="400">
      <c r="J400" s="6"/>
    </row>
    <row r="401">
      <c r="J401" s="6"/>
    </row>
    <row r="402">
      <c r="J402" s="6"/>
    </row>
    <row r="403">
      <c r="J403" s="6"/>
    </row>
    <row r="404">
      <c r="J404" s="6"/>
    </row>
    <row r="405">
      <c r="J405" s="6"/>
    </row>
    <row r="406">
      <c r="J406" s="6"/>
    </row>
    <row r="407">
      <c r="J407" s="6"/>
    </row>
    <row r="408">
      <c r="J408" s="6"/>
    </row>
    <row r="409">
      <c r="J409" s="6"/>
    </row>
    <row r="410">
      <c r="J410" s="6"/>
    </row>
    <row r="411">
      <c r="J411" s="6"/>
    </row>
    <row r="412">
      <c r="J412" s="6"/>
    </row>
    <row r="413">
      <c r="J413" s="6"/>
    </row>
    <row r="414">
      <c r="J414" s="6"/>
    </row>
    <row r="415">
      <c r="J415" s="6"/>
    </row>
    <row r="416">
      <c r="J416" s="6"/>
    </row>
    <row r="417">
      <c r="J417" s="6"/>
    </row>
    <row r="418">
      <c r="J418" s="6"/>
    </row>
    <row r="419">
      <c r="J419" s="6"/>
    </row>
    <row r="420">
      <c r="J420" s="6"/>
    </row>
    <row r="421">
      <c r="J421" s="6"/>
    </row>
    <row r="422">
      <c r="J422" s="6"/>
    </row>
    <row r="423">
      <c r="J423" s="6"/>
    </row>
    <row r="424">
      <c r="J424" s="6"/>
    </row>
    <row r="425">
      <c r="J425" s="6"/>
    </row>
    <row r="426">
      <c r="J426" s="6"/>
    </row>
    <row r="427">
      <c r="J427" s="6"/>
    </row>
    <row r="428">
      <c r="J428" s="6"/>
    </row>
    <row r="429">
      <c r="J429" s="6"/>
    </row>
    <row r="430">
      <c r="J430" s="6"/>
    </row>
    <row r="431">
      <c r="J431" s="6"/>
    </row>
    <row r="432">
      <c r="J432" s="6"/>
    </row>
    <row r="433">
      <c r="J433" s="6"/>
    </row>
    <row r="434">
      <c r="J434" s="6"/>
    </row>
    <row r="435">
      <c r="J435" s="6"/>
    </row>
    <row r="436">
      <c r="J436" s="6"/>
    </row>
    <row r="437">
      <c r="J437" s="6"/>
    </row>
    <row r="438">
      <c r="J438" s="6"/>
    </row>
    <row r="439">
      <c r="J439" s="6"/>
    </row>
    <row r="440">
      <c r="J440" s="6"/>
    </row>
    <row r="441">
      <c r="J441" s="6"/>
    </row>
    <row r="442">
      <c r="J442" s="6"/>
    </row>
    <row r="443">
      <c r="J443" s="6"/>
    </row>
    <row r="444">
      <c r="J444" s="6"/>
    </row>
    <row r="445">
      <c r="J445" s="6"/>
    </row>
    <row r="446">
      <c r="J446" s="6"/>
    </row>
    <row r="447">
      <c r="J447" s="6"/>
    </row>
    <row r="448">
      <c r="J448" s="6"/>
    </row>
    <row r="449">
      <c r="J449" s="6"/>
    </row>
    <row r="450">
      <c r="J450" s="6"/>
    </row>
    <row r="451">
      <c r="J451" s="6"/>
    </row>
    <row r="452">
      <c r="J452" s="6"/>
    </row>
    <row r="453">
      <c r="J453" s="6"/>
    </row>
    <row r="454">
      <c r="J454" s="6"/>
    </row>
    <row r="455">
      <c r="J455" s="6"/>
    </row>
    <row r="456">
      <c r="J456" s="6"/>
    </row>
    <row r="457">
      <c r="J457" s="6"/>
    </row>
    <row r="458">
      <c r="J458" s="6"/>
    </row>
    <row r="459">
      <c r="J459" s="6"/>
    </row>
    <row r="460">
      <c r="J460" s="6"/>
    </row>
    <row r="461">
      <c r="J461" s="6"/>
    </row>
    <row r="462">
      <c r="J462" s="6"/>
    </row>
    <row r="463">
      <c r="J463" s="6"/>
    </row>
    <row r="464">
      <c r="J464" s="6"/>
    </row>
    <row r="465">
      <c r="J465" s="6"/>
    </row>
    <row r="466">
      <c r="J466" s="6"/>
    </row>
    <row r="467">
      <c r="J467" s="6"/>
    </row>
    <row r="468">
      <c r="J468" s="6"/>
    </row>
    <row r="469">
      <c r="J469" s="6"/>
    </row>
    <row r="470">
      <c r="J470" s="6"/>
    </row>
    <row r="471">
      <c r="J471" s="6"/>
    </row>
    <row r="472">
      <c r="J472" s="6"/>
    </row>
    <row r="473">
      <c r="J473" s="6"/>
    </row>
    <row r="474">
      <c r="J474" s="6"/>
    </row>
    <row r="475">
      <c r="J475" s="6"/>
    </row>
    <row r="476">
      <c r="J476" s="6"/>
    </row>
    <row r="477">
      <c r="J477" s="6"/>
    </row>
    <row r="478">
      <c r="J478" s="6"/>
    </row>
    <row r="479">
      <c r="J479" s="6"/>
    </row>
    <row r="480">
      <c r="J480" s="6"/>
    </row>
    <row r="481">
      <c r="J481" s="6"/>
    </row>
    <row r="482">
      <c r="J482" s="6"/>
    </row>
    <row r="483">
      <c r="J483" s="6"/>
    </row>
    <row r="484">
      <c r="J484" s="6"/>
    </row>
    <row r="485">
      <c r="J485" s="6"/>
    </row>
    <row r="486">
      <c r="J486" s="6"/>
    </row>
    <row r="487">
      <c r="J487" s="6"/>
    </row>
    <row r="488">
      <c r="J488" s="6"/>
    </row>
    <row r="489">
      <c r="J489" s="6"/>
    </row>
    <row r="490">
      <c r="J490" s="6"/>
    </row>
    <row r="491">
      <c r="J491" s="6"/>
    </row>
    <row r="492">
      <c r="J492" s="6"/>
    </row>
    <row r="493">
      <c r="J493" s="6"/>
    </row>
    <row r="494">
      <c r="J494" s="6"/>
    </row>
    <row r="495">
      <c r="J495" s="6"/>
    </row>
    <row r="496">
      <c r="J496" s="6"/>
    </row>
    <row r="497">
      <c r="J497" s="6"/>
    </row>
    <row r="498">
      <c r="J498" s="6"/>
    </row>
    <row r="499">
      <c r="J499" s="6"/>
    </row>
    <row r="500">
      <c r="J500" s="6"/>
    </row>
    <row r="501">
      <c r="J501" s="6"/>
    </row>
    <row r="502">
      <c r="J502" s="6"/>
    </row>
    <row r="503">
      <c r="J503" s="6"/>
    </row>
    <row r="504">
      <c r="J504" s="6"/>
    </row>
    <row r="505">
      <c r="J505" s="6"/>
    </row>
    <row r="506">
      <c r="J506" s="6"/>
    </row>
    <row r="507">
      <c r="J507" s="6"/>
    </row>
    <row r="508">
      <c r="J508" s="6"/>
    </row>
    <row r="509">
      <c r="J509" s="6"/>
    </row>
    <row r="510">
      <c r="J510" s="6"/>
    </row>
    <row r="511">
      <c r="J511" s="6"/>
    </row>
    <row r="512">
      <c r="J512" s="6"/>
    </row>
    <row r="513">
      <c r="J513" s="6"/>
    </row>
    <row r="514">
      <c r="J514" s="6"/>
    </row>
    <row r="515">
      <c r="J515" s="6"/>
    </row>
    <row r="516">
      <c r="J516" s="6"/>
    </row>
    <row r="517">
      <c r="J517" s="6"/>
    </row>
    <row r="518">
      <c r="J518" s="6"/>
    </row>
    <row r="519">
      <c r="J519" s="6"/>
    </row>
    <row r="520">
      <c r="J520" s="6"/>
    </row>
    <row r="521">
      <c r="J521" s="6"/>
    </row>
    <row r="522">
      <c r="J522" s="6"/>
    </row>
    <row r="523">
      <c r="J523" s="6"/>
    </row>
    <row r="524">
      <c r="J524" s="6"/>
    </row>
    <row r="525">
      <c r="J525" s="6"/>
    </row>
    <row r="526">
      <c r="J526" s="6"/>
    </row>
    <row r="527">
      <c r="J527" s="6"/>
    </row>
    <row r="528">
      <c r="J528" s="6"/>
    </row>
    <row r="529">
      <c r="J529" s="6"/>
    </row>
    <row r="530">
      <c r="J530" s="6"/>
    </row>
    <row r="531">
      <c r="J531" s="6"/>
    </row>
    <row r="532">
      <c r="J532" s="6"/>
    </row>
    <row r="533">
      <c r="J533" s="6"/>
    </row>
    <row r="534">
      <c r="J534" s="6"/>
    </row>
    <row r="535">
      <c r="J535" s="6"/>
    </row>
    <row r="536">
      <c r="J536" s="6"/>
    </row>
    <row r="537">
      <c r="J537" s="6"/>
    </row>
    <row r="538">
      <c r="J538" s="6"/>
    </row>
    <row r="539">
      <c r="J539" s="6"/>
    </row>
    <row r="540">
      <c r="J540" s="6"/>
    </row>
    <row r="541">
      <c r="J541" s="6"/>
    </row>
    <row r="542">
      <c r="J542" s="6"/>
    </row>
    <row r="543">
      <c r="J543" s="6"/>
    </row>
    <row r="544">
      <c r="J544" s="6"/>
    </row>
    <row r="545">
      <c r="J545" s="6"/>
    </row>
    <row r="546">
      <c r="J546" s="6"/>
    </row>
    <row r="547">
      <c r="J547" s="6"/>
    </row>
    <row r="548">
      <c r="J548" s="6"/>
    </row>
    <row r="549">
      <c r="J549" s="6"/>
    </row>
    <row r="550">
      <c r="J550" s="6"/>
    </row>
    <row r="551">
      <c r="J551" s="6"/>
    </row>
    <row r="552">
      <c r="J552" s="6"/>
    </row>
    <row r="553">
      <c r="J553" s="6"/>
    </row>
    <row r="554">
      <c r="J554" s="6"/>
    </row>
    <row r="555">
      <c r="J555" s="6"/>
    </row>
    <row r="556">
      <c r="J556" s="6"/>
    </row>
    <row r="557">
      <c r="J557" s="6"/>
    </row>
    <row r="558">
      <c r="J558" s="6"/>
    </row>
    <row r="559">
      <c r="J559" s="6"/>
    </row>
    <row r="560">
      <c r="J560" s="6"/>
    </row>
    <row r="561">
      <c r="J561" s="6"/>
    </row>
    <row r="562">
      <c r="J562" s="6"/>
    </row>
    <row r="563">
      <c r="J563" s="6"/>
    </row>
    <row r="564">
      <c r="J564" s="6"/>
    </row>
    <row r="565">
      <c r="J565" s="6"/>
    </row>
    <row r="566">
      <c r="J566" s="6"/>
    </row>
    <row r="567">
      <c r="J567" s="6"/>
    </row>
    <row r="568">
      <c r="J568" s="6"/>
    </row>
    <row r="569">
      <c r="J569" s="6"/>
    </row>
    <row r="570">
      <c r="J570" s="6"/>
    </row>
    <row r="571">
      <c r="J571" s="6"/>
    </row>
    <row r="572">
      <c r="J572" s="6"/>
    </row>
    <row r="573">
      <c r="J573" s="6"/>
    </row>
    <row r="574">
      <c r="J574" s="6"/>
    </row>
    <row r="575">
      <c r="J575" s="6"/>
    </row>
    <row r="576">
      <c r="J576" s="6"/>
    </row>
    <row r="577">
      <c r="J577" s="6"/>
    </row>
    <row r="578">
      <c r="J578" s="6"/>
    </row>
    <row r="579">
      <c r="J579" s="6"/>
    </row>
    <row r="580">
      <c r="J580" s="6"/>
    </row>
    <row r="581">
      <c r="J581" s="6"/>
    </row>
    <row r="582">
      <c r="J582" s="6"/>
    </row>
    <row r="583">
      <c r="J583" s="6"/>
    </row>
    <row r="584">
      <c r="J584" s="6"/>
    </row>
    <row r="585">
      <c r="J585" s="6"/>
    </row>
    <row r="586">
      <c r="J586" s="6"/>
    </row>
    <row r="587">
      <c r="J587" s="6"/>
    </row>
    <row r="588">
      <c r="J588" s="6"/>
    </row>
    <row r="589">
      <c r="J589" s="6"/>
    </row>
    <row r="590">
      <c r="J590" s="6"/>
    </row>
    <row r="591">
      <c r="J591" s="6"/>
    </row>
    <row r="592">
      <c r="J592" s="6"/>
    </row>
    <row r="593">
      <c r="J593" s="6"/>
    </row>
    <row r="594">
      <c r="J594" s="6"/>
    </row>
    <row r="595">
      <c r="J595" s="6"/>
    </row>
    <row r="596">
      <c r="J596" s="6"/>
    </row>
    <row r="597">
      <c r="J597" s="6"/>
    </row>
    <row r="598">
      <c r="J598" s="6"/>
    </row>
    <row r="599">
      <c r="J599" s="6"/>
    </row>
    <row r="600">
      <c r="J600" s="6"/>
    </row>
    <row r="601">
      <c r="J601" s="6"/>
    </row>
    <row r="602">
      <c r="J602" s="6"/>
    </row>
    <row r="603">
      <c r="J603" s="6"/>
    </row>
    <row r="604">
      <c r="J604" s="6"/>
    </row>
    <row r="605">
      <c r="J605" s="6"/>
    </row>
    <row r="606">
      <c r="J606" s="6"/>
    </row>
    <row r="607">
      <c r="J607" s="6"/>
    </row>
    <row r="608">
      <c r="J608" s="6"/>
    </row>
    <row r="609">
      <c r="J609" s="6"/>
    </row>
    <row r="610">
      <c r="J610" s="6"/>
    </row>
    <row r="611">
      <c r="J611" s="6"/>
    </row>
    <row r="612">
      <c r="J612" s="6"/>
    </row>
    <row r="613">
      <c r="J613" s="6"/>
    </row>
    <row r="614">
      <c r="J614" s="6"/>
    </row>
    <row r="615">
      <c r="J615" s="6"/>
    </row>
    <row r="616">
      <c r="J616" s="6"/>
    </row>
    <row r="617">
      <c r="J617" s="6"/>
    </row>
    <row r="618">
      <c r="J618" s="6"/>
    </row>
    <row r="619">
      <c r="J619" s="6"/>
    </row>
    <row r="620">
      <c r="J620" s="6"/>
    </row>
    <row r="621">
      <c r="J621" s="6"/>
    </row>
    <row r="622">
      <c r="J622" s="6"/>
    </row>
    <row r="623">
      <c r="J623" s="6"/>
    </row>
    <row r="624">
      <c r="J624" s="6"/>
    </row>
    <row r="625">
      <c r="J625" s="6"/>
    </row>
    <row r="626">
      <c r="J626" s="6"/>
    </row>
    <row r="627">
      <c r="J627" s="6"/>
    </row>
    <row r="628">
      <c r="J628" s="6"/>
    </row>
    <row r="629">
      <c r="J629" s="6"/>
    </row>
    <row r="630">
      <c r="J630" s="6"/>
    </row>
    <row r="631">
      <c r="J631" s="6"/>
    </row>
    <row r="632">
      <c r="J632" s="6"/>
    </row>
    <row r="633">
      <c r="J633" s="6"/>
    </row>
    <row r="634">
      <c r="J634" s="6"/>
    </row>
    <row r="635">
      <c r="J635" s="6"/>
    </row>
    <row r="636">
      <c r="J636" s="6"/>
    </row>
    <row r="637">
      <c r="J637" s="6"/>
    </row>
    <row r="638">
      <c r="J638" s="6"/>
    </row>
    <row r="639">
      <c r="J639" s="6"/>
    </row>
    <row r="640">
      <c r="J640" s="6"/>
    </row>
    <row r="641">
      <c r="J641" s="6"/>
    </row>
    <row r="642">
      <c r="J642" s="6"/>
    </row>
    <row r="643">
      <c r="J643" s="6"/>
    </row>
    <row r="644">
      <c r="J644" s="6"/>
    </row>
    <row r="645">
      <c r="J645" s="6"/>
    </row>
    <row r="646">
      <c r="J646" s="6"/>
    </row>
    <row r="647">
      <c r="J647" s="6"/>
    </row>
    <row r="648">
      <c r="J648" s="6"/>
    </row>
    <row r="649">
      <c r="J649" s="6"/>
    </row>
    <row r="650">
      <c r="J650" s="6"/>
    </row>
    <row r="651">
      <c r="J651" s="6"/>
    </row>
    <row r="652">
      <c r="J652" s="6"/>
    </row>
    <row r="653">
      <c r="J653" s="6"/>
    </row>
    <row r="654">
      <c r="J654" s="6"/>
    </row>
    <row r="655">
      <c r="J655" s="6"/>
    </row>
    <row r="656">
      <c r="J656" s="6"/>
    </row>
    <row r="657">
      <c r="J657" s="6"/>
    </row>
    <row r="658">
      <c r="J658" s="6"/>
    </row>
    <row r="659">
      <c r="J659" s="6"/>
    </row>
    <row r="660">
      <c r="J660" s="6"/>
    </row>
    <row r="661">
      <c r="J661" s="6"/>
    </row>
    <row r="662">
      <c r="J662" s="6"/>
    </row>
    <row r="663">
      <c r="J663" s="6"/>
    </row>
    <row r="664">
      <c r="J664" s="6"/>
    </row>
    <row r="665">
      <c r="J665" s="6"/>
    </row>
    <row r="666">
      <c r="J666" s="6"/>
    </row>
    <row r="667">
      <c r="J667" s="6"/>
    </row>
    <row r="668">
      <c r="J668" s="6"/>
    </row>
    <row r="669">
      <c r="J669" s="6"/>
    </row>
    <row r="670">
      <c r="J670" s="6"/>
    </row>
    <row r="671">
      <c r="J671" s="6"/>
    </row>
    <row r="672">
      <c r="J672" s="6"/>
    </row>
    <row r="673">
      <c r="J673" s="6"/>
    </row>
    <row r="674">
      <c r="J674" s="6"/>
    </row>
    <row r="675">
      <c r="J675" s="6"/>
    </row>
    <row r="676">
      <c r="J676" s="6"/>
    </row>
    <row r="677">
      <c r="J677" s="6"/>
    </row>
    <row r="678">
      <c r="J678" s="6"/>
    </row>
    <row r="679">
      <c r="J679" s="6"/>
    </row>
    <row r="680">
      <c r="J680" s="6"/>
    </row>
    <row r="681">
      <c r="J681" s="6"/>
    </row>
    <row r="682">
      <c r="J682" s="6"/>
    </row>
    <row r="683">
      <c r="J683" s="6"/>
    </row>
    <row r="684">
      <c r="J684" s="6"/>
    </row>
    <row r="685">
      <c r="J685" s="6"/>
    </row>
    <row r="686">
      <c r="J686" s="6"/>
    </row>
    <row r="687">
      <c r="J687" s="6"/>
    </row>
    <row r="688">
      <c r="J688" s="6"/>
    </row>
    <row r="689">
      <c r="J689" s="6"/>
    </row>
    <row r="690">
      <c r="J690" s="6"/>
    </row>
    <row r="691">
      <c r="J691" s="6"/>
    </row>
    <row r="692">
      <c r="J692" s="6"/>
    </row>
    <row r="693">
      <c r="J693" s="6"/>
    </row>
    <row r="694">
      <c r="J694" s="6"/>
    </row>
    <row r="695">
      <c r="J695" s="6"/>
    </row>
    <row r="696">
      <c r="J696" s="6"/>
    </row>
    <row r="697">
      <c r="J697" s="6"/>
    </row>
    <row r="698">
      <c r="J698" s="6"/>
    </row>
    <row r="699">
      <c r="J699" s="6"/>
    </row>
    <row r="700">
      <c r="J700" s="6"/>
    </row>
    <row r="701">
      <c r="J701" s="6"/>
    </row>
    <row r="702">
      <c r="J702" s="6"/>
    </row>
    <row r="703">
      <c r="J703" s="6"/>
    </row>
    <row r="704">
      <c r="J704" s="6"/>
    </row>
    <row r="705">
      <c r="J705" s="6"/>
    </row>
    <row r="706">
      <c r="J706" s="6"/>
    </row>
    <row r="707">
      <c r="J707" s="6"/>
    </row>
    <row r="708">
      <c r="J708" s="6"/>
    </row>
    <row r="709">
      <c r="J709" s="6"/>
    </row>
    <row r="710">
      <c r="J710" s="6"/>
    </row>
    <row r="711">
      <c r="J711" s="6"/>
    </row>
    <row r="712">
      <c r="J712" s="6"/>
    </row>
    <row r="713">
      <c r="J713" s="6"/>
    </row>
    <row r="714">
      <c r="J714" s="6"/>
    </row>
    <row r="715">
      <c r="J715" s="6"/>
    </row>
    <row r="716">
      <c r="J716" s="6"/>
    </row>
    <row r="717">
      <c r="J717" s="6"/>
    </row>
    <row r="718">
      <c r="J718" s="6"/>
    </row>
    <row r="719">
      <c r="J719" s="6"/>
    </row>
    <row r="720">
      <c r="J720" s="6"/>
    </row>
    <row r="721">
      <c r="J721" s="6"/>
    </row>
    <row r="722">
      <c r="J722" s="6"/>
    </row>
    <row r="723">
      <c r="J723" s="6"/>
    </row>
    <row r="724">
      <c r="J724" s="6"/>
    </row>
    <row r="725">
      <c r="J725" s="6"/>
    </row>
    <row r="726">
      <c r="J726" s="6"/>
    </row>
    <row r="727">
      <c r="J727" s="6"/>
    </row>
    <row r="728">
      <c r="J728" s="6"/>
    </row>
    <row r="729">
      <c r="J729" s="6"/>
    </row>
    <row r="730">
      <c r="J730" s="6"/>
    </row>
    <row r="731">
      <c r="J731" s="6"/>
    </row>
    <row r="732">
      <c r="J732" s="6"/>
    </row>
    <row r="733">
      <c r="J733" s="6"/>
    </row>
    <row r="734">
      <c r="J734" s="6"/>
    </row>
    <row r="735">
      <c r="J735" s="6"/>
    </row>
    <row r="736">
      <c r="J736" s="6"/>
    </row>
    <row r="737">
      <c r="J737" s="6"/>
    </row>
    <row r="738">
      <c r="J738" s="6"/>
    </row>
    <row r="739">
      <c r="J739" s="6"/>
    </row>
    <row r="740">
      <c r="J740" s="6"/>
    </row>
    <row r="741">
      <c r="J741" s="6"/>
    </row>
    <row r="742">
      <c r="J742" s="6"/>
    </row>
    <row r="743">
      <c r="J743" s="6"/>
    </row>
    <row r="744">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row r="904">
      <c r="J904" s="6"/>
    </row>
    <row r="905">
      <c r="J905" s="6"/>
    </row>
    <row r="906">
      <c r="J906" s="6"/>
    </row>
    <row r="907">
      <c r="J907" s="6"/>
    </row>
    <row r="908">
      <c r="J908" s="6"/>
    </row>
    <row r="909">
      <c r="J909" s="6"/>
    </row>
    <row r="910">
      <c r="J910" s="6"/>
    </row>
    <row r="911">
      <c r="J911" s="6"/>
    </row>
    <row r="912">
      <c r="J912" s="6"/>
    </row>
    <row r="913">
      <c r="J913" s="6"/>
    </row>
    <row r="914">
      <c r="J914" s="6"/>
    </row>
    <row r="915">
      <c r="J915" s="6"/>
    </row>
    <row r="916">
      <c r="J916" s="6"/>
    </row>
    <row r="917">
      <c r="J917" s="6"/>
    </row>
    <row r="918">
      <c r="J918" s="6"/>
    </row>
    <row r="919">
      <c r="J919" s="6"/>
    </row>
    <row r="920">
      <c r="J920" s="6"/>
    </row>
    <row r="921">
      <c r="J921" s="6"/>
    </row>
    <row r="922">
      <c r="J922" s="6"/>
    </row>
    <row r="923">
      <c r="J923" s="6"/>
    </row>
    <row r="924">
      <c r="J924" s="6"/>
    </row>
    <row r="925">
      <c r="J925" s="6"/>
    </row>
    <row r="926">
      <c r="J926" s="6"/>
    </row>
    <row r="927">
      <c r="J927" s="6"/>
    </row>
    <row r="928">
      <c r="J928" s="6"/>
    </row>
    <row r="929">
      <c r="J929" s="6"/>
    </row>
    <row r="930">
      <c r="J930" s="6"/>
    </row>
    <row r="931">
      <c r="J931" s="6"/>
    </row>
    <row r="932">
      <c r="J932" s="6"/>
    </row>
    <row r="933">
      <c r="J933" s="6"/>
    </row>
    <row r="934">
      <c r="J934" s="6"/>
    </row>
    <row r="935">
      <c r="J935" s="6"/>
    </row>
    <row r="936">
      <c r="J936" s="6"/>
    </row>
    <row r="937">
      <c r="J937" s="6"/>
    </row>
    <row r="938">
      <c r="J938" s="6"/>
    </row>
    <row r="939">
      <c r="J939" s="6"/>
    </row>
    <row r="940">
      <c r="J940" s="6"/>
    </row>
    <row r="941">
      <c r="J941" s="6"/>
    </row>
    <row r="942">
      <c r="J942" s="6"/>
    </row>
    <row r="943">
      <c r="J943" s="6"/>
    </row>
    <row r="944">
      <c r="J944" s="6"/>
    </row>
    <row r="945">
      <c r="J945" s="6"/>
    </row>
    <row r="946">
      <c r="J946" s="6"/>
    </row>
    <row r="947">
      <c r="J947" s="6"/>
    </row>
    <row r="948">
      <c r="J948" s="6"/>
    </row>
    <row r="949">
      <c r="J949" s="6"/>
    </row>
    <row r="950">
      <c r="J950" s="6"/>
    </row>
    <row r="951">
      <c r="J951" s="6"/>
    </row>
    <row r="952">
      <c r="J952" s="6"/>
    </row>
    <row r="953">
      <c r="J953" s="6"/>
    </row>
    <row r="954">
      <c r="J954" s="6"/>
    </row>
    <row r="955">
      <c r="J955" s="6"/>
    </row>
    <row r="956">
      <c r="J956" s="6"/>
    </row>
    <row r="957">
      <c r="J957" s="6"/>
    </row>
    <row r="958">
      <c r="J958" s="6"/>
    </row>
    <row r="959">
      <c r="J959" s="6"/>
    </row>
    <row r="960">
      <c r="J960" s="6"/>
    </row>
    <row r="961">
      <c r="J961" s="6"/>
    </row>
    <row r="962">
      <c r="J962" s="6"/>
    </row>
    <row r="963">
      <c r="J963" s="6"/>
    </row>
    <row r="964">
      <c r="J964" s="6"/>
    </row>
    <row r="965">
      <c r="J965" s="6"/>
    </row>
    <row r="966">
      <c r="J966" s="6"/>
    </row>
    <row r="967">
      <c r="J967" s="6"/>
    </row>
    <row r="968">
      <c r="J968" s="6"/>
    </row>
    <row r="969">
      <c r="J969" s="6"/>
    </row>
    <row r="970">
      <c r="J970" s="6"/>
    </row>
    <row r="971">
      <c r="J971" s="6"/>
    </row>
    <row r="972">
      <c r="J972" s="6"/>
    </row>
    <row r="973">
      <c r="J973" s="6"/>
    </row>
    <row r="974">
      <c r="J974" s="6"/>
    </row>
    <row r="975">
      <c r="J975" s="6"/>
    </row>
    <row r="976">
      <c r="J976" s="6"/>
    </row>
    <row r="977">
      <c r="J977" s="6"/>
    </row>
    <row r="978">
      <c r="J978" s="6"/>
    </row>
    <row r="979">
      <c r="J979" s="6"/>
    </row>
    <row r="980">
      <c r="J980" s="6"/>
    </row>
    <row r="981">
      <c r="J981" s="6"/>
    </row>
    <row r="982">
      <c r="J982" s="6"/>
    </row>
    <row r="983">
      <c r="J983" s="6"/>
    </row>
    <row r="984">
      <c r="J984" s="6"/>
    </row>
    <row r="985">
      <c r="J985" s="6"/>
    </row>
    <row r="986">
      <c r="J986" s="6"/>
    </row>
    <row r="987">
      <c r="J987" s="6"/>
    </row>
    <row r="988">
      <c r="J988" s="6"/>
    </row>
    <row r="989">
      <c r="J989" s="6"/>
    </row>
    <row r="990">
      <c r="J990" s="6"/>
    </row>
    <row r="991">
      <c r="J991" s="6"/>
    </row>
    <row r="992">
      <c r="J992" s="6"/>
    </row>
    <row r="993">
      <c r="J993" s="6"/>
    </row>
    <row r="994">
      <c r="J994" s="6"/>
    </row>
    <row r="995">
      <c r="J995" s="6"/>
    </row>
    <row r="996">
      <c r="J996" s="6"/>
    </row>
    <row r="997">
      <c r="J997" s="6"/>
    </row>
    <row r="998">
      <c r="J998" s="6"/>
    </row>
    <row r="999">
      <c r="J999" s="6"/>
    </row>
    <row r="1000">
      <c r="J1000" s="6"/>
    </row>
    <row r="1001">
      <c r="J1001" s="6"/>
    </row>
    <row r="1002">
      <c r="J1002" s="6"/>
    </row>
    <row r="1003">
      <c r="J1003" s="6"/>
    </row>
    <row r="1004">
      <c r="J1004" s="6"/>
    </row>
    <row r="1005">
      <c r="J1005" s="6"/>
    </row>
    <row r="1006">
      <c r="J1006" s="6"/>
    </row>
    <row r="1007">
      <c r="J1007" s="6"/>
    </row>
    <row r="1008">
      <c r="J1008" s="6"/>
    </row>
    <row r="1009">
      <c r="J1009" s="6"/>
    </row>
    <row r="1010">
      <c r="J1010" s="6"/>
    </row>
    <row r="1011">
      <c r="J1011" s="6"/>
    </row>
    <row r="1012">
      <c r="J1012" s="6"/>
    </row>
    <row r="1013">
      <c r="J1013" s="6"/>
    </row>
    <row r="1014">
      <c r="J1014" s="6"/>
    </row>
    <row r="1015">
      <c r="J1015" s="6"/>
    </row>
    <row r="1016">
      <c r="J1016" s="6"/>
    </row>
    <row r="1017">
      <c r="J1017" s="6"/>
    </row>
    <row r="1018">
      <c r="J1018" s="6"/>
    </row>
    <row r="1019">
      <c r="J1019" s="6"/>
    </row>
    <row r="1020">
      <c r="J1020" s="6"/>
    </row>
    <row r="1021">
      <c r="J1021" s="6"/>
    </row>
    <row r="1022">
      <c r="J1022" s="6"/>
    </row>
    <row r="1023">
      <c r="J1023" s="6"/>
    </row>
    <row r="1024">
      <c r="J1024" s="6"/>
    </row>
    <row r="1025">
      <c r="J1025" s="6"/>
    </row>
    <row r="1026">
      <c r="J1026" s="6"/>
    </row>
    <row r="1027">
      <c r="J1027" s="6"/>
    </row>
    <row r="1028">
      <c r="J1028" s="6"/>
    </row>
    <row r="1029">
      <c r="J1029" s="6"/>
    </row>
    <row r="1030">
      <c r="J1030" s="6"/>
    </row>
  </sheetData>
  <hyperlinks>
    <hyperlink r:id="rId1" ref="I7"/>
    <hyperlink r:id="rId2" ref="J18"/>
    <hyperlink r:id="rId3" ref="I19"/>
    <hyperlink r:id="rId4" ref="I22"/>
    <hyperlink r:id="rId5" ref="I23"/>
    <hyperlink r:id="rId6" ref="I28"/>
    <hyperlink r:id="rId7" ref="J29"/>
    <hyperlink r:id="rId8" ref="J31"/>
    <hyperlink r:id="rId9" ref="I33"/>
    <hyperlink r:id="rId10" ref="I34"/>
    <hyperlink r:id="rId11" ref="I47"/>
    <hyperlink r:id="rId12" ref="I51"/>
    <hyperlink r:id="rId13" ref="I56"/>
    <hyperlink r:id="rId14" ref="I59"/>
    <hyperlink r:id="rId15" ref="J68"/>
    <hyperlink r:id="rId16" ref="J72"/>
    <hyperlink r:id="rId17" ref="J73"/>
    <hyperlink r:id="rId18" ref="I76"/>
    <hyperlink r:id="rId19" ref="I77"/>
    <hyperlink r:id="rId20" ref="I78"/>
    <hyperlink r:id="rId21" ref="I90"/>
    <hyperlink r:id="rId22" ref="I96"/>
    <hyperlink r:id="rId23" ref="I97"/>
    <hyperlink r:id="rId24" location=":~:text=On%20September%2030%2C%202005%2C%20Doulton's,countryside%20south%20of%20the%20Potteries." ref="K97"/>
    <hyperlink r:id="rId25" ref="I149"/>
    <hyperlink r:id="rId26" ref="I150"/>
    <hyperlink r:id="rId27" ref="I186"/>
  </hyperlinks>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6.25"/>
    <col customWidth="1" min="4" max="5" width="7.0"/>
    <col customWidth="1" min="6" max="6" width="8.13"/>
    <col customWidth="1" min="7" max="7" width="10.88"/>
    <col customWidth="1" min="10" max="10" width="57.5"/>
  </cols>
  <sheetData>
    <row r="1">
      <c r="A1" s="1" t="s">
        <v>40</v>
      </c>
      <c r="B1" s="1" t="s">
        <v>41</v>
      </c>
      <c r="C1" s="1" t="s">
        <v>42</v>
      </c>
      <c r="D1" s="1" t="s">
        <v>43</v>
      </c>
      <c r="E1" s="1" t="s">
        <v>44</v>
      </c>
      <c r="F1" s="1" t="s">
        <v>45</v>
      </c>
      <c r="G1" s="1" t="s">
        <v>46</v>
      </c>
      <c r="H1" s="1" t="s">
        <v>47</v>
      </c>
      <c r="I1" s="1" t="s">
        <v>48</v>
      </c>
      <c r="J1" s="4"/>
      <c r="K1" s="5"/>
      <c r="L1" s="5"/>
      <c r="M1" s="5"/>
      <c r="N1" s="5"/>
      <c r="O1" s="5"/>
      <c r="P1" s="5"/>
      <c r="Q1" s="5"/>
      <c r="R1" s="5"/>
      <c r="S1" s="5"/>
      <c r="T1" s="5"/>
      <c r="U1" s="5"/>
      <c r="V1" s="5"/>
      <c r="W1" s="5"/>
      <c r="X1" s="5"/>
      <c r="Y1" s="5"/>
      <c r="Z1" s="5"/>
    </row>
    <row r="2">
      <c r="A2" s="31"/>
      <c r="B2" s="31"/>
      <c r="C2" s="34"/>
      <c r="D2" s="32">
        <f t="shared" ref="D2:F2" si="1">SUM(D3:D477)</f>
        <v>678.3</v>
      </c>
      <c r="E2" s="32">
        <f t="shared" si="1"/>
        <v>2579.45</v>
      </c>
      <c r="F2" s="32">
        <f t="shared" si="1"/>
        <v>26.44</v>
      </c>
      <c r="G2" s="34"/>
      <c r="H2" s="34"/>
      <c r="I2" s="34"/>
      <c r="J2" s="35"/>
      <c r="K2" s="34"/>
      <c r="L2" s="34"/>
      <c r="M2" s="34"/>
      <c r="N2" s="34"/>
      <c r="O2" s="34"/>
      <c r="P2" s="34"/>
      <c r="Q2" s="34"/>
      <c r="R2" s="34"/>
      <c r="S2" s="34"/>
      <c r="T2" s="34"/>
      <c r="U2" s="34"/>
      <c r="V2" s="34"/>
      <c r="W2" s="34"/>
      <c r="X2" s="34"/>
      <c r="Y2" s="34"/>
      <c r="Z2" s="34"/>
    </row>
    <row r="3">
      <c r="A3" s="31" t="s">
        <v>2541</v>
      </c>
      <c r="B3" s="31" t="s">
        <v>2542</v>
      </c>
      <c r="C3" s="34"/>
      <c r="D3" s="31">
        <v>3.5</v>
      </c>
      <c r="E3" s="34"/>
      <c r="F3" s="34"/>
      <c r="G3" s="34"/>
      <c r="H3" s="36">
        <v>45767.0</v>
      </c>
      <c r="I3" s="34"/>
      <c r="J3" s="35"/>
      <c r="K3" s="34"/>
      <c r="L3" s="34"/>
      <c r="M3" s="34"/>
      <c r="N3" s="34"/>
      <c r="O3" s="34"/>
      <c r="P3" s="34"/>
      <c r="Q3" s="34"/>
      <c r="R3" s="34"/>
      <c r="S3" s="34"/>
      <c r="T3" s="34"/>
      <c r="U3" s="34"/>
      <c r="V3" s="34"/>
      <c r="W3" s="34"/>
      <c r="X3" s="34"/>
      <c r="Y3" s="34"/>
      <c r="Z3" s="34"/>
    </row>
    <row r="4">
      <c r="A4" s="31" t="s">
        <v>2543</v>
      </c>
      <c r="B4" s="31" t="s">
        <v>2544</v>
      </c>
      <c r="C4" s="34"/>
      <c r="D4" s="31">
        <v>6.0</v>
      </c>
      <c r="E4" s="31">
        <v>15.0</v>
      </c>
      <c r="F4" s="31">
        <v>0.0</v>
      </c>
      <c r="G4" s="34">
        <f t="shared" ref="G4:G10" si="2">E4-F4-D4</f>
        <v>9</v>
      </c>
      <c r="H4" s="36">
        <v>46131.0</v>
      </c>
      <c r="I4" s="34"/>
      <c r="J4" s="35"/>
      <c r="K4" s="34"/>
      <c r="L4" s="34"/>
      <c r="M4" s="34"/>
      <c r="N4" s="34"/>
      <c r="O4" s="34"/>
      <c r="P4" s="34"/>
      <c r="Q4" s="34"/>
      <c r="R4" s="34"/>
      <c r="S4" s="34"/>
      <c r="T4" s="34"/>
      <c r="U4" s="34"/>
      <c r="V4" s="34"/>
      <c r="W4" s="34"/>
      <c r="X4" s="34"/>
      <c r="Y4" s="34"/>
      <c r="Z4" s="34"/>
    </row>
    <row r="5">
      <c r="A5" s="31" t="s">
        <v>2543</v>
      </c>
      <c r="B5" s="31" t="s">
        <v>2545</v>
      </c>
      <c r="C5" s="34"/>
      <c r="D5" s="31">
        <v>1.0</v>
      </c>
      <c r="E5" s="31">
        <v>10.0</v>
      </c>
      <c r="F5" s="31">
        <v>0.0</v>
      </c>
      <c r="G5" s="34">
        <f t="shared" si="2"/>
        <v>9</v>
      </c>
      <c r="H5" s="31" t="s">
        <v>1190</v>
      </c>
      <c r="I5" s="34"/>
      <c r="J5" s="35"/>
      <c r="K5" s="34"/>
      <c r="L5" s="34"/>
      <c r="M5" s="34"/>
      <c r="N5" s="34"/>
      <c r="O5" s="34"/>
      <c r="P5" s="34"/>
      <c r="Q5" s="34"/>
      <c r="R5" s="34"/>
      <c r="S5" s="34"/>
      <c r="T5" s="34"/>
      <c r="U5" s="34"/>
      <c r="V5" s="34"/>
      <c r="W5" s="34"/>
      <c r="X5" s="34"/>
      <c r="Y5" s="34"/>
      <c r="Z5" s="34"/>
    </row>
    <row r="6">
      <c r="A6" s="31" t="s">
        <v>2543</v>
      </c>
      <c r="B6" s="31" t="s">
        <v>2546</v>
      </c>
      <c r="C6" s="34"/>
      <c r="D6" s="31">
        <v>4.5</v>
      </c>
      <c r="E6" s="31">
        <v>50.0</v>
      </c>
      <c r="F6" s="31">
        <v>0.0</v>
      </c>
      <c r="G6" s="34">
        <f t="shared" si="2"/>
        <v>45.5</v>
      </c>
      <c r="H6" s="34"/>
      <c r="I6" s="34"/>
      <c r="J6" s="35"/>
      <c r="K6" s="34"/>
      <c r="L6" s="34"/>
      <c r="M6" s="34"/>
      <c r="N6" s="34"/>
      <c r="O6" s="34"/>
      <c r="P6" s="34"/>
      <c r="Q6" s="34"/>
      <c r="R6" s="34"/>
      <c r="S6" s="34"/>
      <c r="T6" s="34"/>
      <c r="U6" s="34"/>
      <c r="V6" s="34"/>
      <c r="W6" s="34"/>
      <c r="X6" s="34"/>
      <c r="Y6" s="34"/>
      <c r="Z6" s="34"/>
    </row>
    <row r="7">
      <c r="A7" s="31" t="s">
        <v>2543</v>
      </c>
      <c r="B7" s="31" t="s">
        <v>2363</v>
      </c>
      <c r="C7" s="34"/>
      <c r="D7" s="31">
        <v>5.0</v>
      </c>
      <c r="E7" s="31">
        <v>15.0</v>
      </c>
      <c r="F7" s="31">
        <v>0.0</v>
      </c>
      <c r="G7" s="34">
        <f t="shared" si="2"/>
        <v>10</v>
      </c>
      <c r="H7" s="34"/>
      <c r="I7" s="34"/>
      <c r="J7" s="35"/>
      <c r="K7" s="34"/>
      <c r="L7" s="34"/>
      <c r="M7" s="34"/>
      <c r="N7" s="34"/>
      <c r="O7" s="34"/>
      <c r="P7" s="34"/>
      <c r="Q7" s="34"/>
      <c r="R7" s="34"/>
      <c r="S7" s="34"/>
      <c r="T7" s="34"/>
      <c r="U7" s="34"/>
      <c r="V7" s="34"/>
      <c r="W7" s="34"/>
      <c r="X7" s="34"/>
      <c r="Y7" s="34"/>
      <c r="Z7" s="34"/>
    </row>
    <row r="8">
      <c r="A8" s="31" t="s">
        <v>2543</v>
      </c>
      <c r="B8" s="31" t="s">
        <v>2547</v>
      </c>
      <c r="C8" s="34"/>
      <c r="D8" s="31">
        <v>1.0</v>
      </c>
      <c r="E8" s="31">
        <v>10.0</v>
      </c>
      <c r="F8" s="31">
        <v>0.0</v>
      </c>
      <c r="G8" s="34">
        <f t="shared" si="2"/>
        <v>9</v>
      </c>
      <c r="H8" s="34"/>
      <c r="I8" s="34"/>
      <c r="J8" s="35"/>
      <c r="K8" s="34"/>
      <c r="L8" s="34"/>
      <c r="M8" s="34"/>
      <c r="N8" s="34"/>
      <c r="O8" s="34"/>
      <c r="P8" s="34"/>
      <c r="Q8" s="34"/>
      <c r="R8" s="34"/>
      <c r="S8" s="34"/>
      <c r="T8" s="34"/>
      <c r="U8" s="34"/>
      <c r="V8" s="34"/>
      <c r="W8" s="34"/>
      <c r="X8" s="34"/>
      <c r="Y8" s="34"/>
      <c r="Z8" s="34"/>
    </row>
    <row r="9">
      <c r="A9" s="51" t="s">
        <v>2548</v>
      </c>
      <c r="B9" s="51" t="s">
        <v>2549</v>
      </c>
      <c r="C9" s="52"/>
      <c r="D9" s="51">
        <v>1.5</v>
      </c>
      <c r="E9" s="51">
        <v>5.0</v>
      </c>
      <c r="F9" s="51">
        <v>0.0</v>
      </c>
      <c r="G9" s="52">
        <f t="shared" si="2"/>
        <v>3.5</v>
      </c>
      <c r="H9" s="52"/>
      <c r="I9" s="52"/>
      <c r="J9" s="53"/>
      <c r="K9" s="52"/>
      <c r="L9" s="52"/>
      <c r="M9" s="52"/>
      <c r="N9" s="52"/>
      <c r="O9" s="52"/>
      <c r="P9" s="52"/>
      <c r="Q9" s="52"/>
      <c r="R9" s="52"/>
      <c r="S9" s="52"/>
      <c r="T9" s="52"/>
      <c r="U9" s="52"/>
      <c r="V9" s="52"/>
      <c r="W9" s="52"/>
      <c r="X9" s="52"/>
      <c r="Y9" s="52"/>
      <c r="Z9" s="52"/>
    </row>
    <row r="10">
      <c r="A10" s="57" t="s">
        <v>2550</v>
      </c>
      <c r="B10" s="57" t="s">
        <v>2551</v>
      </c>
      <c r="C10" s="58"/>
      <c r="D10" s="58"/>
      <c r="E10" s="57">
        <v>10.0</v>
      </c>
      <c r="F10" s="57">
        <v>0.0</v>
      </c>
      <c r="G10" s="58">
        <f t="shared" si="2"/>
        <v>10</v>
      </c>
      <c r="H10" s="58"/>
      <c r="I10" s="58"/>
      <c r="J10" s="59"/>
      <c r="K10" s="58"/>
      <c r="L10" s="58"/>
      <c r="M10" s="58"/>
      <c r="N10" s="58"/>
      <c r="O10" s="58"/>
      <c r="P10" s="58"/>
      <c r="Q10" s="58"/>
      <c r="R10" s="58"/>
      <c r="S10" s="58"/>
      <c r="T10" s="58"/>
      <c r="U10" s="58"/>
      <c r="V10" s="58"/>
      <c r="W10" s="58"/>
      <c r="X10" s="58"/>
      <c r="Y10" s="58"/>
      <c r="Z10" s="58"/>
    </row>
    <row r="11">
      <c r="A11" s="38" t="s">
        <v>2249</v>
      </c>
      <c r="B11" s="106" t="s">
        <v>2552</v>
      </c>
      <c r="C11" s="39"/>
      <c r="D11" s="38">
        <v>3.5</v>
      </c>
      <c r="E11" s="39"/>
      <c r="F11" s="39"/>
      <c r="G11" s="39"/>
      <c r="H11" s="40">
        <v>45893.0</v>
      </c>
      <c r="I11" s="39"/>
      <c r="J11" s="41"/>
      <c r="K11" s="39"/>
      <c r="L11" s="39"/>
      <c r="M11" s="39"/>
      <c r="N11" s="39"/>
      <c r="O11" s="39"/>
      <c r="P11" s="39"/>
      <c r="Q11" s="39"/>
      <c r="R11" s="39"/>
      <c r="S11" s="39"/>
      <c r="T11" s="39"/>
      <c r="U11" s="39"/>
      <c r="V11" s="39"/>
      <c r="W11" s="39"/>
      <c r="X11" s="39"/>
      <c r="Y11" s="39"/>
      <c r="Z11" s="39"/>
    </row>
    <row r="12">
      <c r="A12" s="31" t="s">
        <v>2249</v>
      </c>
      <c r="B12" s="31" t="s">
        <v>2553</v>
      </c>
      <c r="C12" s="34"/>
      <c r="D12" s="31">
        <v>1.5</v>
      </c>
      <c r="E12" s="31">
        <v>10.0</v>
      </c>
      <c r="F12" s="31">
        <v>0.0</v>
      </c>
      <c r="G12" s="34">
        <f t="shared" ref="G12:G16" si="3">E12-F12-D12</f>
        <v>8.5</v>
      </c>
      <c r="H12" s="36">
        <v>46131.0</v>
      </c>
      <c r="I12" s="34"/>
      <c r="J12" s="35"/>
      <c r="K12" s="34"/>
      <c r="L12" s="34"/>
      <c r="M12" s="34"/>
      <c r="N12" s="34"/>
      <c r="O12" s="34"/>
      <c r="P12" s="34"/>
      <c r="Q12" s="34"/>
      <c r="R12" s="34"/>
      <c r="S12" s="34"/>
      <c r="T12" s="34"/>
      <c r="U12" s="34"/>
      <c r="V12" s="34"/>
      <c r="W12" s="34"/>
      <c r="X12" s="34"/>
      <c r="Y12" s="34"/>
      <c r="Z12" s="34"/>
    </row>
    <row r="13">
      <c r="A13" s="31" t="s">
        <v>2249</v>
      </c>
      <c r="B13" s="31" t="s">
        <v>2553</v>
      </c>
      <c r="C13" s="34"/>
      <c r="D13" s="31">
        <v>1.5</v>
      </c>
      <c r="E13" s="31">
        <v>10.0</v>
      </c>
      <c r="F13" s="31">
        <v>0.0</v>
      </c>
      <c r="G13" s="34">
        <f t="shared" si="3"/>
        <v>8.5</v>
      </c>
      <c r="H13" s="36">
        <v>46131.0</v>
      </c>
      <c r="I13" s="34"/>
      <c r="J13" s="35"/>
      <c r="K13" s="34"/>
      <c r="L13" s="34"/>
      <c r="M13" s="34"/>
      <c r="N13" s="34"/>
      <c r="O13" s="34"/>
      <c r="P13" s="34"/>
      <c r="Q13" s="34"/>
      <c r="R13" s="34"/>
      <c r="S13" s="34"/>
      <c r="T13" s="34"/>
      <c r="U13" s="34"/>
      <c r="V13" s="34"/>
      <c r="W13" s="34"/>
      <c r="X13" s="34"/>
      <c r="Y13" s="34"/>
      <c r="Z13" s="34"/>
    </row>
    <row r="14">
      <c r="A14" s="31" t="s">
        <v>2249</v>
      </c>
      <c r="B14" s="32" t="s">
        <v>2554</v>
      </c>
      <c r="C14" s="34"/>
      <c r="D14" s="31">
        <v>1.5</v>
      </c>
      <c r="E14" s="31">
        <v>10.0</v>
      </c>
      <c r="F14" s="31">
        <v>0.0</v>
      </c>
      <c r="G14" s="34">
        <f t="shared" si="3"/>
        <v>8.5</v>
      </c>
      <c r="H14" s="36">
        <v>46131.0</v>
      </c>
      <c r="I14" s="34"/>
      <c r="J14" s="35"/>
      <c r="K14" s="34"/>
      <c r="L14" s="34"/>
      <c r="M14" s="34"/>
      <c r="N14" s="34"/>
      <c r="O14" s="34"/>
      <c r="P14" s="34"/>
      <c r="Q14" s="34"/>
      <c r="R14" s="34"/>
      <c r="S14" s="34"/>
      <c r="T14" s="34"/>
      <c r="U14" s="34"/>
      <c r="V14" s="34"/>
      <c r="W14" s="34"/>
      <c r="X14" s="34"/>
      <c r="Y14" s="34"/>
      <c r="Z14" s="34"/>
    </row>
    <row r="15">
      <c r="A15" s="31" t="s">
        <v>2249</v>
      </c>
      <c r="B15" s="32" t="s">
        <v>2554</v>
      </c>
      <c r="C15" s="34"/>
      <c r="D15" s="31">
        <v>1.5</v>
      </c>
      <c r="E15" s="31">
        <v>10.0</v>
      </c>
      <c r="F15" s="31">
        <v>0.0</v>
      </c>
      <c r="G15" s="34">
        <f t="shared" si="3"/>
        <v>8.5</v>
      </c>
      <c r="H15" s="36">
        <v>46131.0</v>
      </c>
      <c r="I15" s="34"/>
      <c r="J15" s="35"/>
      <c r="K15" s="34"/>
      <c r="L15" s="34"/>
      <c r="M15" s="34"/>
      <c r="N15" s="34"/>
      <c r="O15" s="34"/>
      <c r="P15" s="34"/>
      <c r="Q15" s="34"/>
      <c r="R15" s="34"/>
      <c r="S15" s="34"/>
      <c r="T15" s="34"/>
      <c r="U15" s="34"/>
      <c r="V15" s="34"/>
      <c r="W15" s="34"/>
      <c r="X15" s="34"/>
      <c r="Y15" s="34"/>
      <c r="Z15" s="34"/>
    </row>
    <row r="16">
      <c r="A16" s="31" t="s">
        <v>2555</v>
      </c>
      <c r="B16" s="32" t="s">
        <v>2556</v>
      </c>
      <c r="C16" s="34"/>
      <c r="D16" s="31">
        <v>3.0</v>
      </c>
      <c r="E16" s="31">
        <v>20.0</v>
      </c>
      <c r="F16" s="31">
        <v>0.0</v>
      </c>
      <c r="G16" s="34">
        <f t="shared" si="3"/>
        <v>17</v>
      </c>
      <c r="H16" s="36">
        <v>46131.0</v>
      </c>
      <c r="I16" s="34"/>
      <c r="J16" s="35"/>
      <c r="K16" s="34"/>
      <c r="L16" s="34"/>
      <c r="M16" s="34"/>
      <c r="N16" s="34"/>
      <c r="O16" s="34"/>
      <c r="P16" s="34"/>
      <c r="Q16" s="34"/>
      <c r="R16" s="34"/>
      <c r="S16" s="34"/>
      <c r="T16" s="34"/>
      <c r="U16" s="34"/>
      <c r="V16" s="34"/>
      <c r="W16" s="34"/>
      <c r="X16" s="34"/>
      <c r="Y16" s="34"/>
      <c r="Z16" s="34"/>
    </row>
    <row r="17">
      <c r="A17" s="31" t="s">
        <v>2557</v>
      </c>
      <c r="B17" s="31" t="s">
        <v>2558</v>
      </c>
      <c r="C17" s="34"/>
      <c r="D17" s="31">
        <v>9.5</v>
      </c>
      <c r="E17" s="31"/>
      <c r="F17" s="31"/>
      <c r="G17" s="34"/>
      <c r="H17" s="37">
        <v>45696.0</v>
      </c>
      <c r="I17" s="31" t="s">
        <v>2559</v>
      </c>
      <c r="J17" s="107" t="s">
        <v>2560</v>
      </c>
      <c r="K17" s="34"/>
      <c r="L17" s="34"/>
      <c r="M17" s="34"/>
      <c r="N17" s="34"/>
      <c r="O17" s="34"/>
      <c r="P17" s="34"/>
      <c r="Q17" s="34"/>
      <c r="R17" s="34"/>
      <c r="S17" s="34"/>
      <c r="T17" s="34"/>
      <c r="U17" s="34"/>
      <c r="V17" s="34"/>
      <c r="W17" s="34"/>
      <c r="X17" s="34"/>
      <c r="Y17" s="34"/>
      <c r="Z17" s="34"/>
    </row>
    <row r="18">
      <c r="A18" s="31" t="s">
        <v>2557</v>
      </c>
      <c r="B18" s="31" t="s">
        <v>2561</v>
      </c>
      <c r="C18" s="34"/>
      <c r="D18" s="31">
        <v>7.5</v>
      </c>
      <c r="E18" s="34"/>
      <c r="F18" s="34"/>
      <c r="G18" s="34"/>
      <c r="H18" s="31" t="s">
        <v>1505</v>
      </c>
      <c r="I18" s="34"/>
      <c r="J18" s="35"/>
      <c r="K18" s="34"/>
      <c r="L18" s="34"/>
      <c r="M18" s="34"/>
      <c r="N18" s="34"/>
      <c r="O18" s="34"/>
      <c r="P18" s="34"/>
      <c r="Q18" s="34"/>
      <c r="R18" s="34"/>
      <c r="S18" s="34"/>
      <c r="T18" s="34"/>
      <c r="U18" s="34"/>
      <c r="V18" s="34"/>
      <c r="W18" s="34"/>
      <c r="X18" s="34"/>
      <c r="Y18" s="34"/>
      <c r="Z18" s="34"/>
    </row>
    <row r="19">
      <c r="A19" s="31" t="s">
        <v>2562</v>
      </c>
      <c r="B19" s="31" t="s">
        <v>2563</v>
      </c>
      <c r="C19" s="34"/>
      <c r="D19" s="31">
        <v>2.5</v>
      </c>
      <c r="E19" s="34"/>
      <c r="F19" s="34"/>
      <c r="G19" s="34"/>
      <c r="H19" s="31" t="s">
        <v>1505</v>
      </c>
      <c r="I19" s="34"/>
      <c r="J19" s="35"/>
      <c r="K19" s="34"/>
      <c r="L19" s="34"/>
      <c r="M19" s="34"/>
      <c r="N19" s="34"/>
      <c r="O19" s="34"/>
      <c r="P19" s="34"/>
      <c r="Q19" s="34"/>
      <c r="R19" s="34"/>
      <c r="S19" s="34"/>
      <c r="T19" s="34"/>
      <c r="U19" s="34"/>
      <c r="V19" s="34"/>
      <c r="W19" s="34"/>
      <c r="X19" s="34"/>
      <c r="Y19" s="34"/>
      <c r="Z19" s="34"/>
    </row>
    <row r="20">
      <c r="A20" s="31" t="s">
        <v>2564</v>
      </c>
      <c r="B20" s="31" t="s">
        <v>2565</v>
      </c>
      <c r="C20" s="34"/>
      <c r="D20" s="31">
        <v>0.0</v>
      </c>
      <c r="E20" s="31">
        <v>220.0</v>
      </c>
      <c r="F20" s="31">
        <v>0.0</v>
      </c>
      <c r="G20" s="34">
        <f t="shared" ref="G20:G22" si="4">E20-F20-D20</f>
        <v>220</v>
      </c>
      <c r="H20" s="34"/>
      <c r="I20" s="34"/>
      <c r="J20" s="35"/>
      <c r="K20" s="34"/>
      <c r="L20" s="34"/>
      <c r="M20" s="34"/>
      <c r="N20" s="34"/>
      <c r="O20" s="34"/>
      <c r="P20" s="34"/>
      <c r="Q20" s="34"/>
      <c r="R20" s="34"/>
      <c r="S20" s="34"/>
      <c r="T20" s="34"/>
      <c r="U20" s="34"/>
      <c r="V20" s="34"/>
      <c r="W20" s="34"/>
      <c r="X20" s="34"/>
      <c r="Y20" s="34"/>
      <c r="Z20" s="34"/>
    </row>
    <row r="21">
      <c r="A21" s="31" t="s">
        <v>2566</v>
      </c>
      <c r="B21" s="31" t="s">
        <v>2567</v>
      </c>
      <c r="C21" s="34"/>
      <c r="D21" s="31">
        <v>5.8</v>
      </c>
      <c r="E21" s="31">
        <v>40.0</v>
      </c>
      <c r="F21" s="31">
        <v>0.0</v>
      </c>
      <c r="G21" s="34">
        <f t="shared" si="4"/>
        <v>34.2</v>
      </c>
      <c r="H21" s="34"/>
      <c r="I21" s="34"/>
      <c r="J21" s="35"/>
      <c r="K21" s="34"/>
      <c r="L21" s="34"/>
      <c r="M21" s="34"/>
      <c r="N21" s="34"/>
      <c r="O21" s="34"/>
      <c r="P21" s="34"/>
      <c r="Q21" s="34"/>
      <c r="R21" s="34"/>
      <c r="S21" s="34"/>
      <c r="T21" s="34"/>
      <c r="U21" s="34"/>
      <c r="V21" s="34"/>
      <c r="W21" s="34"/>
      <c r="X21" s="34"/>
      <c r="Y21" s="34"/>
      <c r="Z21" s="34"/>
    </row>
    <row r="22">
      <c r="A22" s="31" t="s">
        <v>2568</v>
      </c>
      <c r="B22" s="31" t="s">
        <v>2569</v>
      </c>
      <c r="C22" s="34"/>
      <c r="D22" s="31">
        <v>3.5</v>
      </c>
      <c r="E22" s="31">
        <v>30.0</v>
      </c>
      <c r="F22" s="31">
        <v>0.0</v>
      </c>
      <c r="G22" s="34">
        <f t="shared" si="4"/>
        <v>26.5</v>
      </c>
      <c r="H22" s="31">
        <v>30.0</v>
      </c>
      <c r="I22" s="69" t="s">
        <v>2570</v>
      </c>
      <c r="J22" s="35"/>
      <c r="K22" s="34"/>
      <c r="L22" s="34"/>
      <c r="M22" s="34"/>
      <c r="N22" s="34"/>
      <c r="O22" s="34"/>
      <c r="P22" s="34"/>
      <c r="Q22" s="34"/>
      <c r="R22" s="34"/>
      <c r="S22" s="34"/>
      <c r="T22" s="34"/>
      <c r="U22" s="34"/>
      <c r="V22" s="34"/>
      <c r="W22" s="34"/>
      <c r="X22" s="34"/>
      <c r="Y22" s="34"/>
      <c r="Z22" s="34"/>
    </row>
    <row r="23">
      <c r="A23" s="31" t="s">
        <v>2571</v>
      </c>
      <c r="B23" s="32" t="s">
        <v>2572</v>
      </c>
      <c r="C23" s="34"/>
      <c r="D23" s="31">
        <v>4.0</v>
      </c>
      <c r="E23" s="31">
        <v>12.0</v>
      </c>
      <c r="F23" s="31">
        <v>0.0</v>
      </c>
      <c r="G23" s="34">
        <f t="shared" ref="G23:G24" si="5">E23-D23</f>
        <v>8</v>
      </c>
      <c r="H23" s="36">
        <v>46131.0</v>
      </c>
      <c r="I23" s="34"/>
      <c r="J23" s="35"/>
      <c r="K23" s="34"/>
      <c r="L23" s="34"/>
      <c r="M23" s="34"/>
      <c r="N23" s="34"/>
      <c r="O23" s="34"/>
      <c r="P23" s="34"/>
      <c r="Q23" s="34"/>
      <c r="R23" s="34"/>
      <c r="S23" s="34"/>
      <c r="T23" s="34"/>
      <c r="U23" s="34"/>
      <c r="V23" s="34"/>
      <c r="W23" s="34"/>
      <c r="X23" s="34"/>
      <c r="Y23" s="34"/>
      <c r="Z23" s="34"/>
    </row>
    <row r="24">
      <c r="A24" s="31" t="s">
        <v>2571</v>
      </c>
      <c r="B24" s="32" t="s">
        <v>2573</v>
      </c>
      <c r="C24" s="34"/>
      <c r="D24" s="31">
        <v>4.0</v>
      </c>
      <c r="E24" s="31">
        <v>15.0</v>
      </c>
      <c r="F24" s="31">
        <v>0.0</v>
      </c>
      <c r="G24" s="34">
        <f t="shared" si="5"/>
        <v>11</v>
      </c>
      <c r="H24" s="36">
        <v>46131.0</v>
      </c>
      <c r="I24" s="34"/>
      <c r="J24" s="35"/>
      <c r="K24" s="34"/>
      <c r="L24" s="34"/>
      <c r="M24" s="34"/>
      <c r="N24" s="34"/>
      <c r="O24" s="34"/>
      <c r="P24" s="34"/>
      <c r="Q24" s="34"/>
      <c r="R24" s="34"/>
      <c r="S24" s="34"/>
      <c r="T24" s="34"/>
      <c r="U24" s="34"/>
      <c r="V24" s="34"/>
      <c r="W24" s="34"/>
      <c r="X24" s="34"/>
      <c r="Y24" s="34"/>
      <c r="Z24" s="34"/>
    </row>
    <row r="25">
      <c r="A25" s="31" t="s">
        <v>2258</v>
      </c>
      <c r="B25" s="31" t="s">
        <v>2574</v>
      </c>
      <c r="C25" s="34"/>
      <c r="D25" s="31">
        <v>1.5</v>
      </c>
      <c r="E25" s="31">
        <v>5.0</v>
      </c>
      <c r="F25" s="31">
        <v>0.0</v>
      </c>
      <c r="G25" s="34">
        <f t="shared" ref="G25:G27" si="6">E25-F25-D25</f>
        <v>3.5</v>
      </c>
      <c r="H25" s="31" t="s">
        <v>1190</v>
      </c>
      <c r="I25" s="34"/>
      <c r="J25" s="35"/>
      <c r="K25" s="34"/>
      <c r="L25" s="34"/>
      <c r="M25" s="34"/>
      <c r="N25" s="34"/>
      <c r="O25" s="34"/>
      <c r="P25" s="34"/>
      <c r="Q25" s="34"/>
      <c r="R25" s="34"/>
      <c r="S25" s="34"/>
      <c r="T25" s="34"/>
      <c r="U25" s="34"/>
      <c r="V25" s="34"/>
      <c r="W25" s="34"/>
      <c r="X25" s="34"/>
      <c r="Y25" s="34"/>
      <c r="Z25" s="34"/>
    </row>
    <row r="26">
      <c r="A26" s="51" t="s">
        <v>2575</v>
      </c>
      <c r="B26" s="51" t="s">
        <v>2576</v>
      </c>
      <c r="C26" s="52"/>
      <c r="D26" s="51">
        <v>0.0</v>
      </c>
      <c r="E26" s="51">
        <v>10.0</v>
      </c>
      <c r="F26" s="51">
        <v>0.0</v>
      </c>
      <c r="G26" s="52">
        <f t="shared" si="6"/>
        <v>10</v>
      </c>
      <c r="H26" s="52"/>
      <c r="I26" s="52"/>
      <c r="J26" s="53"/>
      <c r="K26" s="52"/>
      <c r="L26" s="52"/>
      <c r="M26" s="52"/>
      <c r="N26" s="52"/>
      <c r="O26" s="52"/>
      <c r="P26" s="52"/>
      <c r="Q26" s="52"/>
      <c r="R26" s="52"/>
      <c r="S26" s="52"/>
      <c r="T26" s="52"/>
      <c r="U26" s="52"/>
      <c r="V26" s="52"/>
      <c r="W26" s="52"/>
      <c r="X26" s="52"/>
      <c r="Y26" s="52"/>
      <c r="Z26" s="52"/>
    </row>
    <row r="27">
      <c r="A27" s="31" t="s">
        <v>2577</v>
      </c>
      <c r="B27" s="31" t="s">
        <v>2578</v>
      </c>
      <c r="C27" s="34"/>
      <c r="D27" s="31">
        <v>4.5</v>
      </c>
      <c r="E27" s="31">
        <v>15.0</v>
      </c>
      <c r="F27" s="31">
        <v>0.0</v>
      </c>
      <c r="G27" s="34">
        <f t="shared" si="6"/>
        <v>10.5</v>
      </c>
      <c r="H27" s="31" t="s">
        <v>1190</v>
      </c>
      <c r="I27" s="34"/>
      <c r="J27" s="35"/>
      <c r="K27" s="34"/>
      <c r="L27" s="34"/>
      <c r="M27" s="34"/>
      <c r="N27" s="34"/>
      <c r="O27" s="34"/>
      <c r="P27" s="34"/>
      <c r="Q27" s="34"/>
      <c r="R27" s="34"/>
      <c r="S27" s="34"/>
      <c r="T27" s="34"/>
      <c r="U27" s="34"/>
      <c r="V27" s="34"/>
      <c r="W27" s="34"/>
      <c r="X27" s="34"/>
      <c r="Y27" s="34"/>
      <c r="Z27" s="34"/>
    </row>
    <row r="28">
      <c r="A28" s="31" t="s">
        <v>2579</v>
      </c>
      <c r="B28" s="31" t="s">
        <v>2580</v>
      </c>
      <c r="C28" s="34"/>
      <c r="D28" s="31">
        <v>3.5</v>
      </c>
      <c r="E28" s="34"/>
      <c r="F28" s="34"/>
      <c r="G28" s="34"/>
      <c r="H28" s="31" t="s">
        <v>1505</v>
      </c>
      <c r="I28" s="34"/>
      <c r="J28" s="35"/>
      <c r="K28" s="34"/>
      <c r="L28" s="34"/>
      <c r="M28" s="34"/>
      <c r="N28" s="34"/>
      <c r="O28" s="34"/>
      <c r="P28" s="34"/>
      <c r="Q28" s="34"/>
      <c r="R28" s="34"/>
      <c r="S28" s="34"/>
      <c r="T28" s="34"/>
      <c r="U28" s="34"/>
      <c r="V28" s="34"/>
      <c r="W28" s="34"/>
      <c r="X28" s="34"/>
      <c r="Y28" s="34"/>
      <c r="Z28" s="34"/>
    </row>
    <row r="29">
      <c r="A29" s="31" t="s">
        <v>2279</v>
      </c>
      <c r="B29" s="31" t="s">
        <v>2581</v>
      </c>
      <c r="C29" s="31"/>
      <c r="D29" s="31">
        <v>8.8</v>
      </c>
      <c r="E29" s="31">
        <v>25.0</v>
      </c>
      <c r="F29" s="31">
        <v>0.0</v>
      </c>
      <c r="G29" s="34">
        <f>E29-F29-D29</f>
        <v>16.2</v>
      </c>
      <c r="H29" s="31" t="s">
        <v>1190</v>
      </c>
      <c r="I29" s="31"/>
      <c r="J29" s="35"/>
      <c r="K29" s="34"/>
      <c r="L29" s="34"/>
      <c r="M29" s="34"/>
      <c r="N29" s="34"/>
      <c r="O29" s="34"/>
      <c r="P29" s="34"/>
      <c r="Q29" s="34"/>
      <c r="R29" s="34"/>
      <c r="S29" s="34"/>
      <c r="T29" s="34"/>
      <c r="U29" s="34"/>
      <c r="V29" s="34"/>
      <c r="W29" s="34"/>
      <c r="X29" s="34"/>
      <c r="Y29" s="34"/>
      <c r="Z29" s="34"/>
    </row>
    <row r="30">
      <c r="A30" s="31" t="s">
        <v>2281</v>
      </c>
      <c r="B30" s="31" t="s">
        <v>2582</v>
      </c>
      <c r="C30" s="34"/>
      <c r="D30" s="31">
        <v>12.8</v>
      </c>
      <c r="E30" s="31">
        <v>35.0</v>
      </c>
      <c r="F30" s="31">
        <v>0.0</v>
      </c>
      <c r="G30" s="34">
        <f>E30-D30</f>
        <v>22.2</v>
      </c>
      <c r="H30" s="31"/>
      <c r="I30" s="60" t="s">
        <v>2583</v>
      </c>
      <c r="J30" s="35"/>
      <c r="K30" s="34"/>
      <c r="L30" s="34"/>
      <c r="M30" s="34"/>
      <c r="N30" s="34"/>
      <c r="O30" s="34"/>
      <c r="P30" s="34"/>
      <c r="Q30" s="34"/>
      <c r="R30" s="34"/>
      <c r="S30" s="34"/>
      <c r="T30" s="34"/>
      <c r="U30" s="34"/>
      <c r="V30" s="34"/>
      <c r="W30" s="34"/>
      <c r="X30" s="34"/>
      <c r="Y30" s="34"/>
      <c r="Z30" s="34"/>
    </row>
    <row r="31">
      <c r="A31" s="31" t="s">
        <v>2281</v>
      </c>
      <c r="B31" s="31" t="s">
        <v>2584</v>
      </c>
      <c r="C31" s="34"/>
      <c r="D31" s="31">
        <v>17.2</v>
      </c>
      <c r="E31" s="31">
        <v>50.0</v>
      </c>
      <c r="F31" s="31">
        <v>0.0</v>
      </c>
      <c r="G31" s="34">
        <f>E31-F31-D31</f>
        <v>32.8</v>
      </c>
      <c r="H31" s="31"/>
      <c r="I31" s="60" t="s">
        <v>2585</v>
      </c>
      <c r="J31" s="35"/>
      <c r="K31" s="34"/>
      <c r="L31" s="34"/>
      <c r="M31" s="34"/>
      <c r="N31" s="34"/>
      <c r="O31" s="34"/>
      <c r="P31" s="34"/>
      <c r="Q31" s="34"/>
      <c r="R31" s="34"/>
      <c r="S31" s="34"/>
      <c r="T31" s="34"/>
      <c r="U31" s="34"/>
      <c r="V31" s="34"/>
      <c r="W31" s="34"/>
      <c r="X31" s="34"/>
      <c r="Y31" s="34"/>
      <c r="Z31" s="34"/>
    </row>
    <row r="32">
      <c r="A32" s="10" t="s">
        <v>2300</v>
      </c>
      <c r="B32" s="108" t="s">
        <v>2586</v>
      </c>
      <c r="C32" s="10" t="s">
        <v>2587</v>
      </c>
      <c r="D32" s="10">
        <v>4.5</v>
      </c>
      <c r="E32" s="11"/>
      <c r="F32" s="11"/>
      <c r="G32" s="11"/>
      <c r="H32" s="68">
        <v>45935.0</v>
      </c>
      <c r="I32" s="66" t="s">
        <v>2588</v>
      </c>
      <c r="J32" s="100" t="s">
        <v>2589</v>
      </c>
      <c r="K32" s="11"/>
      <c r="L32" s="11"/>
      <c r="M32" s="11"/>
      <c r="N32" s="11"/>
      <c r="O32" s="11"/>
      <c r="P32" s="11"/>
      <c r="Q32" s="11"/>
      <c r="R32" s="11"/>
      <c r="S32" s="11"/>
      <c r="T32" s="11"/>
      <c r="U32" s="11"/>
      <c r="V32" s="11"/>
      <c r="W32" s="11"/>
      <c r="X32" s="11"/>
      <c r="Y32" s="11"/>
      <c r="Z32" s="11"/>
    </row>
    <row r="33">
      <c r="A33" s="38" t="s">
        <v>2300</v>
      </c>
      <c r="B33" s="38" t="s">
        <v>2590</v>
      </c>
      <c r="C33" s="39"/>
      <c r="D33" s="38">
        <v>5.0</v>
      </c>
      <c r="E33" s="39"/>
      <c r="F33" s="39"/>
      <c r="G33" s="39"/>
      <c r="H33" s="40">
        <v>45893.0</v>
      </c>
      <c r="I33" s="39"/>
      <c r="J33" s="41"/>
      <c r="K33" s="39"/>
      <c r="L33" s="39"/>
      <c r="M33" s="39"/>
      <c r="N33" s="39"/>
      <c r="O33" s="39"/>
      <c r="P33" s="39"/>
      <c r="Q33" s="39"/>
      <c r="R33" s="39"/>
      <c r="S33" s="39"/>
      <c r="T33" s="39"/>
      <c r="U33" s="39"/>
      <c r="V33" s="39"/>
      <c r="W33" s="39"/>
      <c r="X33" s="39"/>
      <c r="Y33" s="39"/>
      <c r="Z33" s="39"/>
    </row>
    <row r="34">
      <c r="A34" s="57" t="s">
        <v>2300</v>
      </c>
      <c r="B34" s="57" t="s">
        <v>2591</v>
      </c>
      <c r="C34" s="58"/>
      <c r="D34" s="57">
        <v>6.0</v>
      </c>
      <c r="E34" s="57">
        <v>20.0</v>
      </c>
      <c r="F34" s="57">
        <v>0.0</v>
      </c>
      <c r="G34" s="58">
        <f>E34-F34-D34</f>
        <v>14</v>
      </c>
      <c r="H34" s="58"/>
      <c r="I34" s="58"/>
      <c r="J34" s="59"/>
      <c r="K34" s="58"/>
      <c r="L34" s="58"/>
      <c r="M34" s="58"/>
      <c r="N34" s="58"/>
      <c r="O34" s="58"/>
      <c r="P34" s="58"/>
      <c r="Q34" s="58"/>
      <c r="R34" s="58"/>
      <c r="S34" s="58"/>
      <c r="T34" s="58"/>
      <c r="U34" s="58"/>
      <c r="V34" s="58"/>
      <c r="W34" s="58"/>
      <c r="X34" s="58"/>
      <c r="Y34" s="58"/>
      <c r="Z34" s="58"/>
    </row>
    <row r="35">
      <c r="A35" s="31" t="s">
        <v>2300</v>
      </c>
      <c r="B35" s="31" t="s">
        <v>2592</v>
      </c>
      <c r="C35" s="34"/>
      <c r="D35" s="31">
        <v>4.0</v>
      </c>
      <c r="E35" s="31">
        <v>5.0</v>
      </c>
      <c r="F35" s="31">
        <v>0.0</v>
      </c>
      <c r="G35" s="34">
        <f>E35-D35</f>
        <v>1</v>
      </c>
      <c r="H35" s="31">
        <v>15.0</v>
      </c>
      <c r="I35" s="60" t="s">
        <v>2593</v>
      </c>
      <c r="J35" s="35"/>
      <c r="K35" s="34"/>
      <c r="L35" s="34"/>
      <c r="M35" s="34"/>
      <c r="N35" s="34"/>
      <c r="O35" s="34"/>
      <c r="P35" s="34"/>
      <c r="Q35" s="34"/>
      <c r="R35" s="34"/>
      <c r="S35" s="34"/>
      <c r="T35" s="34"/>
      <c r="U35" s="34"/>
      <c r="V35" s="34"/>
      <c r="W35" s="34"/>
      <c r="X35" s="34"/>
      <c r="Y35" s="34"/>
      <c r="Z35" s="34"/>
    </row>
    <row r="36">
      <c r="A36" s="31" t="s">
        <v>2300</v>
      </c>
      <c r="B36" s="32" t="s">
        <v>2594</v>
      </c>
      <c r="C36" s="31" t="s">
        <v>2595</v>
      </c>
      <c r="D36" s="31">
        <v>3.0</v>
      </c>
      <c r="E36" s="31">
        <v>20.0</v>
      </c>
      <c r="F36" s="31">
        <v>0.0</v>
      </c>
      <c r="G36" s="34">
        <f t="shared" ref="G36:G37" si="7">E36-F36-D36</f>
        <v>17</v>
      </c>
      <c r="H36" s="31" t="s">
        <v>1190</v>
      </c>
      <c r="I36" s="60" t="s">
        <v>2596</v>
      </c>
      <c r="J36" s="61" t="s">
        <v>2597</v>
      </c>
      <c r="K36" s="34"/>
      <c r="L36" s="34"/>
      <c r="M36" s="34"/>
      <c r="N36" s="34"/>
      <c r="O36" s="34"/>
      <c r="P36" s="34"/>
      <c r="Q36" s="34"/>
      <c r="R36" s="34"/>
      <c r="S36" s="34"/>
      <c r="T36" s="34"/>
      <c r="U36" s="34"/>
      <c r="V36" s="34"/>
      <c r="W36" s="34"/>
      <c r="X36" s="34"/>
      <c r="Y36" s="34"/>
      <c r="Z36" s="34"/>
    </row>
    <row r="37">
      <c r="A37" s="31" t="s">
        <v>2300</v>
      </c>
      <c r="B37" s="31" t="s">
        <v>2598</v>
      </c>
      <c r="C37" s="34"/>
      <c r="D37" s="31">
        <v>3.0</v>
      </c>
      <c r="E37" s="31">
        <v>20.0</v>
      </c>
      <c r="F37" s="31">
        <v>0.0</v>
      </c>
      <c r="G37" s="34">
        <f t="shared" si="7"/>
        <v>17</v>
      </c>
      <c r="H37" s="31" t="s">
        <v>1190</v>
      </c>
      <c r="I37" s="34"/>
      <c r="J37" s="35"/>
      <c r="K37" s="34"/>
      <c r="L37" s="34"/>
      <c r="M37" s="34"/>
      <c r="N37" s="34"/>
      <c r="O37" s="34"/>
      <c r="P37" s="34"/>
      <c r="Q37" s="34"/>
      <c r="R37" s="34"/>
      <c r="S37" s="34"/>
      <c r="T37" s="34"/>
      <c r="U37" s="34"/>
      <c r="V37" s="34"/>
      <c r="W37" s="34"/>
      <c r="X37" s="34"/>
      <c r="Y37" s="34"/>
      <c r="Z37" s="34"/>
    </row>
    <row r="38">
      <c r="A38" s="31" t="s">
        <v>2300</v>
      </c>
      <c r="B38" s="31" t="s">
        <v>2599</v>
      </c>
      <c r="C38" s="31" t="s">
        <v>2600</v>
      </c>
      <c r="D38" s="31">
        <v>2.5</v>
      </c>
      <c r="E38" s="34"/>
      <c r="F38" s="34"/>
      <c r="G38" s="34"/>
      <c r="H38" s="36">
        <v>45767.0</v>
      </c>
      <c r="I38" s="60" t="s">
        <v>2601</v>
      </c>
      <c r="J38" s="35"/>
      <c r="K38" s="34"/>
      <c r="L38" s="34"/>
      <c r="M38" s="34"/>
      <c r="N38" s="34"/>
      <c r="O38" s="34"/>
      <c r="P38" s="34"/>
      <c r="Q38" s="34"/>
      <c r="R38" s="34"/>
      <c r="S38" s="34"/>
      <c r="T38" s="34"/>
      <c r="U38" s="34"/>
      <c r="V38" s="34"/>
      <c r="W38" s="34"/>
      <c r="X38" s="34"/>
      <c r="Y38" s="34"/>
      <c r="Z38" s="34"/>
    </row>
    <row r="39">
      <c r="A39" s="31" t="s">
        <v>2602</v>
      </c>
      <c r="B39" s="32" t="s">
        <v>2603</v>
      </c>
      <c r="C39" s="34"/>
      <c r="D39" s="31">
        <v>3.5</v>
      </c>
      <c r="E39" s="34"/>
      <c r="F39" s="34"/>
      <c r="G39" s="34"/>
      <c r="H39" s="36">
        <v>45767.0</v>
      </c>
      <c r="I39" s="69" t="s">
        <v>2604</v>
      </c>
      <c r="J39" s="74"/>
      <c r="K39" s="34"/>
      <c r="L39" s="34"/>
      <c r="M39" s="34"/>
      <c r="N39" s="34"/>
      <c r="O39" s="34"/>
      <c r="P39" s="34"/>
      <c r="Q39" s="34"/>
      <c r="R39" s="34"/>
      <c r="S39" s="34"/>
      <c r="T39" s="34"/>
      <c r="U39" s="34"/>
      <c r="V39" s="34"/>
      <c r="W39" s="34"/>
      <c r="X39" s="34"/>
      <c r="Y39" s="34"/>
      <c r="Z39" s="34"/>
    </row>
    <row r="40">
      <c r="A40" s="31" t="s">
        <v>2605</v>
      </c>
      <c r="B40" s="32" t="s">
        <v>2606</v>
      </c>
      <c r="C40" s="34"/>
      <c r="D40" s="31">
        <v>10.0</v>
      </c>
      <c r="E40" s="31">
        <v>45.0</v>
      </c>
      <c r="F40" s="31">
        <v>0.0</v>
      </c>
      <c r="G40" s="34">
        <f>E40-F40-D40</f>
        <v>35</v>
      </c>
      <c r="H40" s="31">
        <v>40.0</v>
      </c>
      <c r="I40" s="69" t="s">
        <v>2607</v>
      </c>
      <c r="J40" s="35"/>
      <c r="K40" s="34"/>
      <c r="L40" s="34"/>
      <c r="M40" s="34"/>
      <c r="N40" s="34"/>
      <c r="O40" s="34"/>
      <c r="P40" s="34"/>
      <c r="Q40" s="34"/>
      <c r="R40" s="34"/>
      <c r="S40" s="34"/>
      <c r="T40" s="34"/>
      <c r="U40" s="34"/>
      <c r="V40" s="34"/>
      <c r="W40" s="34"/>
      <c r="X40" s="34"/>
      <c r="Y40" s="34"/>
      <c r="Z40" s="34"/>
    </row>
    <row r="41">
      <c r="A41" s="38" t="s">
        <v>2608</v>
      </c>
      <c r="B41" s="38" t="s">
        <v>2609</v>
      </c>
      <c r="C41" s="39"/>
      <c r="D41" s="38"/>
      <c r="E41" s="39"/>
      <c r="F41" s="39"/>
      <c r="G41" s="39"/>
      <c r="H41" s="40">
        <v>45893.0</v>
      </c>
      <c r="I41" s="109"/>
      <c r="J41" s="41"/>
      <c r="K41" s="39"/>
      <c r="L41" s="39"/>
      <c r="M41" s="39"/>
      <c r="N41" s="39"/>
      <c r="O41" s="39"/>
      <c r="P41" s="39"/>
      <c r="Q41" s="39"/>
      <c r="R41" s="39"/>
      <c r="S41" s="39"/>
      <c r="T41" s="39"/>
      <c r="U41" s="39"/>
      <c r="V41" s="39"/>
      <c r="W41" s="39"/>
      <c r="X41" s="39"/>
      <c r="Y41" s="39"/>
      <c r="Z41" s="39"/>
    </row>
    <row r="42">
      <c r="A42" s="38" t="s">
        <v>2610</v>
      </c>
      <c r="B42" s="106" t="s">
        <v>2611</v>
      </c>
      <c r="C42" s="39"/>
      <c r="D42" s="38">
        <v>4.5</v>
      </c>
      <c r="E42" s="39"/>
      <c r="F42" s="39"/>
      <c r="G42" s="39"/>
      <c r="H42" s="40">
        <v>45893.0</v>
      </c>
      <c r="I42" s="109"/>
      <c r="J42" s="41"/>
      <c r="K42" s="39"/>
      <c r="L42" s="39"/>
      <c r="M42" s="39"/>
      <c r="N42" s="39"/>
      <c r="O42" s="39"/>
      <c r="P42" s="39"/>
      <c r="Q42" s="39"/>
      <c r="R42" s="39"/>
      <c r="S42" s="39"/>
      <c r="T42" s="39"/>
      <c r="U42" s="39"/>
      <c r="V42" s="39"/>
      <c r="W42" s="39"/>
      <c r="X42" s="39"/>
      <c r="Y42" s="39"/>
      <c r="Z42" s="39"/>
    </row>
    <row r="43">
      <c r="A43" s="57" t="s">
        <v>2612</v>
      </c>
      <c r="B43" s="57" t="s">
        <v>2613</v>
      </c>
      <c r="C43" s="58"/>
      <c r="D43" s="57">
        <v>4.5</v>
      </c>
      <c r="E43" s="57">
        <v>20.0</v>
      </c>
      <c r="F43" s="57">
        <v>0.0</v>
      </c>
      <c r="G43" s="58">
        <f t="shared" ref="G43:G44" si="8">E43-F43-D43</f>
        <v>15.5</v>
      </c>
      <c r="H43" s="58"/>
      <c r="I43" s="58"/>
      <c r="J43" s="59"/>
      <c r="K43" s="58"/>
      <c r="L43" s="58"/>
      <c r="M43" s="58"/>
      <c r="N43" s="58"/>
      <c r="O43" s="58"/>
      <c r="P43" s="58"/>
      <c r="Q43" s="58"/>
      <c r="R43" s="58"/>
      <c r="S43" s="58"/>
      <c r="T43" s="58"/>
      <c r="U43" s="58"/>
      <c r="V43" s="58"/>
      <c r="W43" s="58"/>
      <c r="X43" s="58"/>
      <c r="Y43" s="58"/>
      <c r="Z43" s="58"/>
    </row>
    <row r="44">
      <c r="A44" s="57" t="s">
        <v>2614</v>
      </c>
      <c r="B44" s="110" t="s">
        <v>2615</v>
      </c>
      <c r="C44" s="58"/>
      <c r="D44" s="57">
        <v>11.0</v>
      </c>
      <c r="E44" s="57">
        <v>50.0</v>
      </c>
      <c r="F44" s="57">
        <v>0.0</v>
      </c>
      <c r="G44" s="58">
        <f t="shared" si="8"/>
        <v>39</v>
      </c>
      <c r="H44" s="57">
        <v>50.0</v>
      </c>
      <c r="I44" s="58"/>
      <c r="J44" s="59"/>
      <c r="K44" s="58"/>
      <c r="L44" s="58"/>
      <c r="M44" s="58"/>
      <c r="N44" s="58"/>
      <c r="O44" s="58"/>
      <c r="P44" s="58"/>
      <c r="Q44" s="58"/>
      <c r="R44" s="58"/>
      <c r="S44" s="58"/>
      <c r="T44" s="58"/>
      <c r="U44" s="58"/>
      <c r="V44" s="58"/>
      <c r="W44" s="58"/>
      <c r="X44" s="58"/>
      <c r="Y44" s="58"/>
      <c r="Z44" s="58"/>
    </row>
    <row r="45">
      <c r="A45" s="31" t="s">
        <v>2616</v>
      </c>
      <c r="B45" s="32" t="s">
        <v>2617</v>
      </c>
      <c r="C45" s="34"/>
      <c r="D45" s="31">
        <v>5.5</v>
      </c>
      <c r="E45" s="34"/>
      <c r="F45" s="34"/>
      <c r="G45" s="34"/>
      <c r="H45" s="36">
        <v>45767.0</v>
      </c>
      <c r="I45" s="34"/>
      <c r="J45" s="35"/>
      <c r="K45" s="34"/>
      <c r="L45" s="34"/>
      <c r="M45" s="34"/>
      <c r="N45" s="34"/>
      <c r="O45" s="34"/>
      <c r="P45" s="34"/>
      <c r="Q45" s="34"/>
      <c r="R45" s="34"/>
      <c r="S45" s="34"/>
      <c r="T45" s="34"/>
      <c r="U45" s="34"/>
      <c r="V45" s="34"/>
      <c r="W45" s="34"/>
      <c r="X45" s="34"/>
      <c r="Y45" s="34"/>
      <c r="Z45" s="34"/>
    </row>
    <row r="46">
      <c r="A46" s="31" t="s">
        <v>2618</v>
      </c>
      <c r="B46" s="32" t="s">
        <v>2619</v>
      </c>
      <c r="C46" s="34"/>
      <c r="D46" s="31">
        <v>5.0</v>
      </c>
      <c r="E46" s="31">
        <v>25.0</v>
      </c>
      <c r="F46" s="31">
        <v>0.0</v>
      </c>
      <c r="G46" s="34">
        <f t="shared" ref="G46:G49" si="9">E46-F46-D46</f>
        <v>20</v>
      </c>
      <c r="H46" s="31"/>
      <c r="I46" s="74"/>
      <c r="J46" s="35"/>
      <c r="K46" s="34"/>
      <c r="L46" s="34"/>
      <c r="M46" s="34"/>
      <c r="N46" s="34"/>
      <c r="O46" s="34"/>
      <c r="P46" s="34"/>
      <c r="Q46" s="34"/>
      <c r="R46" s="34"/>
      <c r="S46" s="34"/>
      <c r="T46" s="34"/>
      <c r="U46" s="34"/>
      <c r="V46" s="34"/>
      <c r="W46" s="34"/>
      <c r="X46" s="34"/>
      <c r="Y46" s="34"/>
      <c r="Z46" s="34"/>
    </row>
    <row r="47">
      <c r="A47" s="57" t="s">
        <v>2620</v>
      </c>
      <c r="B47" s="111" t="s">
        <v>2621</v>
      </c>
      <c r="C47" s="58"/>
      <c r="D47" s="57">
        <v>2.5</v>
      </c>
      <c r="E47" s="57">
        <v>20.0</v>
      </c>
      <c r="F47" s="57">
        <v>0.0</v>
      </c>
      <c r="G47" s="58">
        <f t="shared" si="9"/>
        <v>17.5</v>
      </c>
      <c r="H47" s="58"/>
      <c r="I47" s="58"/>
      <c r="J47" s="59"/>
      <c r="K47" s="58"/>
      <c r="L47" s="58"/>
      <c r="M47" s="58"/>
      <c r="N47" s="58"/>
      <c r="O47" s="58"/>
      <c r="P47" s="58"/>
      <c r="Q47" s="58"/>
      <c r="R47" s="58"/>
      <c r="S47" s="58"/>
      <c r="T47" s="58"/>
      <c r="U47" s="58"/>
      <c r="V47" s="58"/>
      <c r="W47" s="58"/>
      <c r="X47" s="58"/>
      <c r="Y47" s="58"/>
      <c r="Z47" s="58"/>
    </row>
    <row r="48">
      <c r="A48" s="51" t="s">
        <v>2622</v>
      </c>
      <c r="B48" s="51" t="s">
        <v>2623</v>
      </c>
      <c r="C48" s="52"/>
      <c r="D48" s="51">
        <v>0.0</v>
      </c>
      <c r="E48" s="51">
        <v>40.0</v>
      </c>
      <c r="F48" s="51">
        <v>0.0</v>
      </c>
      <c r="G48" s="52">
        <f t="shared" si="9"/>
        <v>40</v>
      </c>
      <c r="H48" s="52"/>
      <c r="I48" s="52"/>
      <c r="J48" s="53"/>
      <c r="K48" s="52"/>
      <c r="L48" s="52"/>
      <c r="M48" s="52"/>
      <c r="N48" s="52"/>
      <c r="O48" s="52"/>
      <c r="P48" s="52"/>
      <c r="Q48" s="52"/>
      <c r="R48" s="52"/>
      <c r="S48" s="52"/>
      <c r="T48" s="52"/>
      <c r="U48" s="52"/>
      <c r="V48" s="52"/>
      <c r="W48" s="52"/>
      <c r="X48" s="52"/>
      <c r="Y48" s="52"/>
      <c r="Z48" s="52"/>
    </row>
    <row r="49">
      <c r="A49" s="51" t="s">
        <v>2624</v>
      </c>
      <c r="B49" s="112" t="s">
        <v>2625</v>
      </c>
      <c r="C49" s="52"/>
      <c r="D49" s="51">
        <v>5.5</v>
      </c>
      <c r="E49" s="51">
        <v>40.0</v>
      </c>
      <c r="F49" s="51">
        <v>0.0</v>
      </c>
      <c r="G49" s="52">
        <f t="shared" si="9"/>
        <v>34.5</v>
      </c>
      <c r="H49" s="51">
        <v>40.0</v>
      </c>
      <c r="I49" s="52"/>
      <c r="J49" s="53"/>
      <c r="K49" s="52"/>
      <c r="L49" s="52"/>
      <c r="M49" s="52"/>
      <c r="N49" s="52"/>
      <c r="O49" s="52"/>
      <c r="P49" s="52"/>
      <c r="Q49" s="52"/>
      <c r="R49" s="52"/>
      <c r="S49" s="52"/>
      <c r="T49" s="52"/>
      <c r="U49" s="52"/>
      <c r="V49" s="52"/>
      <c r="W49" s="52"/>
      <c r="X49" s="52"/>
      <c r="Y49" s="52"/>
      <c r="Z49" s="52"/>
    </row>
    <row r="50">
      <c r="A50" s="31" t="s">
        <v>2626</v>
      </c>
      <c r="B50" s="32" t="s">
        <v>2627</v>
      </c>
      <c r="C50" s="34"/>
      <c r="D50" s="31">
        <v>5.5</v>
      </c>
      <c r="E50" s="34"/>
      <c r="F50" s="34"/>
      <c r="G50" s="34"/>
      <c r="H50" s="36">
        <v>45767.0</v>
      </c>
      <c r="I50" s="60" t="s">
        <v>2628</v>
      </c>
      <c r="J50" s="35"/>
      <c r="K50" s="34"/>
      <c r="L50" s="34"/>
      <c r="M50" s="34"/>
      <c r="N50" s="34"/>
      <c r="O50" s="34"/>
      <c r="P50" s="34"/>
      <c r="Q50" s="34"/>
      <c r="R50" s="34"/>
      <c r="S50" s="34"/>
      <c r="T50" s="34"/>
      <c r="U50" s="34"/>
      <c r="V50" s="34"/>
      <c r="W50" s="34"/>
      <c r="X50" s="34"/>
      <c r="Y50" s="34"/>
      <c r="Z50" s="34"/>
    </row>
    <row r="51">
      <c r="A51" s="38" t="s">
        <v>2629</v>
      </c>
      <c r="B51" s="38" t="s">
        <v>2630</v>
      </c>
      <c r="C51" s="39"/>
      <c r="D51" s="38">
        <v>3.0</v>
      </c>
      <c r="E51" s="39"/>
      <c r="F51" s="39"/>
      <c r="G51" s="39"/>
      <c r="H51" s="40">
        <v>45893.0</v>
      </c>
      <c r="I51" s="39"/>
      <c r="J51" s="41"/>
      <c r="K51" s="39"/>
      <c r="L51" s="39"/>
      <c r="M51" s="39"/>
      <c r="N51" s="39"/>
      <c r="O51" s="39"/>
      <c r="P51" s="39"/>
      <c r="Q51" s="39"/>
      <c r="R51" s="39"/>
      <c r="S51" s="39"/>
      <c r="T51" s="39"/>
      <c r="U51" s="39"/>
      <c r="V51" s="39"/>
      <c r="W51" s="39"/>
      <c r="X51" s="39"/>
      <c r="Y51" s="39"/>
      <c r="Z51" s="39"/>
    </row>
    <row r="52">
      <c r="A52" s="31" t="s">
        <v>2629</v>
      </c>
      <c r="B52" s="31" t="s">
        <v>2631</v>
      </c>
      <c r="C52" s="34"/>
      <c r="D52" s="31">
        <v>6.0</v>
      </c>
      <c r="E52" s="34"/>
      <c r="F52" s="34"/>
      <c r="G52" s="34"/>
      <c r="H52" s="31" t="s">
        <v>1195</v>
      </c>
      <c r="I52" s="34"/>
      <c r="J52" s="35"/>
      <c r="K52" s="34"/>
      <c r="L52" s="34"/>
      <c r="M52" s="34"/>
      <c r="N52" s="34"/>
      <c r="O52" s="34"/>
      <c r="P52" s="34"/>
      <c r="Q52" s="34"/>
      <c r="R52" s="34"/>
      <c r="S52" s="34"/>
      <c r="T52" s="34"/>
      <c r="U52" s="34"/>
      <c r="V52" s="34"/>
      <c r="W52" s="34"/>
      <c r="X52" s="34"/>
      <c r="Y52" s="34"/>
      <c r="Z52" s="34"/>
    </row>
    <row r="53">
      <c r="A53" s="31" t="s">
        <v>2629</v>
      </c>
      <c r="B53" s="31" t="s">
        <v>2631</v>
      </c>
      <c r="C53" s="34"/>
      <c r="D53" s="31">
        <v>6.0</v>
      </c>
      <c r="E53" s="31">
        <v>20.0</v>
      </c>
      <c r="F53" s="31">
        <v>0.0</v>
      </c>
      <c r="G53" s="34">
        <f t="shared" ref="G53:G57" si="10">E53-F53-D53</f>
        <v>14</v>
      </c>
      <c r="H53" s="34"/>
      <c r="I53" s="34"/>
      <c r="J53" s="35"/>
      <c r="K53" s="34"/>
      <c r="L53" s="34"/>
      <c r="M53" s="34"/>
      <c r="N53" s="34"/>
      <c r="O53" s="34"/>
      <c r="P53" s="34"/>
      <c r="Q53" s="34"/>
      <c r="R53" s="34"/>
      <c r="S53" s="34"/>
      <c r="T53" s="34"/>
      <c r="U53" s="34"/>
      <c r="V53" s="34"/>
      <c r="W53" s="34"/>
      <c r="X53" s="34"/>
      <c r="Y53" s="34"/>
      <c r="Z53" s="34"/>
    </row>
    <row r="54">
      <c r="A54" s="57" t="s">
        <v>2629</v>
      </c>
      <c r="B54" s="57" t="s">
        <v>2631</v>
      </c>
      <c r="C54" s="58"/>
      <c r="D54" s="57">
        <v>6.0</v>
      </c>
      <c r="E54" s="57">
        <v>20.0</v>
      </c>
      <c r="F54" s="57">
        <v>0.0</v>
      </c>
      <c r="G54" s="58">
        <f t="shared" si="10"/>
        <v>14</v>
      </c>
      <c r="H54" s="58"/>
      <c r="I54" s="58"/>
      <c r="J54" s="59"/>
      <c r="K54" s="58"/>
      <c r="L54" s="58"/>
      <c r="M54" s="58"/>
      <c r="N54" s="58"/>
      <c r="O54" s="58"/>
      <c r="P54" s="58"/>
      <c r="Q54" s="58"/>
      <c r="R54" s="58"/>
      <c r="S54" s="58"/>
      <c r="T54" s="58"/>
      <c r="U54" s="58"/>
      <c r="V54" s="58"/>
      <c r="W54" s="58"/>
      <c r="X54" s="58"/>
      <c r="Y54" s="58"/>
      <c r="Z54" s="58"/>
    </row>
    <row r="55">
      <c r="A55" s="51" t="s">
        <v>2632</v>
      </c>
      <c r="B55" s="112" t="s">
        <v>2633</v>
      </c>
      <c r="C55" s="52"/>
      <c r="D55" s="51">
        <v>3.5</v>
      </c>
      <c r="E55" s="51">
        <v>30.0</v>
      </c>
      <c r="F55" s="51">
        <v>0.0</v>
      </c>
      <c r="G55" s="52">
        <f t="shared" si="10"/>
        <v>26.5</v>
      </c>
      <c r="H55" s="51">
        <v>30.0</v>
      </c>
      <c r="I55" s="52"/>
      <c r="J55" s="53"/>
      <c r="K55" s="52"/>
      <c r="L55" s="52"/>
      <c r="M55" s="52"/>
      <c r="N55" s="52"/>
      <c r="O55" s="52"/>
      <c r="P55" s="52"/>
      <c r="Q55" s="52"/>
      <c r="R55" s="52"/>
      <c r="S55" s="52"/>
      <c r="T55" s="52"/>
      <c r="U55" s="52"/>
      <c r="V55" s="52"/>
      <c r="W55" s="52"/>
      <c r="X55" s="52"/>
      <c r="Y55" s="52"/>
      <c r="Z55" s="52"/>
    </row>
    <row r="56">
      <c r="A56" s="31" t="s">
        <v>2634</v>
      </c>
      <c r="B56" s="31" t="s">
        <v>2635</v>
      </c>
      <c r="C56" s="34"/>
      <c r="D56" s="31">
        <v>4.25</v>
      </c>
      <c r="E56" s="31">
        <v>20.0</v>
      </c>
      <c r="F56" s="31">
        <v>0.0</v>
      </c>
      <c r="G56" s="34">
        <f t="shared" si="10"/>
        <v>15.75</v>
      </c>
      <c r="H56" s="34"/>
      <c r="I56" s="34"/>
      <c r="J56" s="35"/>
      <c r="K56" s="34"/>
      <c r="L56" s="34"/>
      <c r="M56" s="34"/>
      <c r="N56" s="34"/>
      <c r="O56" s="34"/>
      <c r="P56" s="34"/>
      <c r="Q56" s="34"/>
      <c r="R56" s="34"/>
      <c r="S56" s="34"/>
      <c r="T56" s="34"/>
      <c r="U56" s="34"/>
      <c r="V56" s="34"/>
      <c r="W56" s="34"/>
      <c r="X56" s="34"/>
      <c r="Y56" s="34"/>
      <c r="Z56" s="34"/>
    </row>
    <row r="57">
      <c r="A57" s="31" t="s">
        <v>2343</v>
      </c>
      <c r="B57" s="31" t="s">
        <v>2636</v>
      </c>
      <c r="C57" s="34"/>
      <c r="D57" s="31">
        <v>2.0</v>
      </c>
      <c r="E57" s="31">
        <v>10.0</v>
      </c>
      <c r="F57" s="31">
        <v>0.0</v>
      </c>
      <c r="G57" s="34">
        <f t="shared" si="10"/>
        <v>8</v>
      </c>
      <c r="H57" s="36">
        <v>46131.0</v>
      </c>
      <c r="I57" s="34"/>
      <c r="J57" s="35"/>
      <c r="K57" s="34"/>
      <c r="L57" s="34"/>
      <c r="M57" s="34"/>
      <c r="N57" s="34"/>
      <c r="O57" s="34"/>
      <c r="P57" s="34"/>
      <c r="Q57" s="34"/>
      <c r="R57" s="34"/>
      <c r="S57" s="34"/>
      <c r="T57" s="34"/>
      <c r="U57" s="34"/>
      <c r="V57" s="34"/>
      <c r="W57" s="34"/>
      <c r="X57" s="34"/>
      <c r="Y57" s="34"/>
      <c r="Z57" s="34"/>
    </row>
    <row r="58">
      <c r="A58" s="31" t="s">
        <v>2637</v>
      </c>
      <c r="B58" s="31" t="s">
        <v>2638</v>
      </c>
      <c r="C58" s="34"/>
      <c r="D58" s="31">
        <v>1.5</v>
      </c>
      <c r="E58" s="31">
        <v>15.0</v>
      </c>
      <c r="F58" s="31">
        <v>0.0</v>
      </c>
      <c r="G58" s="34">
        <f t="shared" ref="G58:G59" si="11">E58-D58</f>
        <v>13.5</v>
      </c>
      <c r="H58" s="31"/>
      <c r="I58" s="34"/>
      <c r="J58" s="35"/>
      <c r="K58" s="34"/>
      <c r="L58" s="34"/>
      <c r="M58" s="34"/>
      <c r="N58" s="34"/>
      <c r="O58" s="34"/>
      <c r="P58" s="34"/>
      <c r="Q58" s="34"/>
      <c r="R58" s="34"/>
      <c r="S58" s="34"/>
      <c r="T58" s="34"/>
      <c r="U58" s="34"/>
      <c r="V58" s="34"/>
      <c r="W58" s="34"/>
      <c r="X58" s="34"/>
      <c r="Y58" s="34"/>
      <c r="Z58" s="34"/>
    </row>
    <row r="59">
      <c r="A59" s="31" t="s">
        <v>2637</v>
      </c>
      <c r="B59" s="31" t="s">
        <v>2639</v>
      </c>
      <c r="C59" s="34"/>
      <c r="D59" s="31">
        <v>1.5</v>
      </c>
      <c r="E59" s="31">
        <v>20.0</v>
      </c>
      <c r="F59" s="31">
        <v>0.0</v>
      </c>
      <c r="G59" s="34">
        <f t="shared" si="11"/>
        <v>18.5</v>
      </c>
      <c r="H59" s="31"/>
      <c r="I59" s="34"/>
      <c r="J59" s="35"/>
      <c r="K59" s="34"/>
      <c r="L59" s="34"/>
      <c r="M59" s="34"/>
      <c r="N59" s="34"/>
      <c r="O59" s="34"/>
      <c r="P59" s="34"/>
      <c r="Q59" s="34"/>
      <c r="R59" s="34"/>
      <c r="S59" s="34"/>
      <c r="T59" s="34"/>
      <c r="U59" s="34"/>
      <c r="V59" s="34"/>
      <c r="W59" s="34"/>
      <c r="X59" s="34"/>
      <c r="Y59" s="34"/>
      <c r="Z59" s="34"/>
    </row>
    <row r="60">
      <c r="A60" s="31" t="s">
        <v>2640</v>
      </c>
      <c r="B60" s="31" t="s">
        <v>2641</v>
      </c>
      <c r="C60" s="34"/>
      <c r="D60" s="31">
        <v>5.0</v>
      </c>
      <c r="E60" s="31"/>
      <c r="F60" s="31"/>
      <c r="G60" s="34"/>
      <c r="H60" s="37">
        <v>45696.0</v>
      </c>
      <c r="I60" s="31" t="s">
        <v>2559</v>
      </c>
      <c r="J60" s="35"/>
      <c r="K60" s="34"/>
      <c r="L60" s="34"/>
      <c r="M60" s="34"/>
      <c r="N60" s="34"/>
      <c r="O60" s="34"/>
      <c r="P60" s="34"/>
      <c r="Q60" s="34"/>
      <c r="R60" s="34"/>
      <c r="S60" s="34"/>
      <c r="T60" s="34"/>
      <c r="U60" s="34"/>
      <c r="V60" s="34"/>
      <c r="W60" s="34"/>
      <c r="X60" s="34"/>
      <c r="Y60" s="34"/>
      <c r="Z60" s="34"/>
    </row>
    <row r="61">
      <c r="A61" s="31" t="s">
        <v>2642</v>
      </c>
      <c r="B61" s="31" t="s">
        <v>2643</v>
      </c>
      <c r="C61" s="34"/>
      <c r="D61" s="31">
        <v>17.5</v>
      </c>
      <c r="E61" s="31">
        <v>40.0</v>
      </c>
      <c r="F61" s="31">
        <v>0.0</v>
      </c>
      <c r="G61" s="34">
        <f t="shared" ref="G61:G64" si="12">E61-F61-D61</f>
        <v>22.5</v>
      </c>
      <c r="H61" s="31" t="s">
        <v>1190</v>
      </c>
      <c r="I61" s="34"/>
      <c r="J61" s="113" t="s">
        <v>2644</v>
      </c>
      <c r="K61" s="34"/>
      <c r="L61" s="34"/>
      <c r="M61" s="34"/>
      <c r="N61" s="34"/>
      <c r="O61" s="34"/>
      <c r="P61" s="34"/>
      <c r="Q61" s="34"/>
      <c r="R61" s="34"/>
      <c r="S61" s="34"/>
      <c r="T61" s="34"/>
      <c r="U61" s="34"/>
      <c r="V61" s="34"/>
      <c r="W61" s="34"/>
      <c r="X61" s="34"/>
      <c r="Y61" s="34"/>
      <c r="Z61" s="34"/>
    </row>
    <row r="62">
      <c r="A62" s="31" t="s">
        <v>2645</v>
      </c>
      <c r="B62" s="31" t="s">
        <v>2646</v>
      </c>
      <c r="C62" s="34"/>
      <c r="D62" s="31"/>
      <c r="E62" s="31">
        <v>50.0</v>
      </c>
      <c r="F62" s="31">
        <v>0.0</v>
      </c>
      <c r="G62" s="34">
        <f t="shared" si="12"/>
        <v>50</v>
      </c>
      <c r="H62" s="31"/>
      <c r="I62" s="74"/>
      <c r="J62" s="35"/>
      <c r="K62" s="34"/>
      <c r="L62" s="34"/>
      <c r="M62" s="34"/>
      <c r="N62" s="34"/>
      <c r="O62" s="34"/>
      <c r="P62" s="34"/>
      <c r="Q62" s="34"/>
      <c r="R62" s="34"/>
      <c r="S62" s="34"/>
      <c r="T62" s="34"/>
      <c r="U62" s="34"/>
      <c r="V62" s="34"/>
      <c r="W62" s="34"/>
      <c r="X62" s="34"/>
      <c r="Y62" s="34"/>
      <c r="Z62" s="34"/>
    </row>
    <row r="63">
      <c r="A63" s="31" t="s">
        <v>2645</v>
      </c>
      <c r="B63" s="31" t="s">
        <v>2647</v>
      </c>
      <c r="C63" s="34"/>
      <c r="D63" s="31"/>
      <c r="E63" s="31">
        <v>100.0</v>
      </c>
      <c r="F63" s="31">
        <v>0.0</v>
      </c>
      <c r="G63" s="34">
        <f t="shared" si="12"/>
        <v>100</v>
      </c>
      <c r="H63" s="31"/>
      <c r="I63" s="74"/>
      <c r="J63" s="35"/>
      <c r="K63" s="34"/>
      <c r="L63" s="34"/>
      <c r="M63" s="34"/>
      <c r="N63" s="34"/>
      <c r="O63" s="34"/>
      <c r="P63" s="34"/>
      <c r="Q63" s="34"/>
      <c r="R63" s="34"/>
      <c r="S63" s="34"/>
      <c r="T63" s="34"/>
      <c r="U63" s="34"/>
      <c r="V63" s="34"/>
      <c r="W63" s="34"/>
      <c r="X63" s="34"/>
      <c r="Y63" s="34"/>
      <c r="Z63" s="34"/>
    </row>
    <row r="64">
      <c r="A64" s="31" t="s">
        <v>2645</v>
      </c>
      <c r="B64" s="31" t="s">
        <v>2648</v>
      </c>
      <c r="C64" s="34"/>
      <c r="D64" s="31"/>
      <c r="E64" s="31">
        <v>50.0</v>
      </c>
      <c r="F64" s="31">
        <v>0.0</v>
      </c>
      <c r="G64" s="34">
        <f t="shared" si="12"/>
        <v>50</v>
      </c>
      <c r="H64" s="31"/>
      <c r="I64" s="74"/>
      <c r="J64" s="35"/>
      <c r="K64" s="34"/>
      <c r="L64" s="34"/>
      <c r="M64" s="34"/>
      <c r="N64" s="34"/>
      <c r="O64" s="34"/>
      <c r="P64" s="34"/>
      <c r="Q64" s="34"/>
      <c r="R64" s="34"/>
      <c r="S64" s="34"/>
      <c r="T64" s="34"/>
      <c r="U64" s="34"/>
      <c r="V64" s="34"/>
      <c r="W64" s="34"/>
      <c r="X64" s="34"/>
      <c r="Y64" s="34"/>
      <c r="Z64" s="34"/>
    </row>
    <row r="65">
      <c r="A65" s="10" t="s">
        <v>2351</v>
      </c>
      <c r="B65" s="108" t="s">
        <v>2649</v>
      </c>
      <c r="C65" s="11"/>
      <c r="D65" s="10">
        <v>8.49</v>
      </c>
      <c r="E65" s="11"/>
      <c r="F65" s="11"/>
      <c r="G65" s="10"/>
      <c r="H65" s="63">
        <v>45935.0</v>
      </c>
      <c r="I65" s="11"/>
      <c r="J65" s="12"/>
      <c r="K65" s="11"/>
      <c r="L65" s="11"/>
      <c r="M65" s="11"/>
      <c r="N65" s="11"/>
      <c r="O65" s="11"/>
      <c r="P65" s="11"/>
      <c r="Q65" s="11"/>
      <c r="R65" s="11"/>
      <c r="S65" s="11"/>
      <c r="T65" s="11"/>
      <c r="U65" s="11"/>
      <c r="V65" s="11"/>
      <c r="W65" s="11"/>
      <c r="X65" s="11"/>
      <c r="Y65" s="11"/>
      <c r="Z65" s="11"/>
    </row>
    <row r="66">
      <c r="A66" s="51" t="s">
        <v>2650</v>
      </c>
      <c r="B66" s="112" t="s">
        <v>2651</v>
      </c>
      <c r="C66" s="52"/>
      <c r="D66" s="51">
        <v>2.5</v>
      </c>
      <c r="E66" s="51">
        <v>20.0</v>
      </c>
      <c r="F66" s="51">
        <v>0.0</v>
      </c>
      <c r="G66" s="52">
        <f>E66-F66-D66</f>
        <v>17.5</v>
      </c>
      <c r="H66" s="51">
        <v>20.0</v>
      </c>
      <c r="I66" s="114" t="s">
        <v>2652</v>
      </c>
      <c r="J66" s="53"/>
      <c r="K66" s="52"/>
      <c r="L66" s="52"/>
      <c r="M66" s="52"/>
      <c r="N66" s="52"/>
      <c r="O66" s="52"/>
      <c r="P66" s="52"/>
      <c r="Q66" s="52"/>
      <c r="R66" s="52"/>
      <c r="S66" s="52"/>
      <c r="T66" s="52"/>
      <c r="U66" s="52"/>
      <c r="V66" s="52"/>
      <c r="W66" s="52"/>
      <c r="X66" s="52"/>
      <c r="Y66" s="52"/>
      <c r="Z66" s="52"/>
    </row>
    <row r="67">
      <c r="A67" s="38" t="s">
        <v>2653</v>
      </c>
      <c r="B67" s="38" t="s">
        <v>2654</v>
      </c>
      <c r="C67" s="39"/>
      <c r="D67" s="38">
        <v>2.5</v>
      </c>
      <c r="E67" s="39"/>
      <c r="F67" s="39"/>
      <c r="G67" s="39"/>
      <c r="H67" s="40">
        <v>45893.0</v>
      </c>
      <c r="I67" s="76" t="s">
        <v>2655</v>
      </c>
      <c r="J67" s="41"/>
      <c r="K67" s="39"/>
      <c r="L67" s="39"/>
      <c r="M67" s="39"/>
      <c r="N67" s="39"/>
      <c r="O67" s="39"/>
      <c r="P67" s="39"/>
      <c r="Q67" s="39"/>
      <c r="R67" s="39"/>
      <c r="S67" s="39"/>
      <c r="T67" s="39"/>
      <c r="U67" s="39"/>
      <c r="V67" s="39"/>
      <c r="W67" s="39"/>
      <c r="X67" s="39"/>
      <c r="Y67" s="39"/>
      <c r="Z67" s="39"/>
    </row>
    <row r="68">
      <c r="A68" s="10" t="s">
        <v>2656</v>
      </c>
      <c r="B68" s="10" t="s">
        <v>2657</v>
      </c>
      <c r="C68" s="10"/>
      <c r="D68" s="10">
        <v>3.25</v>
      </c>
      <c r="E68" s="11"/>
      <c r="F68" s="11"/>
      <c r="G68" s="11"/>
      <c r="H68" s="63">
        <v>45935.0</v>
      </c>
      <c r="I68" s="78"/>
      <c r="J68" s="100"/>
      <c r="K68" s="11"/>
      <c r="L68" s="11"/>
      <c r="M68" s="11"/>
      <c r="N68" s="11"/>
      <c r="O68" s="11"/>
      <c r="P68" s="11"/>
      <c r="Q68" s="11"/>
      <c r="R68" s="11"/>
      <c r="S68" s="11"/>
      <c r="T68" s="11"/>
      <c r="U68" s="11"/>
      <c r="V68" s="11"/>
      <c r="W68" s="11"/>
      <c r="X68" s="11"/>
      <c r="Y68" s="11"/>
      <c r="Z68" s="11"/>
    </row>
    <row r="69">
      <c r="A69" s="31" t="s">
        <v>2656</v>
      </c>
      <c r="B69" s="31" t="s">
        <v>2658</v>
      </c>
      <c r="C69" s="31"/>
      <c r="D69" s="31">
        <v>2.25</v>
      </c>
      <c r="E69" s="34"/>
      <c r="F69" s="34"/>
      <c r="G69" s="34"/>
      <c r="H69" s="31" t="s">
        <v>1195</v>
      </c>
      <c r="I69" s="74"/>
      <c r="J69" s="61"/>
      <c r="K69" s="34"/>
      <c r="L69" s="34"/>
      <c r="M69" s="34"/>
      <c r="N69" s="34"/>
      <c r="O69" s="34"/>
      <c r="P69" s="34"/>
      <c r="Q69" s="34"/>
      <c r="R69" s="34"/>
      <c r="S69" s="34"/>
      <c r="T69" s="34"/>
      <c r="U69" s="34"/>
      <c r="V69" s="34"/>
      <c r="W69" s="34"/>
      <c r="X69" s="34"/>
      <c r="Y69" s="34"/>
      <c r="Z69" s="34"/>
    </row>
    <row r="70">
      <c r="A70" s="57" t="s">
        <v>2659</v>
      </c>
      <c r="B70" s="110" t="s">
        <v>2660</v>
      </c>
      <c r="C70" s="58"/>
      <c r="D70" s="58">
        <f>0.85*4</f>
        <v>3.4</v>
      </c>
      <c r="E70" s="57">
        <v>30.0</v>
      </c>
      <c r="F70" s="57">
        <v>0.0</v>
      </c>
      <c r="G70" s="58">
        <f>E70-F70-D70</f>
        <v>26.6</v>
      </c>
      <c r="H70" s="57">
        <v>40.0</v>
      </c>
      <c r="I70" s="58"/>
      <c r="J70" s="59"/>
      <c r="K70" s="58"/>
      <c r="L70" s="58"/>
      <c r="M70" s="58"/>
      <c r="N70" s="58"/>
      <c r="O70" s="58"/>
      <c r="P70" s="58"/>
      <c r="Q70" s="58"/>
      <c r="R70" s="58"/>
      <c r="S70" s="58"/>
      <c r="T70" s="58"/>
      <c r="U70" s="58"/>
      <c r="V70" s="58"/>
      <c r="W70" s="58"/>
      <c r="X70" s="58"/>
      <c r="Y70" s="58"/>
      <c r="Z70" s="58"/>
    </row>
    <row r="71">
      <c r="A71" s="31" t="s">
        <v>2659</v>
      </c>
      <c r="B71" s="115" t="s">
        <v>2661</v>
      </c>
      <c r="C71" s="34"/>
      <c r="D71" s="31">
        <v>2.5</v>
      </c>
      <c r="E71" s="34"/>
      <c r="F71" s="34"/>
      <c r="G71" s="34"/>
      <c r="H71" s="36">
        <v>45767.0</v>
      </c>
      <c r="I71" s="34"/>
      <c r="J71" s="35"/>
      <c r="K71" s="34"/>
      <c r="L71" s="34"/>
      <c r="M71" s="34"/>
      <c r="N71" s="34"/>
      <c r="O71" s="34"/>
      <c r="P71" s="34"/>
      <c r="Q71" s="34"/>
      <c r="R71" s="34"/>
      <c r="S71" s="34"/>
      <c r="T71" s="34"/>
      <c r="U71" s="34"/>
      <c r="V71" s="34"/>
      <c r="W71" s="34"/>
      <c r="X71" s="34"/>
      <c r="Y71" s="34"/>
      <c r="Z71" s="34"/>
    </row>
    <row r="72">
      <c r="A72" s="31" t="s">
        <v>2662</v>
      </c>
      <c r="B72" s="31" t="s">
        <v>2663</v>
      </c>
      <c r="C72" s="34"/>
      <c r="D72" s="31">
        <v>7.5</v>
      </c>
      <c r="E72" s="34"/>
      <c r="F72" s="34"/>
      <c r="G72" s="34"/>
      <c r="H72" s="36">
        <v>45767.0</v>
      </c>
      <c r="I72" s="60" t="s">
        <v>2664</v>
      </c>
      <c r="J72" s="35"/>
      <c r="K72" s="34"/>
      <c r="L72" s="34"/>
      <c r="M72" s="34"/>
      <c r="N72" s="34"/>
      <c r="O72" s="34"/>
      <c r="P72" s="34"/>
      <c r="Q72" s="34"/>
      <c r="R72" s="34"/>
      <c r="S72" s="34"/>
      <c r="T72" s="34"/>
      <c r="U72" s="34"/>
      <c r="V72" s="34"/>
      <c r="W72" s="34"/>
      <c r="X72" s="34"/>
      <c r="Y72" s="34"/>
      <c r="Z72" s="34"/>
    </row>
    <row r="73">
      <c r="A73" s="31" t="s">
        <v>2665</v>
      </c>
      <c r="B73" s="31" t="s">
        <v>2666</v>
      </c>
      <c r="C73" s="31"/>
      <c r="D73" s="31">
        <v>17.0</v>
      </c>
      <c r="E73" s="31">
        <v>50.0</v>
      </c>
      <c r="F73" s="31">
        <v>0.0</v>
      </c>
      <c r="G73" s="34">
        <f t="shared" ref="G73:G75" si="13">E73-F73-D73</f>
        <v>33</v>
      </c>
      <c r="H73" s="31"/>
      <c r="I73" s="31"/>
      <c r="J73" s="61"/>
      <c r="K73" s="34"/>
      <c r="L73" s="34"/>
      <c r="M73" s="34"/>
      <c r="N73" s="34"/>
      <c r="O73" s="34"/>
      <c r="P73" s="34"/>
      <c r="Q73" s="34"/>
      <c r="R73" s="34"/>
      <c r="S73" s="34"/>
      <c r="T73" s="34"/>
      <c r="U73" s="34"/>
      <c r="V73" s="34"/>
      <c r="W73" s="34"/>
      <c r="X73" s="34"/>
      <c r="Y73" s="34"/>
      <c r="Z73" s="34"/>
    </row>
    <row r="74">
      <c r="A74" s="51" t="s">
        <v>2367</v>
      </c>
      <c r="B74" s="112" t="s">
        <v>2667</v>
      </c>
      <c r="C74" s="52"/>
      <c r="D74" s="51">
        <v>8.0</v>
      </c>
      <c r="E74" s="51">
        <v>25.0</v>
      </c>
      <c r="F74" s="51">
        <v>0.0</v>
      </c>
      <c r="G74" s="52">
        <f t="shared" si="13"/>
        <v>17</v>
      </c>
      <c r="H74" s="51">
        <v>40.0</v>
      </c>
      <c r="I74" s="52"/>
      <c r="J74" s="53"/>
      <c r="K74" s="52"/>
      <c r="L74" s="52"/>
      <c r="M74" s="52"/>
      <c r="N74" s="52"/>
      <c r="O74" s="52"/>
      <c r="P74" s="52"/>
      <c r="Q74" s="52"/>
      <c r="R74" s="52"/>
      <c r="S74" s="52"/>
      <c r="T74" s="52"/>
      <c r="U74" s="52"/>
      <c r="V74" s="52"/>
      <c r="W74" s="52"/>
      <c r="X74" s="52"/>
      <c r="Y74" s="52"/>
      <c r="Z74" s="52"/>
    </row>
    <row r="75">
      <c r="A75" s="51" t="s">
        <v>2367</v>
      </c>
      <c r="B75" s="112" t="s">
        <v>2668</v>
      </c>
      <c r="C75" s="52"/>
      <c r="D75" s="51">
        <v>10.0</v>
      </c>
      <c r="E75" s="51">
        <v>20.0</v>
      </c>
      <c r="F75" s="51">
        <v>0.0</v>
      </c>
      <c r="G75" s="52">
        <f t="shared" si="13"/>
        <v>10</v>
      </c>
      <c r="H75" s="51">
        <v>30.0</v>
      </c>
      <c r="I75" s="52"/>
      <c r="J75" s="53"/>
      <c r="K75" s="52"/>
      <c r="L75" s="52"/>
      <c r="M75" s="52"/>
      <c r="N75" s="52"/>
      <c r="O75" s="52"/>
      <c r="P75" s="52"/>
      <c r="Q75" s="52"/>
      <c r="R75" s="52"/>
      <c r="S75" s="52"/>
      <c r="T75" s="52"/>
      <c r="U75" s="52"/>
      <c r="V75" s="52"/>
      <c r="W75" s="52"/>
      <c r="X75" s="52"/>
      <c r="Y75" s="52"/>
      <c r="Z75" s="52"/>
    </row>
    <row r="76">
      <c r="A76" s="10" t="s">
        <v>2389</v>
      </c>
      <c r="B76" s="10" t="s">
        <v>2669</v>
      </c>
      <c r="C76" s="11"/>
      <c r="D76" s="10">
        <v>4.5</v>
      </c>
      <c r="E76" s="11"/>
      <c r="F76" s="11"/>
      <c r="G76" s="11"/>
      <c r="H76" s="63">
        <v>45935.0</v>
      </c>
      <c r="I76" s="10"/>
      <c r="J76" s="100"/>
      <c r="K76" s="11"/>
      <c r="L76" s="11"/>
      <c r="M76" s="11"/>
      <c r="N76" s="11"/>
      <c r="O76" s="11"/>
      <c r="P76" s="11"/>
      <c r="Q76" s="11"/>
      <c r="R76" s="11"/>
      <c r="S76" s="11"/>
      <c r="T76" s="11"/>
      <c r="U76" s="11"/>
      <c r="V76" s="11"/>
      <c r="W76" s="11"/>
      <c r="X76" s="11"/>
      <c r="Y76" s="11"/>
      <c r="Z76" s="11"/>
    </row>
    <row r="77">
      <c r="A77" s="31" t="s">
        <v>2389</v>
      </c>
      <c r="B77" s="31" t="s">
        <v>2670</v>
      </c>
      <c r="C77" s="34"/>
      <c r="D77" s="31">
        <v>2.5</v>
      </c>
      <c r="E77" s="34"/>
      <c r="F77" s="34"/>
      <c r="G77" s="34"/>
      <c r="H77" s="31" t="s">
        <v>1195</v>
      </c>
      <c r="I77" s="31"/>
      <c r="J77" s="61" t="s">
        <v>2671</v>
      </c>
      <c r="K77" s="34"/>
      <c r="L77" s="34"/>
      <c r="M77" s="34"/>
      <c r="N77" s="34"/>
      <c r="O77" s="34"/>
      <c r="P77" s="34"/>
      <c r="Q77" s="34"/>
      <c r="R77" s="34"/>
      <c r="S77" s="34"/>
      <c r="T77" s="34"/>
      <c r="U77" s="34"/>
      <c r="V77" s="34"/>
      <c r="W77" s="34"/>
      <c r="X77" s="34"/>
      <c r="Y77" s="34"/>
      <c r="Z77" s="34"/>
    </row>
    <row r="78">
      <c r="A78" s="31" t="s">
        <v>2389</v>
      </c>
      <c r="B78" s="31" t="s">
        <v>2672</v>
      </c>
      <c r="C78" s="34"/>
      <c r="D78" s="31">
        <v>6.5</v>
      </c>
      <c r="E78" s="31">
        <v>20.0</v>
      </c>
      <c r="F78" s="31">
        <v>0.0</v>
      </c>
      <c r="G78" s="34">
        <f>E78-F78-D78</f>
        <v>13.5</v>
      </c>
      <c r="H78" s="31" t="s">
        <v>1190</v>
      </c>
      <c r="I78" s="31"/>
      <c r="J78" s="61"/>
      <c r="K78" s="34"/>
      <c r="L78" s="34"/>
      <c r="M78" s="34"/>
      <c r="N78" s="34"/>
      <c r="O78" s="34"/>
      <c r="P78" s="34"/>
      <c r="Q78" s="34"/>
      <c r="R78" s="34"/>
      <c r="S78" s="34"/>
      <c r="T78" s="34"/>
      <c r="U78" s="34"/>
      <c r="V78" s="34"/>
      <c r="W78" s="34"/>
      <c r="X78" s="34"/>
      <c r="Y78" s="34"/>
      <c r="Z78" s="34"/>
    </row>
    <row r="79">
      <c r="A79" s="31" t="s">
        <v>2673</v>
      </c>
      <c r="B79" s="31" t="s">
        <v>2674</v>
      </c>
      <c r="C79" s="31" t="s">
        <v>2675</v>
      </c>
      <c r="D79" s="31">
        <v>3.5</v>
      </c>
      <c r="E79" s="34"/>
      <c r="F79" s="34"/>
      <c r="G79" s="34"/>
      <c r="H79" s="36">
        <v>45767.0</v>
      </c>
      <c r="I79" s="60" t="s">
        <v>2676</v>
      </c>
      <c r="J79" s="35"/>
      <c r="K79" s="34"/>
      <c r="L79" s="34"/>
      <c r="M79" s="34"/>
      <c r="N79" s="34"/>
      <c r="O79" s="34"/>
      <c r="P79" s="34"/>
      <c r="Q79" s="34"/>
      <c r="R79" s="34"/>
      <c r="S79" s="34"/>
      <c r="T79" s="34"/>
      <c r="U79" s="34"/>
      <c r="V79" s="34"/>
      <c r="W79" s="34"/>
      <c r="X79" s="34"/>
      <c r="Y79" s="34"/>
      <c r="Z79" s="34"/>
    </row>
    <row r="80">
      <c r="A80" s="31" t="s">
        <v>2677</v>
      </c>
      <c r="B80" s="31" t="s">
        <v>2678</v>
      </c>
      <c r="C80" s="31"/>
      <c r="D80" s="31">
        <v>1.8</v>
      </c>
      <c r="E80" s="31">
        <v>20.0</v>
      </c>
      <c r="F80" s="31">
        <v>0.0</v>
      </c>
      <c r="G80" s="34">
        <f>E80-F80-D80</f>
        <v>18.2</v>
      </c>
      <c r="H80" s="31" t="s">
        <v>1190</v>
      </c>
      <c r="I80" s="31"/>
      <c r="J80" s="35"/>
      <c r="K80" s="34"/>
      <c r="L80" s="34"/>
      <c r="M80" s="34"/>
      <c r="N80" s="34"/>
      <c r="O80" s="34"/>
      <c r="P80" s="34"/>
      <c r="Q80" s="34"/>
      <c r="R80" s="34"/>
      <c r="S80" s="34"/>
      <c r="T80" s="34"/>
      <c r="U80" s="34"/>
      <c r="V80" s="34"/>
      <c r="W80" s="34"/>
      <c r="X80" s="34"/>
      <c r="Y80" s="34"/>
      <c r="Z80" s="34"/>
    </row>
    <row r="81">
      <c r="A81" s="10" t="s">
        <v>2679</v>
      </c>
      <c r="B81" s="10" t="s">
        <v>2680</v>
      </c>
      <c r="C81" s="11"/>
      <c r="D81" s="10">
        <v>6.5</v>
      </c>
      <c r="E81" s="11"/>
      <c r="F81" s="11"/>
      <c r="G81" s="11"/>
      <c r="H81" s="63">
        <v>45935.0</v>
      </c>
      <c r="I81" s="10"/>
      <c r="J81" s="12"/>
      <c r="K81" s="11"/>
      <c r="L81" s="11"/>
      <c r="M81" s="11"/>
      <c r="N81" s="11"/>
      <c r="O81" s="11"/>
      <c r="P81" s="11"/>
      <c r="Q81" s="11"/>
      <c r="R81" s="11"/>
      <c r="S81" s="11"/>
      <c r="T81" s="11"/>
      <c r="U81" s="11"/>
      <c r="V81" s="11"/>
      <c r="W81" s="11"/>
      <c r="X81" s="11"/>
      <c r="Y81" s="11"/>
      <c r="Z81" s="11"/>
    </row>
    <row r="82">
      <c r="A82" s="57" t="s">
        <v>2681</v>
      </c>
      <c r="B82" s="110" t="s">
        <v>2682</v>
      </c>
      <c r="C82" s="58"/>
      <c r="D82" s="57">
        <v>5.5</v>
      </c>
      <c r="E82" s="57">
        <v>40.0</v>
      </c>
      <c r="F82" s="57">
        <v>0.0</v>
      </c>
      <c r="G82" s="58">
        <f>E82-F82-D82</f>
        <v>34.5</v>
      </c>
      <c r="H82" s="57">
        <v>60.0</v>
      </c>
      <c r="I82" s="116" t="s">
        <v>2683</v>
      </c>
      <c r="J82" s="59"/>
      <c r="K82" s="58"/>
      <c r="L82" s="58"/>
      <c r="M82" s="58"/>
      <c r="N82" s="58"/>
      <c r="O82" s="58"/>
      <c r="P82" s="58"/>
      <c r="Q82" s="58"/>
      <c r="R82" s="58"/>
      <c r="S82" s="58"/>
      <c r="T82" s="58"/>
      <c r="U82" s="58"/>
      <c r="V82" s="58"/>
      <c r="W82" s="58"/>
      <c r="X82" s="58"/>
      <c r="Y82" s="58"/>
      <c r="Z82" s="58"/>
    </row>
    <row r="83">
      <c r="A83" s="31" t="s">
        <v>2684</v>
      </c>
      <c r="B83" s="31" t="s">
        <v>2685</v>
      </c>
      <c r="C83" s="34"/>
      <c r="D83" s="31">
        <v>6.0</v>
      </c>
      <c r="E83" s="31">
        <v>10.0</v>
      </c>
      <c r="F83" s="31">
        <v>0.0</v>
      </c>
      <c r="G83" s="34">
        <f>E83-D83</f>
        <v>4</v>
      </c>
      <c r="H83" s="31"/>
      <c r="I83" s="31"/>
      <c r="J83" s="35"/>
      <c r="K83" s="34"/>
      <c r="L83" s="34"/>
      <c r="M83" s="34"/>
      <c r="N83" s="34"/>
      <c r="O83" s="34"/>
      <c r="P83" s="34"/>
      <c r="Q83" s="34"/>
      <c r="R83" s="34"/>
      <c r="S83" s="34"/>
      <c r="T83" s="34"/>
      <c r="U83" s="34"/>
      <c r="V83" s="34"/>
      <c r="W83" s="34"/>
      <c r="X83" s="34"/>
      <c r="Y83" s="34"/>
      <c r="Z83" s="34"/>
    </row>
    <row r="84">
      <c r="A84" s="31" t="s">
        <v>2686</v>
      </c>
      <c r="B84" s="31" t="s">
        <v>2687</v>
      </c>
      <c r="C84" s="34"/>
      <c r="D84" s="31">
        <v>15.0</v>
      </c>
      <c r="E84" s="31">
        <v>30.0</v>
      </c>
      <c r="F84" s="31">
        <v>0.0</v>
      </c>
      <c r="G84" s="34">
        <f>E84-F84-D84</f>
        <v>15</v>
      </c>
      <c r="H84" s="31"/>
      <c r="I84" s="31"/>
      <c r="J84" s="35"/>
      <c r="K84" s="34"/>
      <c r="L84" s="34"/>
      <c r="M84" s="34"/>
      <c r="N84" s="34"/>
      <c r="O84" s="34"/>
      <c r="P84" s="34"/>
      <c r="Q84" s="34"/>
      <c r="R84" s="34"/>
      <c r="S84" s="34"/>
      <c r="T84" s="34"/>
      <c r="U84" s="34"/>
      <c r="V84" s="34"/>
      <c r="W84" s="34"/>
      <c r="X84" s="34"/>
      <c r="Y84" s="34"/>
      <c r="Z84" s="34"/>
    </row>
    <row r="85">
      <c r="A85" s="31" t="s">
        <v>2688</v>
      </c>
      <c r="B85" s="31" t="s">
        <v>2689</v>
      </c>
      <c r="C85" s="34"/>
      <c r="D85" s="31">
        <v>0.0</v>
      </c>
      <c r="E85" s="31"/>
      <c r="F85" s="31"/>
      <c r="G85" s="34"/>
      <c r="H85" s="37">
        <v>45696.0</v>
      </c>
      <c r="I85" s="31" t="s">
        <v>2690</v>
      </c>
      <c r="J85" s="35"/>
      <c r="K85" s="34"/>
      <c r="L85" s="34"/>
      <c r="M85" s="34"/>
      <c r="N85" s="34"/>
      <c r="O85" s="34"/>
      <c r="P85" s="34"/>
      <c r="Q85" s="34"/>
      <c r="R85" s="34"/>
      <c r="S85" s="34"/>
      <c r="T85" s="34"/>
      <c r="U85" s="34"/>
      <c r="V85" s="34"/>
      <c r="W85" s="34"/>
      <c r="X85" s="34"/>
      <c r="Y85" s="34"/>
      <c r="Z85" s="34"/>
    </row>
    <row r="86">
      <c r="A86" s="70" t="s">
        <v>2691</v>
      </c>
      <c r="B86" s="70" t="s">
        <v>2692</v>
      </c>
      <c r="C86" s="73"/>
      <c r="D86" s="71">
        <v>8.5</v>
      </c>
      <c r="E86" s="71">
        <v>25.0</v>
      </c>
      <c r="F86" s="71">
        <v>0.0</v>
      </c>
      <c r="G86" s="34">
        <f t="shared" ref="G86:G95" si="14">E86-F86-D86</f>
        <v>16.5</v>
      </c>
      <c r="H86" s="117" t="s">
        <v>1190</v>
      </c>
      <c r="I86" s="70"/>
      <c r="J86" s="73"/>
      <c r="K86" s="73"/>
      <c r="L86" s="73"/>
      <c r="M86" s="73"/>
      <c r="N86" s="73"/>
      <c r="O86" s="73"/>
      <c r="P86" s="73"/>
      <c r="Q86" s="73"/>
      <c r="R86" s="73"/>
      <c r="S86" s="73"/>
      <c r="T86" s="73"/>
      <c r="U86" s="73"/>
      <c r="V86" s="73"/>
      <c r="W86" s="73"/>
      <c r="X86" s="73"/>
      <c r="Y86" s="73"/>
      <c r="Z86" s="73"/>
    </row>
    <row r="87">
      <c r="A87" s="70" t="s">
        <v>2693</v>
      </c>
      <c r="B87" s="70" t="s">
        <v>2694</v>
      </c>
      <c r="C87" s="73"/>
      <c r="D87" s="71">
        <v>3.0</v>
      </c>
      <c r="E87" s="71">
        <v>20.0</v>
      </c>
      <c r="F87" s="71">
        <v>0.0</v>
      </c>
      <c r="G87" s="34">
        <f t="shared" si="14"/>
        <v>17</v>
      </c>
      <c r="H87" s="117" t="s">
        <v>1190</v>
      </c>
      <c r="I87" s="70"/>
      <c r="J87" s="73"/>
      <c r="K87" s="73"/>
      <c r="L87" s="73"/>
      <c r="M87" s="73"/>
      <c r="N87" s="73"/>
      <c r="O87" s="73"/>
      <c r="P87" s="73"/>
      <c r="Q87" s="73"/>
      <c r="R87" s="73"/>
      <c r="S87" s="73"/>
      <c r="T87" s="73"/>
      <c r="U87" s="73"/>
      <c r="V87" s="73"/>
      <c r="W87" s="73"/>
      <c r="X87" s="73"/>
      <c r="Y87" s="73"/>
      <c r="Z87" s="73"/>
    </row>
    <row r="88">
      <c r="A88" s="51" t="s">
        <v>2695</v>
      </c>
      <c r="B88" s="51" t="s">
        <v>2696</v>
      </c>
      <c r="C88" s="52"/>
      <c r="D88" s="51">
        <v>2.5</v>
      </c>
      <c r="E88" s="51">
        <v>10.0</v>
      </c>
      <c r="F88" s="51">
        <v>0.0</v>
      </c>
      <c r="G88" s="52">
        <f t="shared" si="14"/>
        <v>7.5</v>
      </c>
      <c r="H88" s="52"/>
      <c r="I88" s="52"/>
      <c r="J88" s="53"/>
      <c r="K88" s="52"/>
      <c r="L88" s="52"/>
      <c r="M88" s="52"/>
      <c r="N88" s="52"/>
      <c r="O88" s="52"/>
      <c r="P88" s="52"/>
      <c r="Q88" s="52"/>
      <c r="R88" s="52"/>
      <c r="S88" s="52"/>
      <c r="T88" s="52"/>
      <c r="U88" s="52"/>
      <c r="V88" s="52"/>
      <c r="W88" s="52"/>
      <c r="X88" s="52"/>
      <c r="Y88" s="52"/>
      <c r="Z88" s="52"/>
    </row>
    <row r="89">
      <c r="A89" s="31" t="s">
        <v>2697</v>
      </c>
      <c r="B89" s="31" t="s">
        <v>2698</v>
      </c>
      <c r="C89" s="34"/>
      <c r="D89" s="31">
        <v>7.0</v>
      </c>
      <c r="E89" s="31">
        <v>40.0</v>
      </c>
      <c r="F89" s="31">
        <v>0.0</v>
      </c>
      <c r="G89" s="34">
        <f t="shared" si="14"/>
        <v>33</v>
      </c>
      <c r="H89" s="31" t="s">
        <v>1190</v>
      </c>
      <c r="I89" s="74"/>
      <c r="J89" s="35"/>
      <c r="K89" s="34"/>
      <c r="L89" s="34"/>
      <c r="M89" s="34"/>
      <c r="N89" s="34"/>
      <c r="O89" s="34"/>
      <c r="P89" s="34"/>
      <c r="Q89" s="34"/>
      <c r="R89" s="34"/>
      <c r="S89" s="34"/>
      <c r="T89" s="34"/>
      <c r="U89" s="34"/>
      <c r="V89" s="34"/>
      <c r="W89" s="34"/>
      <c r="X89" s="34"/>
      <c r="Y89" s="34"/>
      <c r="Z89" s="34"/>
    </row>
    <row r="90">
      <c r="A90" s="31" t="s">
        <v>2699</v>
      </c>
      <c r="B90" s="31" t="s">
        <v>2700</v>
      </c>
      <c r="C90" s="34"/>
      <c r="D90" s="31">
        <v>3.5</v>
      </c>
      <c r="E90" s="31">
        <v>10.0</v>
      </c>
      <c r="F90" s="31">
        <v>0.0</v>
      </c>
      <c r="G90" s="34">
        <f t="shared" si="14"/>
        <v>6.5</v>
      </c>
      <c r="H90" s="31" t="s">
        <v>1190</v>
      </c>
      <c r="I90" s="74"/>
      <c r="J90" s="35"/>
      <c r="K90" s="34"/>
      <c r="L90" s="34"/>
      <c r="M90" s="34"/>
      <c r="N90" s="34"/>
      <c r="O90" s="34"/>
      <c r="P90" s="34"/>
      <c r="Q90" s="34"/>
      <c r="R90" s="34"/>
      <c r="S90" s="34"/>
      <c r="T90" s="34"/>
      <c r="U90" s="34"/>
      <c r="V90" s="34"/>
      <c r="W90" s="34"/>
      <c r="X90" s="34"/>
      <c r="Y90" s="34"/>
      <c r="Z90" s="34"/>
    </row>
    <row r="91">
      <c r="A91" s="51" t="s">
        <v>2699</v>
      </c>
      <c r="B91" s="51" t="s">
        <v>2701</v>
      </c>
      <c r="C91" s="52"/>
      <c r="D91" s="51">
        <v>2.5</v>
      </c>
      <c r="E91" s="51">
        <v>10.0</v>
      </c>
      <c r="F91" s="51">
        <v>0.0</v>
      </c>
      <c r="G91" s="52">
        <f t="shared" si="14"/>
        <v>7.5</v>
      </c>
      <c r="H91" s="52"/>
      <c r="I91" s="52"/>
      <c r="J91" s="53"/>
      <c r="K91" s="52"/>
      <c r="L91" s="52"/>
      <c r="M91" s="52"/>
      <c r="N91" s="52"/>
      <c r="O91" s="52"/>
      <c r="P91" s="52"/>
      <c r="Q91" s="52"/>
      <c r="R91" s="52"/>
      <c r="S91" s="52"/>
      <c r="T91" s="52"/>
      <c r="U91" s="52"/>
      <c r="V91" s="52"/>
      <c r="W91" s="52"/>
      <c r="X91" s="52"/>
      <c r="Y91" s="52"/>
      <c r="Z91" s="52"/>
    </row>
    <row r="92">
      <c r="A92" s="51" t="s">
        <v>2699</v>
      </c>
      <c r="B92" s="51" t="s">
        <v>2702</v>
      </c>
      <c r="C92" s="52"/>
      <c r="D92" s="51">
        <v>2.5</v>
      </c>
      <c r="E92" s="51">
        <v>10.0</v>
      </c>
      <c r="F92" s="51">
        <v>0.0</v>
      </c>
      <c r="G92" s="52">
        <f t="shared" si="14"/>
        <v>7.5</v>
      </c>
      <c r="H92" s="52"/>
      <c r="I92" s="52"/>
      <c r="J92" s="53"/>
      <c r="K92" s="52"/>
      <c r="L92" s="52"/>
      <c r="M92" s="52"/>
      <c r="N92" s="52"/>
      <c r="O92" s="52"/>
      <c r="P92" s="52"/>
      <c r="Q92" s="52"/>
      <c r="R92" s="52"/>
      <c r="S92" s="52"/>
      <c r="T92" s="52"/>
      <c r="U92" s="52"/>
      <c r="V92" s="52"/>
      <c r="W92" s="52"/>
      <c r="X92" s="52"/>
      <c r="Y92" s="52"/>
      <c r="Z92" s="52"/>
    </row>
    <row r="93">
      <c r="A93" s="51" t="s">
        <v>2699</v>
      </c>
      <c r="B93" s="51" t="s">
        <v>2703</v>
      </c>
      <c r="C93" s="52"/>
      <c r="D93" s="51">
        <v>4.5</v>
      </c>
      <c r="E93" s="51">
        <v>10.0</v>
      </c>
      <c r="F93" s="51">
        <v>0.0</v>
      </c>
      <c r="G93" s="52">
        <f t="shared" si="14"/>
        <v>5.5</v>
      </c>
      <c r="H93" s="52"/>
      <c r="I93" s="52"/>
      <c r="J93" s="53"/>
      <c r="K93" s="52"/>
      <c r="L93" s="52"/>
      <c r="M93" s="52"/>
      <c r="N93" s="52"/>
      <c r="O93" s="52"/>
      <c r="P93" s="52"/>
      <c r="Q93" s="52"/>
      <c r="R93" s="52"/>
      <c r="S93" s="52"/>
      <c r="T93" s="52"/>
      <c r="U93" s="52"/>
      <c r="V93" s="52"/>
      <c r="W93" s="52"/>
      <c r="X93" s="52"/>
      <c r="Y93" s="52"/>
      <c r="Z93" s="52"/>
    </row>
    <row r="94">
      <c r="A94" s="31" t="s">
        <v>2704</v>
      </c>
      <c r="B94" s="31" t="s">
        <v>2705</v>
      </c>
      <c r="C94" s="34"/>
      <c r="D94" s="31">
        <v>1.5</v>
      </c>
      <c r="E94" s="31">
        <v>15.0</v>
      </c>
      <c r="F94" s="31">
        <v>0.0</v>
      </c>
      <c r="G94" s="34">
        <f t="shared" si="14"/>
        <v>13.5</v>
      </c>
      <c r="H94" s="31" t="s">
        <v>1190</v>
      </c>
      <c r="I94" s="34"/>
      <c r="J94" s="35"/>
      <c r="K94" s="34"/>
      <c r="L94" s="34"/>
      <c r="M94" s="34"/>
      <c r="N94" s="34"/>
      <c r="O94" s="34"/>
      <c r="P94" s="34"/>
      <c r="Q94" s="34"/>
      <c r="R94" s="34"/>
      <c r="S94" s="34"/>
      <c r="T94" s="34"/>
      <c r="U94" s="34"/>
      <c r="V94" s="34"/>
      <c r="W94" s="34"/>
      <c r="X94" s="34"/>
      <c r="Y94" s="34"/>
      <c r="Z94" s="34"/>
    </row>
    <row r="95">
      <c r="A95" s="57" t="s">
        <v>2706</v>
      </c>
      <c r="B95" s="57" t="s">
        <v>2707</v>
      </c>
      <c r="C95" s="58"/>
      <c r="D95" s="57">
        <v>2.5</v>
      </c>
      <c r="E95" s="57">
        <v>15.0</v>
      </c>
      <c r="F95" s="57">
        <v>0.0</v>
      </c>
      <c r="G95" s="58">
        <f t="shared" si="14"/>
        <v>12.5</v>
      </c>
      <c r="H95" s="58"/>
      <c r="I95" s="58"/>
      <c r="J95" s="59"/>
      <c r="K95" s="58"/>
      <c r="L95" s="58"/>
      <c r="M95" s="58"/>
      <c r="N95" s="58"/>
      <c r="O95" s="58"/>
      <c r="P95" s="58"/>
      <c r="Q95" s="58"/>
      <c r="R95" s="58"/>
      <c r="S95" s="58"/>
      <c r="T95" s="58"/>
      <c r="U95" s="58"/>
      <c r="V95" s="58"/>
      <c r="W95" s="58"/>
      <c r="X95" s="58"/>
      <c r="Y95" s="58"/>
      <c r="Z95" s="58"/>
    </row>
    <row r="96">
      <c r="A96" s="31" t="s">
        <v>2423</v>
      </c>
      <c r="B96" s="31" t="s">
        <v>2708</v>
      </c>
      <c r="C96" s="34"/>
      <c r="D96" s="31">
        <v>1.5</v>
      </c>
      <c r="E96" s="34"/>
      <c r="F96" s="34"/>
      <c r="G96" s="34"/>
      <c r="H96" s="36">
        <v>45767.0</v>
      </c>
      <c r="I96" s="34"/>
      <c r="J96" s="35"/>
      <c r="K96" s="34"/>
      <c r="L96" s="34"/>
      <c r="M96" s="34"/>
      <c r="N96" s="34"/>
      <c r="O96" s="34"/>
      <c r="P96" s="34"/>
      <c r="Q96" s="34"/>
      <c r="R96" s="34"/>
      <c r="S96" s="34"/>
      <c r="T96" s="34"/>
      <c r="U96" s="34"/>
      <c r="V96" s="34"/>
      <c r="W96" s="34"/>
      <c r="X96" s="34"/>
      <c r="Y96" s="34"/>
      <c r="Z96" s="34"/>
    </row>
    <row r="97">
      <c r="A97" s="10" t="s">
        <v>2428</v>
      </c>
      <c r="B97" s="10" t="s">
        <v>2709</v>
      </c>
      <c r="C97" s="11"/>
      <c r="D97" s="10">
        <v>7.5</v>
      </c>
      <c r="E97" s="11"/>
      <c r="F97" s="11"/>
      <c r="G97" s="11"/>
      <c r="H97" s="63">
        <v>45935.0</v>
      </c>
      <c r="I97" s="11"/>
      <c r="J97" s="12"/>
      <c r="K97" s="11"/>
      <c r="L97" s="11"/>
      <c r="M97" s="11"/>
      <c r="N97" s="11"/>
      <c r="O97" s="11"/>
      <c r="P97" s="11"/>
      <c r="Q97" s="11"/>
      <c r="R97" s="11"/>
      <c r="S97" s="11"/>
      <c r="T97" s="11"/>
      <c r="U97" s="11"/>
      <c r="V97" s="11"/>
      <c r="W97" s="11"/>
      <c r="X97" s="11"/>
      <c r="Y97" s="11"/>
      <c r="Z97" s="11"/>
    </row>
    <row r="98">
      <c r="A98" s="31" t="s">
        <v>2428</v>
      </c>
      <c r="B98" s="31" t="s">
        <v>2710</v>
      </c>
      <c r="C98" s="34"/>
      <c r="D98" s="31">
        <v>7.5</v>
      </c>
      <c r="E98" s="31">
        <v>52.0</v>
      </c>
      <c r="F98" s="31">
        <v>11.74</v>
      </c>
      <c r="G98" s="34">
        <f>E98-D98-F98</f>
        <v>32.76</v>
      </c>
      <c r="H98" s="34"/>
      <c r="I98" s="34"/>
      <c r="J98" s="35"/>
      <c r="K98" s="34"/>
      <c r="L98" s="34"/>
      <c r="M98" s="34"/>
      <c r="N98" s="34"/>
      <c r="O98" s="34"/>
      <c r="P98" s="34"/>
      <c r="Q98" s="34"/>
      <c r="R98" s="34"/>
      <c r="S98" s="34"/>
      <c r="T98" s="34"/>
      <c r="U98" s="34"/>
      <c r="V98" s="34"/>
      <c r="W98" s="34"/>
      <c r="X98" s="34"/>
      <c r="Y98" s="34"/>
      <c r="Z98" s="34"/>
    </row>
    <row r="99">
      <c r="A99" s="31" t="s">
        <v>2711</v>
      </c>
      <c r="B99" s="31" t="s">
        <v>2712</v>
      </c>
      <c r="C99" s="34"/>
      <c r="D99" s="31">
        <v>1.5</v>
      </c>
      <c r="E99" s="31"/>
      <c r="F99" s="31"/>
      <c r="G99" s="34"/>
      <c r="H99" s="37">
        <v>45696.0</v>
      </c>
      <c r="I99" s="31" t="s">
        <v>2713</v>
      </c>
      <c r="J99" s="35"/>
      <c r="K99" s="34"/>
      <c r="L99" s="34"/>
      <c r="M99" s="34"/>
      <c r="N99" s="34"/>
      <c r="O99" s="34"/>
      <c r="P99" s="34"/>
      <c r="Q99" s="34"/>
      <c r="R99" s="34"/>
      <c r="S99" s="34"/>
      <c r="T99" s="34"/>
      <c r="U99" s="34"/>
      <c r="V99" s="34"/>
      <c r="W99" s="34"/>
      <c r="X99" s="34"/>
      <c r="Y99" s="34"/>
      <c r="Z99" s="34"/>
    </row>
    <row r="100">
      <c r="A100" s="31" t="s">
        <v>2432</v>
      </c>
      <c r="B100" s="31" t="s">
        <v>2714</v>
      </c>
      <c r="C100" s="34"/>
      <c r="D100" s="31">
        <v>4.0</v>
      </c>
      <c r="E100" s="31">
        <v>20.0</v>
      </c>
      <c r="F100" s="31">
        <v>0.0</v>
      </c>
      <c r="G100" s="34">
        <f>E100-F100-D100</f>
        <v>16</v>
      </c>
      <c r="H100" s="34"/>
      <c r="I100" s="74"/>
      <c r="J100" s="35"/>
      <c r="K100" s="34"/>
      <c r="L100" s="34"/>
      <c r="M100" s="34"/>
      <c r="N100" s="34"/>
      <c r="O100" s="34"/>
      <c r="P100" s="34"/>
      <c r="Q100" s="34"/>
      <c r="R100" s="34"/>
      <c r="S100" s="34"/>
      <c r="T100" s="34"/>
      <c r="U100" s="34"/>
      <c r="V100" s="34"/>
      <c r="W100" s="34"/>
      <c r="X100" s="34"/>
      <c r="Y100" s="34"/>
      <c r="Z100" s="34"/>
    </row>
    <row r="101">
      <c r="A101" s="31" t="s">
        <v>2715</v>
      </c>
      <c r="B101" s="31" t="s">
        <v>2716</v>
      </c>
      <c r="C101" s="31"/>
      <c r="D101" s="31">
        <v>5.5</v>
      </c>
      <c r="E101" s="34"/>
      <c r="F101" s="34"/>
      <c r="G101" s="34"/>
      <c r="H101" s="36">
        <v>45767.0</v>
      </c>
      <c r="I101" s="74"/>
      <c r="J101" s="35"/>
      <c r="K101" s="34"/>
      <c r="L101" s="34"/>
      <c r="M101" s="34"/>
      <c r="N101" s="34"/>
      <c r="O101" s="34"/>
      <c r="P101" s="34"/>
      <c r="Q101" s="34"/>
      <c r="R101" s="34"/>
      <c r="S101" s="34"/>
      <c r="T101" s="34"/>
      <c r="U101" s="34"/>
      <c r="V101" s="34"/>
      <c r="W101" s="34"/>
      <c r="X101" s="34"/>
      <c r="Y101" s="34"/>
      <c r="Z101" s="34"/>
    </row>
    <row r="102">
      <c r="A102" s="31" t="s">
        <v>2717</v>
      </c>
      <c r="B102" s="31" t="s">
        <v>2718</v>
      </c>
      <c r="C102" s="34"/>
      <c r="D102" s="31">
        <v>7.0</v>
      </c>
      <c r="E102" s="31">
        <v>20.0</v>
      </c>
      <c r="F102" s="31">
        <v>0.0</v>
      </c>
      <c r="G102" s="34">
        <f>E102-F102-D102</f>
        <v>13</v>
      </c>
      <c r="H102" s="34"/>
      <c r="I102" s="34"/>
      <c r="J102" s="35"/>
      <c r="K102" s="34"/>
      <c r="L102" s="34"/>
      <c r="M102" s="34"/>
      <c r="N102" s="34"/>
      <c r="O102" s="34"/>
      <c r="P102" s="34"/>
      <c r="Q102" s="34"/>
      <c r="R102" s="34"/>
      <c r="S102" s="34"/>
      <c r="T102" s="34"/>
      <c r="U102" s="34"/>
      <c r="V102" s="34"/>
      <c r="W102" s="34"/>
      <c r="X102" s="34"/>
      <c r="Y102" s="34"/>
      <c r="Z102" s="34"/>
    </row>
    <row r="103">
      <c r="A103" s="31" t="s">
        <v>2438</v>
      </c>
      <c r="B103" s="31" t="s">
        <v>2719</v>
      </c>
      <c r="C103" s="31"/>
      <c r="D103" s="31">
        <v>6.5</v>
      </c>
      <c r="E103" s="34"/>
      <c r="F103" s="34"/>
      <c r="G103" s="34"/>
      <c r="H103" s="31" t="s">
        <v>1195</v>
      </c>
      <c r="I103" s="74"/>
      <c r="J103" s="35"/>
      <c r="K103" s="34"/>
      <c r="L103" s="34"/>
      <c r="M103" s="34"/>
      <c r="N103" s="34"/>
      <c r="O103" s="34"/>
      <c r="P103" s="34"/>
      <c r="Q103" s="34"/>
      <c r="R103" s="34"/>
      <c r="S103" s="34"/>
      <c r="T103" s="34"/>
      <c r="U103" s="34"/>
      <c r="V103" s="34"/>
      <c r="W103" s="34"/>
      <c r="X103" s="34"/>
      <c r="Y103" s="34"/>
      <c r="Z103" s="34"/>
    </row>
    <row r="104">
      <c r="A104" s="31" t="s">
        <v>2720</v>
      </c>
      <c r="B104" s="31" t="s">
        <v>2721</v>
      </c>
      <c r="C104" s="34"/>
      <c r="D104" s="31">
        <v>3.5</v>
      </c>
      <c r="E104" s="31"/>
      <c r="F104" s="31"/>
      <c r="G104" s="34"/>
      <c r="H104" s="37">
        <v>45696.0</v>
      </c>
      <c r="I104" s="31" t="s">
        <v>2713</v>
      </c>
      <c r="J104" s="35"/>
      <c r="K104" s="34"/>
      <c r="L104" s="34"/>
      <c r="M104" s="34"/>
      <c r="N104" s="34"/>
      <c r="O104" s="34"/>
      <c r="P104" s="34"/>
      <c r="Q104" s="34"/>
      <c r="R104" s="34"/>
      <c r="S104" s="34"/>
      <c r="T104" s="34"/>
      <c r="U104" s="34"/>
      <c r="V104" s="34"/>
      <c r="W104" s="34"/>
      <c r="X104" s="34"/>
      <c r="Y104" s="34"/>
      <c r="Z104" s="34"/>
    </row>
    <row r="105">
      <c r="A105" s="31" t="s">
        <v>2722</v>
      </c>
      <c r="B105" s="31" t="s">
        <v>2723</v>
      </c>
      <c r="C105" s="31"/>
      <c r="D105" s="31">
        <v>3.59</v>
      </c>
      <c r="E105" s="31">
        <v>10.0</v>
      </c>
      <c r="F105" s="31">
        <v>0.0</v>
      </c>
      <c r="G105" s="34">
        <f>E105-F105-D105</f>
        <v>6.41</v>
      </c>
      <c r="H105" s="31" t="s">
        <v>1190</v>
      </c>
      <c r="I105" s="74"/>
      <c r="J105" s="35"/>
      <c r="K105" s="34"/>
      <c r="L105" s="34"/>
      <c r="M105" s="34"/>
      <c r="N105" s="34"/>
      <c r="O105" s="34"/>
      <c r="P105" s="34"/>
      <c r="Q105" s="34"/>
      <c r="R105" s="34"/>
      <c r="S105" s="34"/>
      <c r="T105" s="34"/>
      <c r="U105" s="34"/>
      <c r="V105" s="34"/>
      <c r="W105" s="34"/>
      <c r="X105" s="34"/>
      <c r="Y105" s="34"/>
      <c r="Z105" s="34"/>
    </row>
    <row r="106">
      <c r="A106" s="38" t="s">
        <v>2724</v>
      </c>
      <c r="B106" s="38" t="s">
        <v>2725</v>
      </c>
      <c r="C106" s="38"/>
      <c r="D106" s="38">
        <v>5.5</v>
      </c>
      <c r="E106" s="39"/>
      <c r="F106" s="39"/>
      <c r="G106" s="39"/>
      <c r="H106" s="40">
        <v>45893.0</v>
      </c>
      <c r="I106" s="76" t="s">
        <v>2726</v>
      </c>
      <c r="J106" s="41"/>
      <c r="K106" s="39"/>
      <c r="L106" s="39"/>
      <c r="M106" s="39"/>
      <c r="N106" s="39"/>
      <c r="O106" s="39"/>
      <c r="P106" s="39"/>
      <c r="Q106" s="39"/>
      <c r="R106" s="39"/>
      <c r="S106" s="39"/>
      <c r="T106" s="39"/>
      <c r="U106" s="39"/>
      <c r="V106" s="39"/>
      <c r="W106" s="39"/>
      <c r="X106" s="39"/>
      <c r="Y106" s="39"/>
      <c r="Z106" s="39"/>
    </row>
    <row r="107">
      <c r="A107" s="31" t="s">
        <v>2727</v>
      </c>
      <c r="B107" s="31" t="s">
        <v>2728</v>
      </c>
      <c r="C107" s="31"/>
      <c r="D107" s="31">
        <v>2.5</v>
      </c>
      <c r="E107" s="31">
        <v>15.0</v>
      </c>
      <c r="F107" s="31">
        <v>0.0</v>
      </c>
      <c r="G107" s="34">
        <f>E107-F107-D107</f>
        <v>12.5</v>
      </c>
      <c r="H107" s="31" t="s">
        <v>1190</v>
      </c>
      <c r="I107" s="34"/>
      <c r="J107" s="35"/>
      <c r="K107" s="34"/>
      <c r="L107" s="34"/>
      <c r="M107" s="34"/>
      <c r="N107" s="34"/>
      <c r="O107" s="34"/>
      <c r="P107" s="34"/>
      <c r="Q107" s="34"/>
      <c r="R107" s="34"/>
      <c r="S107" s="34"/>
      <c r="T107" s="34"/>
      <c r="U107" s="34"/>
      <c r="V107" s="34"/>
      <c r="W107" s="34"/>
      <c r="X107" s="34"/>
      <c r="Y107" s="34"/>
      <c r="Z107" s="34"/>
    </row>
    <row r="108">
      <c r="A108" s="31" t="s">
        <v>1968</v>
      </c>
      <c r="B108" s="32" t="s">
        <v>2729</v>
      </c>
      <c r="C108" s="34"/>
      <c r="D108" s="31">
        <v>8.9</v>
      </c>
      <c r="E108" s="34"/>
      <c r="F108" s="34"/>
      <c r="G108" s="34"/>
      <c r="H108" s="36">
        <v>45767.0</v>
      </c>
      <c r="I108" s="34"/>
      <c r="J108" s="35"/>
      <c r="K108" s="34"/>
      <c r="L108" s="34"/>
      <c r="M108" s="34"/>
      <c r="N108" s="34"/>
      <c r="O108" s="34"/>
      <c r="P108" s="34"/>
      <c r="Q108" s="34"/>
      <c r="R108" s="34"/>
      <c r="S108" s="34"/>
      <c r="T108" s="34"/>
      <c r="U108" s="34"/>
      <c r="V108" s="34"/>
      <c r="W108" s="34"/>
      <c r="X108" s="34"/>
      <c r="Y108" s="34"/>
      <c r="Z108" s="34"/>
    </row>
    <row r="109">
      <c r="A109" s="31" t="s">
        <v>2730</v>
      </c>
      <c r="B109" s="31" t="s">
        <v>2731</v>
      </c>
      <c r="C109" s="31"/>
      <c r="D109" s="31">
        <v>4.5</v>
      </c>
      <c r="E109" s="31">
        <v>20.0</v>
      </c>
      <c r="F109" s="31">
        <v>0.0</v>
      </c>
      <c r="G109" s="34">
        <f>E109-F109-D109</f>
        <v>15.5</v>
      </c>
      <c r="H109" s="31" t="s">
        <v>1190</v>
      </c>
      <c r="I109" s="34"/>
      <c r="J109" s="35"/>
      <c r="K109" s="34"/>
      <c r="L109" s="34"/>
      <c r="M109" s="34"/>
      <c r="N109" s="34"/>
      <c r="O109" s="34"/>
      <c r="P109" s="34"/>
      <c r="Q109" s="34"/>
      <c r="R109" s="34"/>
      <c r="S109" s="34"/>
      <c r="T109" s="34"/>
      <c r="U109" s="34"/>
      <c r="V109" s="34"/>
      <c r="W109" s="34"/>
      <c r="X109" s="34"/>
      <c r="Y109" s="34"/>
      <c r="Z109" s="34"/>
    </row>
    <row r="110">
      <c r="A110" s="31" t="s">
        <v>1031</v>
      </c>
      <c r="B110" s="31" t="s">
        <v>2732</v>
      </c>
      <c r="C110" s="34"/>
      <c r="D110" s="31">
        <v>6.5</v>
      </c>
      <c r="E110" s="31">
        <v>20.0</v>
      </c>
      <c r="F110" s="31">
        <v>0.0</v>
      </c>
      <c r="G110" s="34">
        <f t="shared" ref="G110:G114" si="15">E110-D110</f>
        <v>13.5</v>
      </c>
      <c r="H110" s="31"/>
      <c r="I110" s="31"/>
      <c r="J110" s="35"/>
      <c r="K110" s="34"/>
      <c r="L110" s="34"/>
      <c r="M110" s="34"/>
      <c r="N110" s="34"/>
      <c r="O110" s="34"/>
      <c r="P110" s="34"/>
      <c r="Q110" s="34"/>
      <c r="R110" s="34"/>
      <c r="S110" s="34"/>
      <c r="T110" s="34"/>
      <c r="U110" s="34"/>
      <c r="V110" s="34"/>
      <c r="W110" s="34"/>
      <c r="X110" s="34"/>
      <c r="Y110" s="34"/>
      <c r="Z110" s="34"/>
    </row>
    <row r="111">
      <c r="A111" s="31" t="s">
        <v>1031</v>
      </c>
      <c r="B111" s="31" t="s">
        <v>2733</v>
      </c>
      <c r="C111" s="31"/>
      <c r="D111" s="31">
        <v>2.0</v>
      </c>
      <c r="E111" s="31">
        <v>5.0</v>
      </c>
      <c r="F111" s="31">
        <v>0.0</v>
      </c>
      <c r="G111" s="34">
        <f t="shared" si="15"/>
        <v>3</v>
      </c>
      <c r="H111" s="31"/>
      <c r="I111" s="31"/>
      <c r="J111" s="35"/>
      <c r="K111" s="34"/>
      <c r="L111" s="34"/>
      <c r="M111" s="34"/>
      <c r="N111" s="34"/>
      <c r="O111" s="34"/>
      <c r="P111" s="34"/>
      <c r="Q111" s="34"/>
      <c r="R111" s="34"/>
      <c r="S111" s="34"/>
      <c r="T111" s="34"/>
      <c r="U111" s="34"/>
      <c r="V111" s="34"/>
      <c r="W111" s="34"/>
      <c r="X111" s="34"/>
      <c r="Y111" s="34"/>
      <c r="Z111" s="34"/>
    </row>
    <row r="112">
      <c r="A112" s="31" t="s">
        <v>1031</v>
      </c>
      <c r="B112" s="31" t="s">
        <v>2734</v>
      </c>
      <c r="C112" s="31"/>
      <c r="D112" s="31">
        <v>3.0</v>
      </c>
      <c r="E112" s="31">
        <v>10.0</v>
      </c>
      <c r="F112" s="31">
        <v>0.0</v>
      </c>
      <c r="G112" s="34">
        <f t="shared" si="15"/>
        <v>7</v>
      </c>
      <c r="H112" s="31"/>
      <c r="I112" s="31"/>
      <c r="J112" s="35"/>
      <c r="K112" s="34"/>
      <c r="L112" s="34"/>
      <c r="M112" s="34"/>
      <c r="N112" s="34"/>
      <c r="O112" s="34"/>
      <c r="P112" s="34"/>
      <c r="Q112" s="34"/>
      <c r="R112" s="34"/>
      <c r="S112" s="34"/>
      <c r="T112" s="34"/>
      <c r="U112" s="34"/>
      <c r="V112" s="34"/>
      <c r="W112" s="34"/>
      <c r="X112" s="34"/>
      <c r="Y112" s="34"/>
      <c r="Z112" s="34"/>
    </row>
    <row r="113">
      <c r="A113" s="31" t="s">
        <v>1031</v>
      </c>
      <c r="B113" s="31" t="s">
        <v>2735</v>
      </c>
      <c r="C113" s="31"/>
      <c r="D113" s="31">
        <v>4.0</v>
      </c>
      <c r="E113" s="31">
        <v>15.0</v>
      </c>
      <c r="F113" s="31">
        <v>0.0</v>
      </c>
      <c r="G113" s="34">
        <f t="shared" si="15"/>
        <v>11</v>
      </c>
      <c r="H113" s="31"/>
      <c r="I113" s="31"/>
      <c r="J113" s="35"/>
      <c r="K113" s="34"/>
      <c r="L113" s="34"/>
      <c r="M113" s="34"/>
      <c r="N113" s="34"/>
      <c r="O113" s="34"/>
      <c r="P113" s="34"/>
      <c r="Q113" s="34"/>
      <c r="R113" s="34"/>
      <c r="S113" s="34"/>
      <c r="T113" s="34"/>
      <c r="U113" s="34"/>
      <c r="V113" s="34"/>
      <c r="W113" s="34"/>
      <c r="X113" s="34"/>
      <c r="Y113" s="34"/>
      <c r="Z113" s="34"/>
    </row>
    <row r="114">
      <c r="A114" s="31" t="s">
        <v>1031</v>
      </c>
      <c r="B114" s="31" t="s">
        <v>2736</v>
      </c>
      <c r="C114" s="34"/>
      <c r="D114" s="31">
        <v>3.0</v>
      </c>
      <c r="E114" s="31">
        <v>10.0</v>
      </c>
      <c r="F114" s="31">
        <v>0.0</v>
      </c>
      <c r="G114" s="34">
        <f t="shared" si="15"/>
        <v>7</v>
      </c>
      <c r="H114" s="34"/>
      <c r="I114" s="34"/>
      <c r="J114" s="34"/>
      <c r="K114" s="34"/>
      <c r="L114" s="34"/>
      <c r="M114" s="34"/>
      <c r="N114" s="34"/>
      <c r="O114" s="34"/>
      <c r="P114" s="34"/>
      <c r="Q114" s="34"/>
      <c r="R114" s="34"/>
      <c r="S114" s="34"/>
      <c r="T114" s="34"/>
      <c r="U114" s="34"/>
      <c r="V114" s="34"/>
      <c r="W114" s="34"/>
      <c r="X114" s="34"/>
      <c r="Y114" s="34"/>
      <c r="Z114" s="34"/>
    </row>
    <row r="115">
      <c r="A115" s="31" t="s">
        <v>1031</v>
      </c>
      <c r="B115" s="31" t="s">
        <v>2737</v>
      </c>
      <c r="C115" s="34"/>
      <c r="D115" s="31">
        <v>0.0</v>
      </c>
      <c r="E115" s="31">
        <v>10.0</v>
      </c>
      <c r="F115" s="31">
        <v>0.0</v>
      </c>
      <c r="G115" s="34">
        <f>E115-F115-D115</f>
        <v>10</v>
      </c>
      <c r="H115" s="36"/>
      <c r="I115" s="34"/>
      <c r="J115" s="34"/>
      <c r="K115" s="34"/>
      <c r="L115" s="34"/>
      <c r="M115" s="34"/>
      <c r="N115" s="34"/>
      <c r="O115" s="34"/>
      <c r="P115" s="34"/>
      <c r="Q115" s="34"/>
      <c r="R115" s="34"/>
      <c r="S115" s="34"/>
      <c r="T115" s="34"/>
      <c r="U115" s="34"/>
      <c r="V115" s="34"/>
      <c r="W115" s="34"/>
      <c r="X115" s="34"/>
      <c r="Y115" s="34"/>
      <c r="Z115" s="34"/>
    </row>
    <row r="116">
      <c r="A116" s="31" t="s">
        <v>1031</v>
      </c>
      <c r="B116" s="31" t="s">
        <v>2738</v>
      </c>
      <c r="C116" s="34"/>
      <c r="D116" s="31">
        <v>2.0</v>
      </c>
      <c r="E116" s="31">
        <v>10.0</v>
      </c>
      <c r="F116" s="31">
        <v>0.0</v>
      </c>
      <c r="G116" s="34">
        <f t="shared" ref="G116:G119" si="16">E116-D116</f>
        <v>8</v>
      </c>
      <c r="H116" s="36">
        <v>46131.0</v>
      </c>
      <c r="I116" s="34"/>
      <c r="J116" s="34"/>
      <c r="K116" s="34"/>
      <c r="L116" s="34"/>
      <c r="M116" s="34"/>
      <c r="N116" s="34"/>
      <c r="O116" s="34"/>
      <c r="P116" s="34"/>
      <c r="Q116" s="34"/>
      <c r="R116" s="34"/>
      <c r="S116" s="34"/>
      <c r="T116" s="34"/>
      <c r="U116" s="34"/>
      <c r="V116" s="34"/>
      <c r="W116" s="34"/>
      <c r="X116" s="34"/>
      <c r="Y116" s="34"/>
      <c r="Z116" s="34"/>
    </row>
    <row r="117">
      <c r="A117" s="31" t="s">
        <v>1031</v>
      </c>
      <c r="B117" s="31" t="s">
        <v>2739</v>
      </c>
      <c r="C117" s="34"/>
      <c r="D117" s="31">
        <v>2.0</v>
      </c>
      <c r="E117" s="31">
        <v>10.0</v>
      </c>
      <c r="F117" s="31">
        <v>0.0</v>
      </c>
      <c r="G117" s="34">
        <f t="shared" si="16"/>
        <v>8</v>
      </c>
      <c r="H117" s="36">
        <v>46131.0</v>
      </c>
      <c r="I117" s="34"/>
      <c r="J117" s="34"/>
      <c r="K117" s="34"/>
      <c r="L117" s="34"/>
      <c r="M117" s="34"/>
      <c r="N117" s="34"/>
      <c r="O117" s="34"/>
      <c r="P117" s="34"/>
      <c r="Q117" s="34"/>
      <c r="R117" s="34"/>
      <c r="S117" s="34"/>
      <c r="T117" s="34"/>
      <c r="U117" s="34"/>
      <c r="V117" s="34"/>
      <c r="W117" s="34"/>
      <c r="X117" s="34"/>
      <c r="Y117" s="34"/>
      <c r="Z117" s="34"/>
    </row>
    <row r="118">
      <c r="A118" s="31" t="s">
        <v>1031</v>
      </c>
      <c r="B118" s="31" t="s">
        <v>2740</v>
      </c>
      <c r="C118" s="34"/>
      <c r="D118" s="31">
        <v>3.0</v>
      </c>
      <c r="E118" s="31">
        <v>20.0</v>
      </c>
      <c r="F118" s="31">
        <v>0.0</v>
      </c>
      <c r="G118" s="34">
        <f t="shared" si="16"/>
        <v>17</v>
      </c>
      <c r="H118" s="36">
        <v>46131.0</v>
      </c>
      <c r="I118" s="34"/>
      <c r="J118" s="34"/>
      <c r="K118" s="34"/>
      <c r="L118" s="34"/>
      <c r="M118" s="34"/>
      <c r="N118" s="34"/>
      <c r="O118" s="34"/>
      <c r="P118" s="34"/>
      <c r="Q118" s="34"/>
      <c r="R118" s="34"/>
      <c r="S118" s="34"/>
      <c r="T118" s="34"/>
      <c r="U118" s="34"/>
      <c r="V118" s="34"/>
      <c r="W118" s="34"/>
      <c r="X118" s="34"/>
      <c r="Y118" s="34"/>
      <c r="Z118" s="34"/>
    </row>
    <row r="119">
      <c r="A119" s="31" t="s">
        <v>1031</v>
      </c>
      <c r="B119" s="31" t="s">
        <v>2741</v>
      </c>
      <c r="C119" s="31"/>
      <c r="D119" s="31">
        <v>1.8</v>
      </c>
      <c r="E119" s="31">
        <v>10.0</v>
      </c>
      <c r="F119" s="31">
        <v>0.0</v>
      </c>
      <c r="G119" s="34">
        <f t="shared" si="16"/>
        <v>8.2</v>
      </c>
      <c r="H119" s="36">
        <v>46131.0</v>
      </c>
      <c r="I119" s="31"/>
      <c r="J119" s="35"/>
      <c r="K119" s="34"/>
      <c r="L119" s="34"/>
      <c r="M119" s="34"/>
      <c r="N119" s="34"/>
      <c r="O119" s="34"/>
      <c r="P119" s="34"/>
      <c r="Q119" s="34"/>
      <c r="R119" s="34"/>
      <c r="S119" s="34"/>
      <c r="T119" s="34"/>
      <c r="U119" s="34"/>
      <c r="V119" s="34"/>
      <c r="W119" s="34"/>
      <c r="X119" s="34"/>
      <c r="Y119" s="34"/>
      <c r="Z119" s="34"/>
    </row>
    <row r="120">
      <c r="A120" s="31" t="s">
        <v>1031</v>
      </c>
      <c r="B120" s="31" t="s">
        <v>2742</v>
      </c>
      <c r="C120" s="34"/>
      <c r="D120" s="31">
        <v>2.0</v>
      </c>
      <c r="E120" s="31">
        <v>20.0</v>
      </c>
      <c r="F120" s="31">
        <v>0.0</v>
      </c>
      <c r="G120" s="34">
        <f t="shared" ref="G120:G131" si="17">E120-F120-D120</f>
        <v>18</v>
      </c>
      <c r="H120" s="36">
        <v>46131.0</v>
      </c>
      <c r="I120" s="31"/>
      <c r="J120" s="35"/>
      <c r="K120" s="34"/>
      <c r="L120" s="34"/>
      <c r="M120" s="34"/>
      <c r="N120" s="34"/>
      <c r="O120" s="34"/>
      <c r="P120" s="34"/>
      <c r="Q120" s="34"/>
      <c r="R120" s="34"/>
      <c r="S120" s="34"/>
      <c r="T120" s="34"/>
      <c r="U120" s="34"/>
      <c r="V120" s="34"/>
      <c r="W120" s="34"/>
      <c r="X120" s="34"/>
      <c r="Y120" s="34"/>
      <c r="Z120" s="34"/>
    </row>
    <row r="121">
      <c r="A121" s="31" t="s">
        <v>1031</v>
      </c>
      <c r="B121" s="31" t="s">
        <v>2743</v>
      </c>
      <c r="C121" s="34"/>
      <c r="D121" s="31">
        <v>2.0</v>
      </c>
      <c r="E121" s="31">
        <v>10.0</v>
      </c>
      <c r="F121" s="31">
        <v>0.0</v>
      </c>
      <c r="G121" s="34">
        <f t="shared" si="17"/>
        <v>8</v>
      </c>
      <c r="H121" s="36">
        <v>46131.0</v>
      </c>
      <c r="I121" s="31"/>
      <c r="J121" s="35"/>
      <c r="K121" s="34"/>
      <c r="L121" s="34"/>
      <c r="M121" s="34"/>
      <c r="N121" s="34"/>
      <c r="O121" s="34"/>
      <c r="P121" s="34"/>
      <c r="Q121" s="34"/>
      <c r="R121" s="34"/>
      <c r="S121" s="34"/>
      <c r="T121" s="34"/>
      <c r="U121" s="34"/>
      <c r="V121" s="34"/>
      <c r="W121" s="34"/>
      <c r="X121" s="34"/>
      <c r="Y121" s="34"/>
      <c r="Z121" s="34"/>
    </row>
    <row r="122">
      <c r="A122" s="31" t="s">
        <v>1031</v>
      </c>
      <c r="B122" s="31" t="s">
        <v>2744</v>
      </c>
      <c r="C122" s="34"/>
      <c r="D122" s="31">
        <v>3.0</v>
      </c>
      <c r="E122" s="31">
        <v>30.0</v>
      </c>
      <c r="F122" s="31">
        <v>0.0</v>
      </c>
      <c r="G122" s="34">
        <f t="shared" si="17"/>
        <v>27</v>
      </c>
      <c r="H122" s="31" t="s">
        <v>1190</v>
      </c>
      <c r="I122" s="31"/>
      <c r="J122" s="35"/>
      <c r="K122" s="34"/>
      <c r="L122" s="34"/>
      <c r="M122" s="34"/>
      <c r="N122" s="34"/>
      <c r="O122" s="34"/>
      <c r="P122" s="34"/>
      <c r="Q122" s="34"/>
      <c r="R122" s="34"/>
      <c r="S122" s="34"/>
      <c r="T122" s="34"/>
      <c r="U122" s="34"/>
      <c r="V122" s="34"/>
      <c r="W122" s="34"/>
      <c r="X122" s="34"/>
      <c r="Y122" s="34"/>
      <c r="Z122" s="34"/>
    </row>
    <row r="123">
      <c r="A123" s="31" t="s">
        <v>1031</v>
      </c>
      <c r="B123" s="31" t="s">
        <v>2745</v>
      </c>
      <c r="C123" s="34"/>
      <c r="D123" s="31">
        <v>3.5</v>
      </c>
      <c r="E123" s="31">
        <v>10.0</v>
      </c>
      <c r="F123" s="31">
        <v>0.0</v>
      </c>
      <c r="G123" s="34">
        <f t="shared" si="17"/>
        <v>6.5</v>
      </c>
      <c r="H123" s="31" t="s">
        <v>1190</v>
      </c>
      <c r="I123" s="31"/>
      <c r="J123" s="35"/>
      <c r="K123" s="34"/>
      <c r="L123" s="34"/>
      <c r="M123" s="34"/>
      <c r="N123" s="34"/>
      <c r="O123" s="34"/>
      <c r="P123" s="34"/>
      <c r="Q123" s="34"/>
      <c r="R123" s="34"/>
      <c r="S123" s="34"/>
      <c r="T123" s="34"/>
      <c r="U123" s="34"/>
      <c r="V123" s="34"/>
      <c r="W123" s="34"/>
      <c r="X123" s="34"/>
      <c r="Y123" s="34"/>
      <c r="Z123" s="34"/>
    </row>
    <row r="124">
      <c r="A124" s="31" t="s">
        <v>1031</v>
      </c>
      <c r="B124" s="31" t="s">
        <v>2746</v>
      </c>
      <c r="C124" s="34"/>
      <c r="D124" s="31">
        <v>0.0</v>
      </c>
      <c r="E124" s="31">
        <v>15.0</v>
      </c>
      <c r="F124" s="31">
        <v>0.0</v>
      </c>
      <c r="G124" s="34">
        <f t="shared" si="17"/>
        <v>15</v>
      </c>
      <c r="H124" s="31" t="s">
        <v>1190</v>
      </c>
      <c r="I124" s="31"/>
      <c r="J124" s="35"/>
      <c r="K124" s="34"/>
      <c r="L124" s="34"/>
      <c r="M124" s="34"/>
      <c r="N124" s="34"/>
      <c r="O124" s="34"/>
      <c r="P124" s="34"/>
      <c r="Q124" s="34"/>
      <c r="R124" s="34"/>
      <c r="S124" s="34"/>
      <c r="T124" s="34"/>
      <c r="U124" s="34"/>
      <c r="V124" s="34"/>
      <c r="W124" s="34"/>
      <c r="X124" s="34"/>
      <c r="Y124" s="34"/>
      <c r="Z124" s="34"/>
    </row>
    <row r="125">
      <c r="A125" s="31" t="s">
        <v>1031</v>
      </c>
      <c r="B125" s="31" t="s">
        <v>2747</v>
      </c>
      <c r="C125" s="31"/>
      <c r="D125" s="31">
        <v>2.5</v>
      </c>
      <c r="E125" s="31">
        <v>10.0</v>
      </c>
      <c r="F125" s="31">
        <v>0.0</v>
      </c>
      <c r="G125" s="34">
        <f t="shared" si="17"/>
        <v>7.5</v>
      </c>
      <c r="H125" s="31" t="s">
        <v>1190</v>
      </c>
      <c r="I125" s="31"/>
      <c r="J125" s="35"/>
      <c r="K125" s="34"/>
      <c r="L125" s="34"/>
      <c r="M125" s="34"/>
      <c r="N125" s="34"/>
      <c r="O125" s="34"/>
      <c r="P125" s="34"/>
      <c r="Q125" s="34"/>
      <c r="R125" s="34"/>
      <c r="S125" s="34"/>
      <c r="T125" s="34"/>
      <c r="U125" s="34"/>
      <c r="V125" s="34"/>
      <c r="W125" s="34"/>
      <c r="X125" s="34"/>
      <c r="Y125" s="34"/>
      <c r="Z125" s="34"/>
    </row>
    <row r="126">
      <c r="A126" s="31" t="s">
        <v>1031</v>
      </c>
      <c r="B126" s="31" t="s">
        <v>2748</v>
      </c>
      <c r="C126" s="31"/>
      <c r="D126" s="31">
        <v>1.0</v>
      </c>
      <c r="E126" s="31">
        <v>5.0</v>
      </c>
      <c r="F126" s="31">
        <v>0.0</v>
      </c>
      <c r="G126" s="34">
        <f t="shared" si="17"/>
        <v>4</v>
      </c>
      <c r="H126" s="31" t="s">
        <v>1190</v>
      </c>
      <c r="I126" s="31"/>
      <c r="J126" s="35"/>
      <c r="K126" s="34"/>
      <c r="L126" s="34"/>
      <c r="M126" s="34"/>
      <c r="N126" s="34"/>
      <c r="O126" s="34"/>
      <c r="P126" s="34"/>
      <c r="Q126" s="34"/>
      <c r="R126" s="34"/>
      <c r="S126" s="34"/>
      <c r="T126" s="34"/>
      <c r="U126" s="34"/>
      <c r="V126" s="34"/>
      <c r="W126" s="34"/>
      <c r="X126" s="34"/>
      <c r="Y126" s="34"/>
      <c r="Z126" s="34"/>
    </row>
    <row r="127">
      <c r="A127" s="31" t="s">
        <v>1031</v>
      </c>
      <c r="B127" s="31" t="s">
        <v>2749</v>
      </c>
      <c r="C127" s="31"/>
      <c r="D127" s="31">
        <v>1.0</v>
      </c>
      <c r="E127" s="31">
        <v>10.0</v>
      </c>
      <c r="F127" s="31">
        <v>0.0</v>
      </c>
      <c r="G127" s="34">
        <f t="shared" si="17"/>
        <v>9</v>
      </c>
      <c r="H127" s="31" t="s">
        <v>1190</v>
      </c>
      <c r="I127" s="31"/>
      <c r="J127" s="35"/>
      <c r="K127" s="34"/>
      <c r="L127" s="34"/>
      <c r="M127" s="34"/>
      <c r="N127" s="34"/>
      <c r="O127" s="34"/>
      <c r="P127" s="34"/>
      <c r="Q127" s="34"/>
      <c r="R127" s="34"/>
      <c r="S127" s="34"/>
      <c r="T127" s="34"/>
      <c r="U127" s="34"/>
      <c r="V127" s="34"/>
      <c r="W127" s="34"/>
      <c r="X127" s="34"/>
      <c r="Y127" s="34"/>
      <c r="Z127" s="34"/>
    </row>
    <row r="128">
      <c r="A128" s="31" t="s">
        <v>1031</v>
      </c>
      <c r="B128" s="31" t="s">
        <v>2750</v>
      </c>
      <c r="C128" s="31"/>
      <c r="D128" s="31"/>
      <c r="E128" s="31">
        <v>15.0</v>
      </c>
      <c r="F128" s="31">
        <v>0.0</v>
      </c>
      <c r="G128" s="34">
        <f t="shared" si="17"/>
        <v>15</v>
      </c>
      <c r="H128" s="31" t="s">
        <v>1190</v>
      </c>
      <c r="I128" s="31"/>
      <c r="J128" s="35"/>
      <c r="K128" s="34"/>
      <c r="L128" s="34"/>
      <c r="M128" s="34"/>
      <c r="N128" s="34"/>
      <c r="O128" s="34"/>
      <c r="P128" s="34"/>
      <c r="Q128" s="34"/>
      <c r="R128" s="34"/>
      <c r="S128" s="34"/>
      <c r="T128" s="34"/>
      <c r="U128" s="34"/>
      <c r="V128" s="34"/>
      <c r="W128" s="34"/>
      <c r="X128" s="34"/>
      <c r="Y128" s="34"/>
      <c r="Z128" s="34"/>
    </row>
    <row r="129">
      <c r="A129" s="31" t="s">
        <v>1031</v>
      </c>
      <c r="B129" s="31" t="s">
        <v>2751</v>
      </c>
      <c r="C129" s="31"/>
      <c r="D129" s="31">
        <v>0.0</v>
      </c>
      <c r="E129" s="31">
        <v>10.0</v>
      </c>
      <c r="F129" s="31">
        <v>0.0</v>
      </c>
      <c r="G129" s="34">
        <f t="shared" si="17"/>
        <v>10</v>
      </c>
      <c r="H129" s="31" t="s">
        <v>1190</v>
      </c>
      <c r="I129" s="31"/>
      <c r="J129" s="35"/>
      <c r="K129" s="34"/>
      <c r="L129" s="34"/>
      <c r="M129" s="34"/>
      <c r="N129" s="34"/>
      <c r="O129" s="34"/>
      <c r="P129" s="34"/>
      <c r="Q129" s="34"/>
      <c r="R129" s="34"/>
      <c r="S129" s="34"/>
      <c r="T129" s="34"/>
      <c r="U129" s="34"/>
      <c r="V129" s="34"/>
      <c r="W129" s="34"/>
      <c r="X129" s="34"/>
      <c r="Y129" s="34"/>
      <c r="Z129" s="34"/>
    </row>
    <row r="130">
      <c r="A130" s="31" t="s">
        <v>1031</v>
      </c>
      <c r="B130" s="31" t="s">
        <v>2752</v>
      </c>
      <c r="C130" s="31"/>
      <c r="D130" s="31">
        <v>2.0</v>
      </c>
      <c r="E130" s="31">
        <v>10.0</v>
      </c>
      <c r="F130" s="31">
        <v>0.0</v>
      </c>
      <c r="G130" s="34">
        <f t="shared" si="17"/>
        <v>8</v>
      </c>
      <c r="H130" s="31" t="s">
        <v>1190</v>
      </c>
      <c r="I130" s="31"/>
      <c r="J130" s="35"/>
      <c r="K130" s="34"/>
      <c r="L130" s="34"/>
      <c r="M130" s="34"/>
      <c r="N130" s="34"/>
      <c r="O130" s="34"/>
      <c r="P130" s="34"/>
      <c r="Q130" s="34"/>
      <c r="R130" s="34"/>
      <c r="S130" s="34"/>
      <c r="T130" s="34"/>
      <c r="U130" s="34"/>
      <c r="V130" s="34"/>
      <c r="W130" s="34"/>
      <c r="X130" s="34"/>
      <c r="Y130" s="34"/>
      <c r="Z130" s="34"/>
    </row>
    <row r="131">
      <c r="A131" s="31" t="s">
        <v>2753</v>
      </c>
      <c r="B131" s="31" t="s">
        <v>2754</v>
      </c>
      <c r="C131" s="34"/>
      <c r="D131" s="31">
        <v>0.0</v>
      </c>
      <c r="E131" s="31">
        <v>15.0</v>
      </c>
      <c r="F131" s="31">
        <v>0.0</v>
      </c>
      <c r="G131" s="34">
        <f t="shared" si="17"/>
        <v>15</v>
      </c>
      <c r="H131" s="36"/>
      <c r="I131" s="34"/>
      <c r="J131" s="35"/>
      <c r="K131" s="34"/>
      <c r="L131" s="34"/>
      <c r="M131" s="34"/>
      <c r="N131" s="34"/>
      <c r="O131" s="34"/>
      <c r="P131" s="34"/>
      <c r="Q131" s="34"/>
      <c r="R131" s="34"/>
      <c r="S131" s="34"/>
      <c r="T131" s="34"/>
      <c r="U131" s="34"/>
      <c r="V131" s="34"/>
      <c r="W131" s="34"/>
      <c r="X131" s="34"/>
      <c r="Y131" s="34"/>
      <c r="Z131" s="34"/>
    </row>
    <row r="132">
      <c r="A132" s="31" t="s">
        <v>2753</v>
      </c>
      <c r="B132" s="31" t="s">
        <v>2755</v>
      </c>
      <c r="C132" s="34"/>
      <c r="D132" s="31">
        <v>1.5</v>
      </c>
      <c r="E132" s="34"/>
      <c r="F132" s="34"/>
      <c r="G132" s="34"/>
      <c r="H132" s="36">
        <v>45767.0</v>
      </c>
      <c r="I132" s="34"/>
      <c r="J132" s="35"/>
      <c r="K132" s="34"/>
      <c r="L132" s="34"/>
      <c r="M132" s="34"/>
      <c r="N132" s="34"/>
      <c r="O132" s="34"/>
      <c r="P132" s="34"/>
      <c r="Q132" s="34"/>
      <c r="R132" s="34"/>
      <c r="S132" s="34"/>
      <c r="T132" s="34"/>
      <c r="U132" s="34"/>
      <c r="V132" s="34"/>
      <c r="W132" s="34"/>
      <c r="X132" s="34"/>
      <c r="Y132" s="34"/>
      <c r="Z132" s="34"/>
    </row>
    <row r="133">
      <c r="A133" s="10" t="s">
        <v>1031</v>
      </c>
      <c r="B133" s="10" t="s">
        <v>2756</v>
      </c>
      <c r="C133" s="11"/>
      <c r="D133" s="10">
        <v>4.5</v>
      </c>
      <c r="E133" s="11"/>
      <c r="F133" s="11"/>
      <c r="G133" s="11"/>
      <c r="H133" s="63">
        <v>45935.0</v>
      </c>
      <c r="I133" s="11"/>
      <c r="J133" s="12"/>
      <c r="K133" s="11"/>
      <c r="L133" s="11"/>
      <c r="M133" s="11"/>
      <c r="N133" s="11"/>
      <c r="O133" s="11"/>
      <c r="P133" s="11"/>
      <c r="Q133" s="11"/>
      <c r="R133" s="11"/>
      <c r="S133" s="11"/>
      <c r="T133" s="11"/>
      <c r="U133" s="11"/>
      <c r="V133" s="11"/>
      <c r="W133" s="11"/>
      <c r="X133" s="11"/>
      <c r="Y133" s="11"/>
      <c r="Z133" s="11"/>
    </row>
    <row r="134">
      <c r="A134" s="10" t="s">
        <v>1031</v>
      </c>
      <c r="B134" s="10" t="s">
        <v>2757</v>
      </c>
      <c r="C134" s="11"/>
      <c r="D134" s="10">
        <v>4.5</v>
      </c>
      <c r="E134" s="11"/>
      <c r="F134" s="11"/>
      <c r="G134" s="11"/>
      <c r="H134" s="63">
        <v>45935.0</v>
      </c>
      <c r="I134" s="11"/>
      <c r="J134" s="12"/>
      <c r="K134" s="11"/>
      <c r="L134" s="11"/>
      <c r="M134" s="11"/>
      <c r="N134" s="11"/>
      <c r="O134" s="11"/>
      <c r="P134" s="11"/>
      <c r="Q134" s="11"/>
      <c r="R134" s="11"/>
      <c r="S134" s="11"/>
      <c r="T134" s="11"/>
      <c r="U134" s="11"/>
      <c r="V134" s="11"/>
      <c r="W134" s="11"/>
      <c r="X134" s="11"/>
      <c r="Y134" s="11"/>
      <c r="Z134" s="11"/>
    </row>
    <row r="135">
      <c r="A135" s="31" t="s">
        <v>1031</v>
      </c>
      <c r="B135" s="31" t="s">
        <v>2758</v>
      </c>
      <c r="C135" s="34"/>
      <c r="D135" s="31">
        <v>3.5</v>
      </c>
      <c r="E135" s="34"/>
      <c r="F135" s="34"/>
      <c r="G135" s="34"/>
      <c r="H135" s="31" t="s">
        <v>1195</v>
      </c>
      <c r="I135" s="31"/>
      <c r="J135" s="35"/>
      <c r="K135" s="34"/>
      <c r="L135" s="34"/>
      <c r="M135" s="34"/>
      <c r="N135" s="34"/>
      <c r="O135" s="34"/>
      <c r="P135" s="34"/>
      <c r="Q135" s="34"/>
      <c r="R135" s="34"/>
      <c r="S135" s="34"/>
      <c r="T135" s="34"/>
      <c r="U135" s="34"/>
      <c r="V135" s="34"/>
      <c r="W135" s="34"/>
      <c r="X135" s="34"/>
      <c r="Y135" s="34"/>
      <c r="Z135" s="34"/>
    </row>
    <row r="136">
      <c r="A136" s="31" t="s">
        <v>1031</v>
      </c>
      <c r="B136" s="31" t="s">
        <v>2759</v>
      </c>
      <c r="C136" s="34"/>
      <c r="D136" s="31">
        <v>4.5</v>
      </c>
      <c r="E136" s="34"/>
      <c r="F136" s="34"/>
      <c r="G136" s="34"/>
      <c r="H136" s="31" t="s">
        <v>1195</v>
      </c>
      <c r="I136" s="31"/>
      <c r="J136" s="35"/>
      <c r="K136" s="34"/>
      <c r="L136" s="34"/>
      <c r="M136" s="34"/>
      <c r="N136" s="34"/>
      <c r="O136" s="34"/>
      <c r="P136" s="34"/>
      <c r="Q136" s="34"/>
      <c r="R136" s="34"/>
      <c r="S136" s="34"/>
      <c r="T136" s="34"/>
      <c r="U136" s="34"/>
      <c r="V136" s="34"/>
      <c r="W136" s="34"/>
      <c r="X136" s="34"/>
      <c r="Y136" s="34"/>
      <c r="Z136" s="34"/>
    </row>
    <row r="137">
      <c r="A137" s="31" t="s">
        <v>1031</v>
      </c>
      <c r="B137" s="31" t="s">
        <v>2760</v>
      </c>
      <c r="C137" s="34"/>
      <c r="D137" s="31">
        <v>2.5</v>
      </c>
      <c r="E137" s="34"/>
      <c r="F137" s="34"/>
      <c r="G137" s="34"/>
      <c r="H137" s="31" t="s">
        <v>1195</v>
      </c>
      <c r="I137" s="31"/>
      <c r="J137" s="35"/>
      <c r="K137" s="34"/>
      <c r="L137" s="34"/>
      <c r="M137" s="34"/>
      <c r="N137" s="34"/>
      <c r="O137" s="34"/>
      <c r="P137" s="34"/>
      <c r="Q137" s="34"/>
      <c r="R137" s="34"/>
      <c r="S137" s="34"/>
      <c r="T137" s="34"/>
      <c r="U137" s="34"/>
      <c r="V137" s="34"/>
      <c r="W137" s="34"/>
      <c r="X137" s="34"/>
      <c r="Y137" s="34"/>
      <c r="Z137" s="34"/>
    </row>
    <row r="138">
      <c r="A138" s="38" t="s">
        <v>1031</v>
      </c>
      <c r="B138" s="38" t="s">
        <v>2761</v>
      </c>
      <c r="C138" s="39"/>
      <c r="D138" s="38">
        <v>1.5</v>
      </c>
      <c r="E138" s="39"/>
      <c r="F138" s="39"/>
      <c r="G138" s="39"/>
      <c r="H138" s="40">
        <v>45893.0</v>
      </c>
      <c r="I138" s="39"/>
      <c r="J138" s="39"/>
      <c r="K138" s="39"/>
      <c r="L138" s="39"/>
      <c r="M138" s="39"/>
      <c r="N138" s="39"/>
      <c r="O138" s="39"/>
      <c r="P138" s="39"/>
      <c r="Q138" s="39"/>
      <c r="R138" s="39"/>
      <c r="S138" s="39"/>
      <c r="T138" s="39"/>
      <c r="U138" s="39"/>
      <c r="V138" s="39"/>
      <c r="W138" s="39"/>
      <c r="X138" s="39"/>
      <c r="Y138" s="39"/>
      <c r="Z138" s="39"/>
    </row>
    <row r="139">
      <c r="A139" s="38" t="s">
        <v>1031</v>
      </c>
      <c r="B139" s="38" t="s">
        <v>2762</v>
      </c>
      <c r="C139" s="39"/>
      <c r="D139" s="38">
        <v>2.0</v>
      </c>
      <c r="E139" s="39"/>
      <c r="F139" s="39"/>
      <c r="G139" s="39"/>
      <c r="H139" s="40">
        <v>45893.0</v>
      </c>
      <c r="I139" s="39"/>
      <c r="J139" s="41"/>
      <c r="K139" s="39"/>
      <c r="L139" s="39"/>
      <c r="M139" s="39"/>
      <c r="N139" s="39"/>
      <c r="O139" s="39"/>
      <c r="P139" s="39"/>
      <c r="Q139" s="39"/>
      <c r="R139" s="39"/>
      <c r="S139" s="39"/>
      <c r="T139" s="39"/>
      <c r="U139" s="39"/>
      <c r="V139" s="39"/>
      <c r="W139" s="39"/>
      <c r="X139" s="39"/>
      <c r="Y139" s="39"/>
      <c r="Z139" s="39"/>
    </row>
    <row r="140">
      <c r="A140" s="38" t="s">
        <v>1031</v>
      </c>
      <c r="B140" s="38" t="s">
        <v>2763</v>
      </c>
      <c r="C140" s="39"/>
      <c r="D140" s="38">
        <v>2.0</v>
      </c>
      <c r="E140" s="39"/>
      <c r="F140" s="39"/>
      <c r="G140" s="39"/>
      <c r="H140" s="40">
        <v>45893.0</v>
      </c>
      <c r="I140" s="109"/>
      <c r="J140" s="118"/>
      <c r="K140" s="39"/>
      <c r="L140" s="39"/>
      <c r="M140" s="39"/>
      <c r="N140" s="39"/>
      <c r="O140" s="39"/>
      <c r="P140" s="39"/>
      <c r="Q140" s="39"/>
      <c r="R140" s="39"/>
      <c r="S140" s="39"/>
      <c r="T140" s="39"/>
      <c r="U140" s="39"/>
      <c r="V140" s="39"/>
      <c r="W140" s="39"/>
      <c r="X140" s="39"/>
      <c r="Y140" s="39"/>
      <c r="Z140" s="39"/>
    </row>
    <row r="141">
      <c r="A141" s="38" t="s">
        <v>1031</v>
      </c>
      <c r="B141" s="38" t="s">
        <v>2764</v>
      </c>
      <c r="C141" s="39"/>
      <c r="D141" s="38">
        <v>2.25</v>
      </c>
      <c r="E141" s="39"/>
      <c r="F141" s="39"/>
      <c r="G141" s="38"/>
      <c r="H141" s="40">
        <v>45893.0</v>
      </c>
      <c r="I141" s="39"/>
      <c r="J141" s="41"/>
      <c r="K141" s="39"/>
      <c r="L141" s="39"/>
      <c r="M141" s="39"/>
      <c r="N141" s="39"/>
      <c r="O141" s="39"/>
      <c r="P141" s="39"/>
      <c r="Q141" s="39"/>
      <c r="R141" s="39"/>
      <c r="S141" s="39"/>
      <c r="T141" s="39"/>
      <c r="U141" s="39"/>
      <c r="V141" s="39"/>
      <c r="W141" s="39"/>
      <c r="X141" s="39"/>
      <c r="Y141" s="39"/>
      <c r="Z141" s="39"/>
    </row>
    <row r="142">
      <c r="A142" s="42" t="s">
        <v>1031</v>
      </c>
      <c r="B142" s="42" t="s">
        <v>2765</v>
      </c>
      <c r="C142" s="43"/>
      <c r="D142" s="42">
        <v>9.5</v>
      </c>
      <c r="E142" s="42">
        <v>32.45</v>
      </c>
      <c r="F142" s="42">
        <v>5.85</v>
      </c>
      <c r="G142" s="43">
        <f t="shared" ref="G142:G145" si="18">E142-F142-D142</f>
        <v>17.1</v>
      </c>
      <c r="H142" s="42" t="s">
        <v>1202</v>
      </c>
      <c r="I142" s="43"/>
      <c r="J142" s="44"/>
      <c r="K142" s="43"/>
      <c r="L142" s="43"/>
      <c r="M142" s="43"/>
      <c r="N142" s="43"/>
      <c r="O142" s="43"/>
      <c r="P142" s="43"/>
      <c r="Q142" s="43"/>
      <c r="R142" s="43"/>
      <c r="S142" s="43"/>
      <c r="T142" s="43"/>
      <c r="U142" s="43"/>
      <c r="V142" s="43"/>
      <c r="W142" s="43"/>
      <c r="X142" s="43"/>
      <c r="Y142" s="43"/>
      <c r="Z142" s="43"/>
    </row>
    <row r="143">
      <c r="A143" s="31" t="s">
        <v>1031</v>
      </c>
      <c r="B143" s="31" t="s">
        <v>2766</v>
      </c>
      <c r="C143" s="34"/>
      <c r="D143" s="31"/>
      <c r="E143" s="31">
        <v>15.0</v>
      </c>
      <c r="F143" s="31">
        <v>0.0</v>
      </c>
      <c r="G143" s="34">
        <f t="shared" si="18"/>
        <v>15</v>
      </c>
      <c r="H143" s="31" t="s">
        <v>1190</v>
      </c>
      <c r="I143" s="31"/>
      <c r="J143" s="35"/>
      <c r="K143" s="34"/>
      <c r="L143" s="34"/>
      <c r="M143" s="34"/>
      <c r="N143" s="34"/>
      <c r="O143" s="34"/>
      <c r="P143" s="34"/>
      <c r="Q143" s="34"/>
      <c r="R143" s="34"/>
      <c r="S143" s="34"/>
      <c r="T143" s="34"/>
      <c r="U143" s="34"/>
      <c r="V143" s="34"/>
      <c r="W143" s="34"/>
      <c r="X143" s="34"/>
      <c r="Y143" s="34"/>
      <c r="Z143" s="34"/>
    </row>
    <row r="144">
      <c r="A144" s="31" t="s">
        <v>1031</v>
      </c>
      <c r="B144" s="31" t="s">
        <v>2767</v>
      </c>
      <c r="C144" s="34"/>
      <c r="D144" s="31">
        <v>0.0</v>
      </c>
      <c r="E144" s="31">
        <v>30.0</v>
      </c>
      <c r="F144" s="31">
        <v>0.0</v>
      </c>
      <c r="G144" s="34">
        <f t="shared" si="18"/>
        <v>30</v>
      </c>
      <c r="H144" s="31"/>
      <c r="I144" s="31"/>
      <c r="J144" s="35"/>
      <c r="K144" s="34"/>
      <c r="L144" s="34"/>
      <c r="M144" s="34"/>
      <c r="N144" s="34"/>
      <c r="O144" s="34"/>
      <c r="P144" s="34"/>
      <c r="Q144" s="34"/>
      <c r="R144" s="34"/>
      <c r="S144" s="34"/>
      <c r="T144" s="34"/>
      <c r="U144" s="34"/>
      <c r="V144" s="34"/>
      <c r="W144" s="34"/>
      <c r="X144" s="34"/>
      <c r="Y144" s="34"/>
      <c r="Z144" s="34"/>
    </row>
    <row r="145">
      <c r="A145" s="31" t="s">
        <v>1031</v>
      </c>
      <c r="B145" s="31" t="s">
        <v>2768</v>
      </c>
      <c r="C145" s="34"/>
      <c r="D145" s="31">
        <v>0.0</v>
      </c>
      <c r="E145" s="31">
        <v>58.0</v>
      </c>
      <c r="F145" s="31">
        <v>8.85</v>
      </c>
      <c r="G145" s="34">
        <f t="shared" si="18"/>
        <v>49.15</v>
      </c>
      <c r="H145" s="31"/>
      <c r="I145" s="31"/>
      <c r="J145" s="35"/>
      <c r="K145" s="34"/>
      <c r="L145" s="34"/>
      <c r="M145" s="34"/>
      <c r="N145" s="34"/>
      <c r="O145" s="34"/>
      <c r="P145" s="34"/>
      <c r="Q145" s="34"/>
      <c r="R145" s="34"/>
      <c r="S145" s="34"/>
      <c r="T145" s="34"/>
      <c r="U145" s="34"/>
      <c r="V145" s="34"/>
      <c r="W145" s="34"/>
      <c r="X145" s="34"/>
      <c r="Y145" s="34"/>
      <c r="Z145" s="34"/>
    </row>
    <row r="146">
      <c r="A146" s="31" t="s">
        <v>1031</v>
      </c>
      <c r="B146" s="31" t="s">
        <v>2769</v>
      </c>
      <c r="C146" s="31" t="s">
        <v>2770</v>
      </c>
      <c r="D146" s="31">
        <v>4.5</v>
      </c>
      <c r="E146" s="34"/>
      <c r="F146" s="34"/>
      <c r="G146" s="34"/>
      <c r="H146" s="36">
        <v>45767.0</v>
      </c>
      <c r="I146" s="69" t="s">
        <v>2771</v>
      </c>
      <c r="J146" s="61" t="s">
        <v>2772</v>
      </c>
      <c r="K146" s="34"/>
      <c r="L146" s="34"/>
      <c r="M146" s="34"/>
      <c r="N146" s="34"/>
      <c r="O146" s="34"/>
      <c r="P146" s="34"/>
      <c r="Q146" s="34"/>
      <c r="R146" s="34"/>
      <c r="S146" s="34"/>
      <c r="T146" s="34"/>
      <c r="U146" s="34"/>
      <c r="V146" s="34"/>
      <c r="W146" s="34"/>
      <c r="X146" s="34"/>
      <c r="Y146" s="34"/>
      <c r="Z146" s="34"/>
    </row>
    <row r="147">
      <c r="A147" s="31" t="s">
        <v>1031</v>
      </c>
      <c r="B147" s="31" t="s">
        <v>2773</v>
      </c>
      <c r="C147" s="34"/>
      <c r="D147" s="31">
        <v>7.5</v>
      </c>
      <c r="E147" s="34"/>
      <c r="F147" s="34"/>
      <c r="G147" s="34"/>
      <c r="H147" s="36">
        <v>45767.0</v>
      </c>
      <c r="I147" s="34"/>
      <c r="J147" s="35"/>
      <c r="K147" s="34"/>
      <c r="L147" s="34"/>
      <c r="M147" s="34"/>
      <c r="N147" s="34"/>
      <c r="O147" s="34"/>
      <c r="P147" s="34"/>
      <c r="Q147" s="34"/>
      <c r="R147" s="34"/>
      <c r="S147" s="34"/>
      <c r="T147" s="34"/>
      <c r="U147" s="34"/>
      <c r="V147" s="34"/>
      <c r="W147" s="34"/>
      <c r="X147" s="34"/>
      <c r="Y147" s="34"/>
      <c r="Z147" s="34"/>
    </row>
    <row r="148">
      <c r="A148" s="51" t="s">
        <v>1031</v>
      </c>
      <c r="B148" s="112" t="s">
        <v>2774</v>
      </c>
      <c r="C148" s="52"/>
      <c r="D148" s="51">
        <v>1.5</v>
      </c>
      <c r="E148" s="51">
        <v>0.0</v>
      </c>
      <c r="F148" s="51">
        <v>0.0</v>
      </c>
      <c r="G148" s="52">
        <f t="shared" ref="G148:G149" si="19">E148-F148-D148</f>
        <v>-1.5</v>
      </c>
      <c r="H148" s="51">
        <v>15.0</v>
      </c>
      <c r="I148" s="52"/>
      <c r="J148" s="53"/>
      <c r="K148" s="52"/>
      <c r="L148" s="52"/>
      <c r="M148" s="52"/>
      <c r="N148" s="52"/>
      <c r="O148" s="52"/>
      <c r="P148" s="52"/>
      <c r="Q148" s="52"/>
      <c r="R148" s="52"/>
      <c r="S148" s="52"/>
      <c r="T148" s="52"/>
      <c r="U148" s="52"/>
      <c r="V148" s="52"/>
      <c r="W148" s="52"/>
      <c r="X148" s="52"/>
      <c r="Y148" s="52"/>
      <c r="Z148" s="52"/>
    </row>
    <row r="149">
      <c r="A149" s="31" t="s">
        <v>1031</v>
      </c>
      <c r="B149" s="31" t="s">
        <v>2775</v>
      </c>
      <c r="C149" s="34"/>
      <c r="D149" s="31">
        <v>0.0</v>
      </c>
      <c r="E149" s="31">
        <v>5.0</v>
      </c>
      <c r="F149" s="31">
        <v>0.0</v>
      </c>
      <c r="G149" s="34">
        <f t="shared" si="19"/>
        <v>5</v>
      </c>
      <c r="H149" s="34"/>
      <c r="I149" s="34"/>
      <c r="J149" s="35"/>
      <c r="K149" s="34"/>
      <c r="L149" s="34"/>
      <c r="M149" s="34"/>
      <c r="N149" s="34"/>
      <c r="O149" s="34"/>
      <c r="P149" s="34"/>
      <c r="Q149" s="34"/>
      <c r="R149" s="34"/>
      <c r="S149" s="34"/>
      <c r="T149" s="34"/>
      <c r="U149" s="34"/>
      <c r="V149" s="34"/>
      <c r="W149" s="34"/>
      <c r="X149" s="34"/>
      <c r="Y149" s="34"/>
      <c r="Z149" s="34"/>
    </row>
    <row r="150">
      <c r="A150" s="31" t="s">
        <v>1031</v>
      </c>
      <c r="B150" s="31" t="s">
        <v>2776</v>
      </c>
      <c r="C150" s="34"/>
      <c r="D150" s="31">
        <v>2.0</v>
      </c>
      <c r="E150" s="34"/>
      <c r="F150" s="34"/>
      <c r="G150" s="34"/>
      <c r="H150" s="36">
        <v>45767.0</v>
      </c>
      <c r="I150" s="34"/>
      <c r="J150" s="35"/>
      <c r="K150" s="34"/>
      <c r="L150" s="34"/>
      <c r="M150" s="34"/>
      <c r="N150" s="34"/>
      <c r="O150" s="34"/>
      <c r="P150" s="34"/>
      <c r="Q150" s="34"/>
      <c r="R150" s="34"/>
      <c r="S150" s="34"/>
      <c r="T150" s="34"/>
      <c r="U150" s="34"/>
      <c r="V150" s="34"/>
      <c r="W150" s="34"/>
      <c r="X150" s="34"/>
      <c r="Y150" s="34"/>
      <c r="Z150" s="34"/>
    </row>
    <row r="151">
      <c r="A151" s="57" t="s">
        <v>1031</v>
      </c>
      <c r="B151" s="57" t="s">
        <v>2777</v>
      </c>
      <c r="C151" s="58"/>
      <c r="D151" s="57">
        <v>2.5</v>
      </c>
      <c r="E151" s="57">
        <v>10.0</v>
      </c>
      <c r="F151" s="57">
        <v>0.0</v>
      </c>
      <c r="G151" s="58">
        <f t="shared" ref="G151:G152" si="20">E151-F151-D151</f>
        <v>7.5</v>
      </c>
      <c r="H151" s="58"/>
      <c r="I151" s="58"/>
      <c r="J151" s="59"/>
      <c r="K151" s="58"/>
      <c r="L151" s="58"/>
      <c r="M151" s="58"/>
      <c r="N151" s="58"/>
      <c r="O151" s="58"/>
      <c r="P151" s="58"/>
      <c r="Q151" s="58"/>
      <c r="R151" s="58"/>
      <c r="S151" s="58"/>
      <c r="T151" s="58"/>
      <c r="U151" s="58"/>
      <c r="V151" s="58"/>
      <c r="W151" s="58"/>
      <c r="X151" s="58"/>
      <c r="Y151" s="58"/>
      <c r="Z151" s="58"/>
    </row>
    <row r="152">
      <c r="A152" s="51" t="s">
        <v>1031</v>
      </c>
      <c r="B152" s="51" t="s">
        <v>2778</v>
      </c>
      <c r="C152" s="52"/>
      <c r="D152" s="51">
        <v>0.0</v>
      </c>
      <c r="E152" s="51">
        <v>10.0</v>
      </c>
      <c r="F152" s="51">
        <v>0.0</v>
      </c>
      <c r="G152" s="52">
        <f t="shared" si="20"/>
        <v>10</v>
      </c>
      <c r="H152" s="52"/>
      <c r="I152" s="52"/>
      <c r="J152" s="53"/>
      <c r="K152" s="52"/>
      <c r="L152" s="52"/>
      <c r="M152" s="52"/>
      <c r="N152" s="52"/>
      <c r="O152" s="52"/>
      <c r="P152" s="52"/>
      <c r="Q152" s="52"/>
      <c r="R152" s="52"/>
      <c r="S152" s="52"/>
      <c r="T152" s="52"/>
      <c r="U152" s="52"/>
      <c r="V152" s="52"/>
      <c r="W152" s="52"/>
      <c r="X152" s="52"/>
      <c r="Y152" s="52"/>
      <c r="Z152" s="52"/>
    </row>
    <row r="153">
      <c r="A153" s="31" t="s">
        <v>1031</v>
      </c>
      <c r="B153" s="31" t="s">
        <v>2346</v>
      </c>
      <c r="C153" s="34"/>
      <c r="D153" s="31">
        <v>2.5</v>
      </c>
      <c r="E153" s="31"/>
      <c r="F153" s="31"/>
      <c r="G153" s="34"/>
      <c r="H153" s="37">
        <v>45696.0</v>
      </c>
      <c r="I153" s="34"/>
      <c r="J153" s="35"/>
      <c r="K153" s="34"/>
      <c r="L153" s="34"/>
      <c r="M153" s="34"/>
      <c r="N153" s="34"/>
      <c r="O153" s="34"/>
      <c r="P153" s="34"/>
      <c r="Q153" s="34"/>
      <c r="R153" s="34"/>
      <c r="S153" s="34"/>
      <c r="T153" s="34"/>
      <c r="U153" s="34"/>
      <c r="V153" s="34"/>
      <c r="W153" s="34"/>
      <c r="X153" s="34"/>
      <c r="Y153" s="34"/>
      <c r="Z153" s="34"/>
    </row>
    <row r="154">
      <c r="A154" s="31" t="s">
        <v>1031</v>
      </c>
      <c r="B154" s="31" t="s">
        <v>2779</v>
      </c>
      <c r="C154" s="34"/>
      <c r="D154" s="31">
        <v>3.5</v>
      </c>
      <c r="E154" s="31"/>
      <c r="F154" s="31"/>
      <c r="G154" s="34"/>
      <c r="H154" s="37">
        <v>45696.0</v>
      </c>
      <c r="I154" s="31" t="s">
        <v>2690</v>
      </c>
      <c r="J154" s="35"/>
      <c r="K154" s="34"/>
      <c r="L154" s="34"/>
      <c r="M154" s="34"/>
      <c r="N154" s="34"/>
      <c r="O154" s="34"/>
      <c r="P154" s="34"/>
      <c r="Q154" s="34"/>
      <c r="R154" s="34"/>
      <c r="S154" s="34"/>
      <c r="T154" s="34"/>
      <c r="U154" s="34"/>
      <c r="V154" s="34"/>
      <c r="W154" s="34"/>
      <c r="X154" s="34"/>
      <c r="Y154" s="34"/>
      <c r="Z154" s="34"/>
    </row>
    <row r="155">
      <c r="A155" s="57" t="s">
        <v>1031</v>
      </c>
      <c r="B155" s="57" t="s">
        <v>2780</v>
      </c>
      <c r="C155" s="58"/>
      <c r="D155" s="57">
        <v>5.0</v>
      </c>
      <c r="E155" s="57">
        <v>20.0</v>
      </c>
      <c r="F155" s="57">
        <v>0.0</v>
      </c>
      <c r="G155" s="58">
        <f t="shared" ref="G155:G157" si="21">E155-F155-D155</f>
        <v>15</v>
      </c>
      <c r="H155" s="58"/>
      <c r="I155" s="58"/>
      <c r="J155" s="59"/>
      <c r="K155" s="58"/>
      <c r="L155" s="58"/>
      <c r="M155" s="58"/>
      <c r="N155" s="58"/>
      <c r="O155" s="58"/>
      <c r="P155" s="58"/>
      <c r="Q155" s="58"/>
      <c r="R155" s="58"/>
      <c r="S155" s="58"/>
      <c r="T155" s="58"/>
      <c r="U155" s="58"/>
      <c r="V155" s="58"/>
      <c r="W155" s="58"/>
      <c r="X155" s="58"/>
      <c r="Y155" s="58"/>
      <c r="Z155" s="58"/>
    </row>
    <row r="156">
      <c r="A156" s="57" t="s">
        <v>1031</v>
      </c>
      <c r="B156" s="57" t="s">
        <v>2781</v>
      </c>
      <c r="C156" s="58"/>
      <c r="D156" s="57">
        <v>0.0</v>
      </c>
      <c r="E156" s="57">
        <v>10.0</v>
      </c>
      <c r="F156" s="57">
        <v>0.0</v>
      </c>
      <c r="G156" s="58">
        <f t="shared" si="21"/>
        <v>10</v>
      </c>
      <c r="H156" s="58"/>
      <c r="I156" s="58"/>
      <c r="J156" s="59"/>
      <c r="K156" s="58"/>
      <c r="L156" s="58"/>
      <c r="M156" s="58"/>
      <c r="N156" s="58"/>
      <c r="O156" s="58"/>
      <c r="P156" s="58"/>
      <c r="Q156" s="58"/>
      <c r="R156" s="58"/>
      <c r="S156" s="58"/>
      <c r="T156" s="58"/>
      <c r="U156" s="58"/>
      <c r="V156" s="58"/>
      <c r="W156" s="58"/>
      <c r="X156" s="58"/>
      <c r="Y156" s="58"/>
      <c r="Z156" s="58"/>
    </row>
    <row r="157">
      <c r="A157" s="51" t="s">
        <v>1031</v>
      </c>
      <c r="B157" s="51" t="s">
        <v>2782</v>
      </c>
      <c r="C157" s="52"/>
      <c r="D157" s="51">
        <v>0.0</v>
      </c>
      <c r="E157" s="51">
        <v>10.0</v>
      </c>
      <c r="F157" s="51">
        <v>0.0</v>
      </c>
      <c r="G157" s="52">
        <f t="shared" si="21"/>
        <v>10</v>
      </c>
      <c r="H157" s="52"/>
      <c r="I157" s="52"/>
      <c r="J157" s="53"/>
      <c r="K157" s="52"/>
      <c r="L157" s="52"/>
      <c r="M157" s="52"/>
      <c r="N157" s="52"/>
      <c r="O157" s="52"/>
      <c r="P157" s="52"/>
      <c r="Q157" s="52"/>
      <c r="R157" s="52"/>
      <c r="S157" s="52"/>
      <c r="T157" s="52"/>
      <c r="U157" s="52"/>
      <c r="V157" s="52"/>
      <c r="W157" s="52"/>
      <c r="X157" s="52"/>
      <c r="Y157" s="52"/>
      <c r="Z157" s="52"/>
    </row>
    <row r="158">
      <c r="A158" s="31" t="s">
        <v>1031</v>
      </c>
      <c r="B158" s="31" t="s">
        <v>2783</v>
      </c>
      <c r="C158" s="34"/>
      <c r="D158" s="31">
        <v>4.5</v>
      </c>
      <c r="E158" s="31"/>
      <c r="F158" s="31"/>
      <c r="G158" s="34"/>
      <c r="H158" s="37">
        <v>45696.0</v>
      </c>
      <c r="I158" s="34"/>
      <c r="J158" s="35"/>
      <c r="K158" s="34"/>
      <c r="L158" s="34"/>
      <c r="M158" s="34"/>
      <c r="N158" s="34"/>
      <c r="O158" s="34"/>
      <c r="P158" s="34"/>
      <c r="Q158" s="34"/>
      <c r="R158" s="34"/>
      <c r="S158" s="34"/>
      <c r="T158" s="34"/>
      <c r="U158" s="34"/>
      <c r="V158" s="34"/>
      <c r="W158" s="34"/>
      <c r="X158" s="34"/>
      <c r="Y158" s="34"/>
      <c r="Z158" s="34"/>
    </row>
    <row r="159">
      <c r="A159" s="31" t="s">
        <v>1031</v>
      </c>
      <c r="B159" s="31" t="s">
        <v>2784</v>
      </c>
      <c r="C159" s="34"/>
      <c r="D159" s="31">
        <v>4.5</v>
      </c>
      <c r="E159" s="34"/>
      <c r="F159" s="34"/>
      <c r="G159" s="34"/>
      <c r="H159" s="37">
        <v>45696.0</v>
      </c>
      <c r="I159" s="34"/>
      <c r="J159" s="35"/>
      <c r="K159" s="34"/>
      <c r="L159" s="34"/>
      <c r="M159" s="34"/>
      <c r="N159" s="34"/>
      <c r="O159" s="34"/>
      <c r="P159" s="34"/>
      <c r="Q159" s="34"/>
      <c r="R159" s="34"/>
      <c r="S159" s="34"/>
      <c r="T159" s="34"/>
      <c r="U159" s="34"/>
      <c r="V159" s="34"/>
      <c r="W159" s="34"/>
      <c r="X159" s="34"/>
      <c r="Y159" s="34"/>
      <c r="Z159" s="34"/>
    </row>
    <row r="160">
      <c r="A160" s="51" t="s">
        <v>1031</v>
      </c>
      <c r="B160" s="51" t="s">
        <v>2785</v>
      </c>
      <c r="C160" s="52"/>
      <c r="D160" s="52"/>
      <c r="E160" s="51">
        <v>50.0</v>
      </c>
      <c r="F160" s="51">
        <v>0.0</v>
      </c>
      <c r="G160" s="52">
        <f t="shared" ref="G160:G162" si="22">E160-F160-D160</f>
        <v>50</v>
      </c>
      <c r="H160" s="52"/>
      <c r="I160" s="52"/>
      <c r="J160" s="53"/>
      <c r="K160" s="52"/>
      <c r="L160" s="52"/>
      <c r="M160" s="52"/>
      <c r="N160" s="52"/>
      <c r="O160" s="52"/>
      <c r="P160" s="52"/>
      <c r="Q160" s="52"/>
      <c r="R160" s="52"/>
      <c r="S160" s="52"/>
      <c r="T160" s="52"/>
      <c r="U160" s="52"/>
      <c r="V160" s="52"/>
      <c r="W160" s="52"/>
      <c r="X160" s="52"/>
      <c r="Y160" s="52"/>
      <c r="Z160" s="52"/>
    </row>
    <row r="161">
      <c r="A161" s="51" t="s">
        <v>1031</v>
      </c>
      <c r="B161" s="51" t="s">
        <v>2786</v>
      </c>
      <c r="C161" s="52"/>
      <c r="D161" s="52"/>
      <c r="E161" s="51">
        <v>20.0</v>
      </c>
      <c r="F161" s="51">
        <v>0.0</v>
      </c>
      <c r="G161" s="52">
        <f t="shared" si="22"/>
        <v>20</v>
      </c>
      <c r="H161" s="52"/>
      <c r="I161" s="52"/>
      <c r="J161" s="53"/>
      <c r="K161" s="52"/>
      <c r="L161" s="52"/>
      <c r="M161" s="52"/>
      <c r="N161" s="52"/>
      <c r="O161" s="52"/>
      <c r="P161" s="52"/>
      <c r="Q161" s="52"/>
      <c r="R161" s="52"/>
      <c r="S161" s="52"/>
      <c r="T161" s="52"/>
      <c r="U161" s="52"/>
      <c r="V161" s="52"/>
      <c r="W161" s="52"/>
      <c r="X161" s="52"/>
      <c r="Y161" s="52"/>
      <c r="Z161" s="52"/>
    </row>
    <row r="162">
      <c r="A162" s="51" t="s">
        <v>1031</v>
      </c>
      <c r="B162" s="51" t="s">
        <v>2787</v>
      </c>
      <c r="C162" s="52"/>
      <c r="D162" s="52"/>
      <c r="E162" s="51">
        <v>5.0</v>
      </c>
      <c r="F162" s="51">
        <v>0.0</v>
      </c>
      <c r="G162" s="52">
        <f t="shared" si="22"/>
        <v>5</v>
      </c>
      <c r="H162" s="52"/>
      <c r="I162" s="52"/>
      <c r="J162" s="53"/>
      <c r="K162" s="52"/>
      <c r="L162" s="52"/>
      <c r="M162" s="52"/>
      <c r="N162" s="52"/>
      <c r="O162" s="52"/>
      <c r="P162" s="52"/>
      <c r="Q162" s="52"/>
      <c r="R162" s="52"/>
      <c r="S162" s="52"/>
      <c r="T162" s="52"/>
      <c r="U162" s="52"/>
      <c r="V162" s="52"/>
      <c r="W162" s="52"/>
      <c r="X162" s="52"/>
      <c r="Y162" s="52"/>
      <c r="Z162" s="52"/>
    </row>
    <row r="163">
      <c r="A163" s="38" t="s">
        <v>1031</v>
      </c>
      <c r="B163" s="38" t="s">
        <v>2788</v>
      </c>
      <c r="C163" s="39"/>
      <c r="D163" s="38">
        <v>4.0</v>
      </c>
      <c r="E163" s="39"/>
      <c r="F163" s="39"/>
      <c r="G163" s="39"/>
      <c r="H163" s="40">
        <v>45893.0</v>
      </c>
      <c r="I163" s="39"/>
      <c r="J163" s="41"/>
      <c r="K163" s="39"/>
      <c r="L163" s="39"/>
      <c r="M163" s="39"/>
      <c r="N163" s="39"/>
      <c r="O163" s="39"/>
      <c r="P163" s="39"/>
      <c r="Q163" s="39"/>
      <c r="R163" s="39"/>
      <c r="S163" s="39"/>
      <c r="T163" s="39"/>
      <c r="U163" s="39"/>
      <c r="V163" s="39"/>
      <c r="W163" s="39"/>
      <c r="X163" s="39"/>
      <c r="Y163" s="39"/>
      <c r="Z163" s="39"/>
    </row>
    <row r="164">
      <c r="A164" s="31" t="s">
        <v>1031</v>
      </c>
      <c r="B164" s="31" t="s">
        <v>2789</v>
      </c>
      <c r="C164" s="34"/>
      <c r="D164" s="31">
        <v>5.5</v>
      </c>
      <c r="E164" s="31"/>
      <c r="F164" s="31"/>
      <c r="G164" s="34"/>
      <c r="H164" s="37">
        <v>45696.0</v>
      </c>
      <c r="I164" s="34"/>
      <c r="J164" s="35"/>
      <c r="K164" s="34"/>
      <c r="L164" s="34"/>
      <c r="M164" s="34"/>
      <c r="N164" s="34"/>
      <c r="O164" s="34"/>
      <c r="P164" s="34"/>
      <c r="Q164" s="34"/>
      <c r="R164" s="34"/>
      <c r="S164" s="34"/>
      <c r="T164" s="34"/>
      <c r="U164" s="34"/>
      <c r="V164" s="34"/>
      <c r="W164" s="34"/>
      <c r="X164" s="34"/>
      <c r="Y164" s="34"/>
      <c r="Z164" s="34"/>
    </row>
    <row r="165">
      <c r="A165" s="31" t="s">
        <v>1031</v>
      </c>
      <c r="B165" s="31" t="s">
        <v>2790</v>
      </c>
      <c r="C165" s="34"/>
      <c r="D165" s="31">
        <v>3.5</v>
      </c>
      <c r="E165" s="31"/>
      <c r="F165" s="31"/>
      <c r="G165" s="34"/>
      <c r="H165" s="37">
        <v>45696.0</v>
      </c>
      <c r="I165" s="34"/>
      <c r="J165" s="35"/>
      <c r="K165" s="34"/>
      <c r="L165" s="34"/>
      <c r="M165" s="34"/>
      <c r="N165" s="34"/>
      <c r="O165" s="34"/>
      <c r="P165" s="34"/>
      <c r="Q165" s="34"/>
      <c r="R165" s="34"/>
      <c r="S165" s="34"/>
      <c r="T165" s="34"/>
      <c r="U165" s="34"/>
      <c r="V165" s="34"/>
      <c r="W165" s="34"/>
      <c r="X165" s="34"/>
      <c r="Y165" s="34"/>
      <c r="Z165" s="34"/>
    </row>
    <row r="166">
      <c r="A166" s="31" t="s">
        <v>1031</v>
      </c>
      <c r="B166" s="31" t="s">
        <v>2791</v>
      </c>
      <c r="C166" s="34"/>
      <c r="D166" s="31">
        <v>8.0</v>
      </c>
      <c r="E166" s="31">
        <v>20.0</v>
      </c>
      <c r="F166" s="31">
        <v>0.0</v>
      </c>
      <c r="G166" s="34">
        <f>E166-F166-D166</f>
        <v>12</v>
      </c>
      <c r="H166" s="34"/>
      <c r="I166" s="34"/>
      <c r="J166" s="35"/>
      <c r="K166" s="34"/>
      <c r="L166" s="34"/>
      <c r="M166" s="34"/>
      <c r="N166" s="34"/>
      <c r="O166" s="34"/>
      <c r="P166" s="34"/>
      <c r="Q166" s="34"/>
      <c r="R166" s="34"/>
      <c r="S166" s="34"/>
      <c r="T166" s="34"/>
      <c r="U166" s="34"/>
      <c r="V166" s="34"/>
      <c r="W166" s="34"/>
      <c r="X166" s="34"/>
      <c r="Y166" s="34"/>
      <c r="Z166" s="34"/>
    </row>
    <row r="167">
      <c r="A167" s="31" t="s">
        <v>1031</v>
      </c>
      <c r="B167" s="31" t="s">
        <v>2792</v>
      </c>
      <c r="C167" s="34"/>
      <c r="D167" s="31">
        <v>15.0</v>
      </c>
      <c r="E167" s="31">
        <v>50.0</v>
      </c>
      <c r="F167" s="31">
        <v>0.0</v>
      </c>
      <c r="G167" s="31">
        <v>50.0</v>
      </c>
      <c r="H167" s="31">
        <v>50.0</v>
      </c>
      <c r="I167" s="69" t="s">
        <v>2793</v>
      </c>
      <c r="J167" s="107" t="s">
        <v>2794</v>
      </c>
      <c r="K167" s="34"/>
      <c r="L167" s="34"/>
      <c r="M167" s="34"/>
      <c r="N167" s="34"/>
      <c r="O167" s="34"/>
      <c r="P167" s="34"/>
      <c r="Q167" s="34"/>
      <c r="R167" s="34"/>
      <c r="S167" s="34"/>
      <c r="T167" s="34"/>
      <c r="U167" s="34"/>
      <c r="V167" s="34"/>
      <c r="W167" s="34"/>
      <c r="X167" s="34"/>
      <c r="Y167" s="34"/>
      <c r="Z167" s="34"/>
    </row>
    <row r="168">
      <c r="A168" s="31" t="s">
        <v>1031</v>
      </c>
      <c r="B168" s="31" t="s">
        <v>2795</v>
      </c>
      <c r="C168" s="34"/>
      <c r="D168" s="31">
        <v>2.5</v>
      </c>
      <c r="E168" s="34"/>
      <c r="F168" s="34"/>
      <c r="G168" s="34"/>
      <c r="H168" s="36">
        <v>45767.0</v>
      </c>
      <c r="I168" s="34"/>
      <c r="J168" s="35"/>
      <c r="K168" s="34"/>
      <c r="L168" s="34"/>
      <c r="M168" s="34"/>
      <c r="N168" s="34"/>
      <c r="O168" s="34"/>
      <c r="P168" s="34"/>
      <c r="Q168" s="34"/>
      <c r="R168" s="34"/>
      <c r="S168" s="34"/>
      <c r="T168" s="34"/>
      <c r="U168" s="34"/>
      <c r="V168" s="34"/>
      <c r="W168" s="34"/>
      <c r="X168" s="34"/>
      <c r="Y168" s="34"/>
      <c r="Z168" s="34"/>
    </row>
    <row r="169">
      <c r="A169" s="31" t="s">
        <v>1031</v>
      </c>
      <c r="B169" s="31" t="s">
        <v>2796</v>
      </c>
      <c r="C169" s="34"/>
      <c r="D169" s="31"/>
      <c r="E169" s="34"/>
      <c r="F169" s="34"/>
      <c r="G169" s="34"/>
      <c r="H169" s="36">
        <v>45767.0</v>
      </c>
      <c r="I169" s="31"/>
      <c r="J169" s="35"/>
      <c r="K169" s="34"/>
      <c r="L169" s="34"/>
      <c r="M169" s="34"/>
      <c r="N169" s="34"/>
      <c r="O169" s="34"/>
      <c r="P169" s="34"/>
      <c r="Q169" s="34"/>
      <c r="R169" s="34"/>
      <c r="S169" s="34"/>
      <c r="T169" s="34"/>
      <c r="U169" s="34"/>
      <c r="V169" s="34"/>
      <c r="W169" s="34"/>
      <c r="X169" s="34"/>
      <c r="Y169" s="34"/>
      <c r="Z169" s="34"/>
    </row>
    <row r="170">
      <c r="A170" s="31" t="s">
        <v>2507</v>
      </c>
      <c r="B170" s="31" t="s">
        <v>2797</v>
      </c>
      <c r="C170" s="34"/>
      <c r="D170" s="31">
        <v>2.0</v>
      </c>
      <c r="E170" s="31">
        <v>10.0</v>
      </c>
      <c r="F170" s="31">
        <v>0.0</v>
      </c>
      <c r="G170" s="34">
        <f t="shared" ref="G170:G171" si="23">E170-F170-D170</f>
        <v>8</v>
      </c>
      <c r="H170" s="36">
        <v>46131.0</v>
      </c>
      <c r="I170" s="34"/>
      <c r="J170" s="35"/>
      <c r="K170" s="34"/>
      <c r="L170" s="34"/>
      <c r="M170" s="34"/>
      <c r="N170" s="34"/>
      <c r="O170" s="34"/>
      <c r="P170" s="34"/>
      <c r="Q170" s="34"/>
      <c r="R170" s="34"/>
      <c r="S170" s="34"/>
      <c r="T170" s="34"/>
      <c r="U170" s="34"/>
      <c r="V170" s="34"/>
      <c r="W170" s="34"/>
      <c r="X170" s="34"/>
      <c r="Y170" s="34"/>
      <c r="Z170" s="34"/>
    </row>
    <row r="171">
      <c r="A171" s="57" t="s">
        <v>2507</v>
      </c>
      <c r="B171" s="57" t="s">
        <v>2798</v>
      </c>
      <c r="C171" s="58"/>
      <c r="D171" s="57">
        <v>0.0</v>
      </c>
      <c r="E171" s="57">
        <v>15.0</v>
      </c>
      <c r="F171" s="57">
        <v>0.0</v>
      </c>
      <c r="G171" s="58">
        <f t="shared" si="23"/>
        <v>15</v>
      </c>
      <c r="H171" s="58"/>
      <c r="I171" s="58"/>
      <c r="J171" s="59"/>
      <c r="K171" s="58"/>
      <c r="L171" s="58"/>
      <c r="M171" s="58"/>
      <c r="N171" s="58"/>
      <c r="O171" s="58"/>
      <c r="P171" s="58"/>
      <c r="Q171" s="58"/>
      <c r="R171" s="58"/>
      <c r="S171" s="58"/>
      <c r="T171" s="58"/>
      <c r="U171" s="58"/>
      <c r="V171" s="58"/>
      <c r="W171" s="58"/>
      <c r="X171" s="58"/>
      <c r="Y171" s="58"/>
      <c r="Z171" s="58"/>
    </row>
    <row r="172">
      <c r="A172" s="31" t="s">
        <v>2514</v>
      </c>
      <c r="B172" s="31" t="s">
        <v>2799</v>
      </c>
      <c r="C172" s="34"/>
      <c r="D172" s="31">
        <v>1.25</v>
      </c>
      <c r="E172" s="31">
        <v>30.0</v>
      </c>
      <c r="F172" s="31">
        <v>0.0</v>
      </c>
      <c r="G172" s="34">
        <f>E172-D172</f>
        <v>28.75</v>
      </c>
      <c r="H172" s="31"/>
      <c r="I172" s="34"/>
      <c r="J172" s="35"/>
      <c r="K172" s="34"/>
      <c r="L172" s="34"/>
      <c r="M172" s="34"/>
      <c r="N172" s="34"/>
      <c r="O172" s="34"/>
      <c r="P172" s="34"/>
      <c r="Q172" s="34"/>
      <c r="R172" s="34"/>
      <c r="S172" s="34"/>
      <c r="T172" s="34"/>
      <c r="U172" s="34"/>
      <c r="V172" s="34"/>
      <c r="W172" s="34"/>
      <c r="X172" s="34"/>
      <c r="Y172" s="34"/>
      <c r="Z172" s="34"/>
    </row>
    <row r="173">
      <c r="A173" s="31" t="s">
        <v>2516</v>
      </c>
      <c r="B173" s="31" t="s">
        <v>2800</v>
      </c>
      <c r="C173" s="34"/>
      <c r="D173" s="31">
        <v>3.5</v>
      </c>
      <c r="E173" s="34"/>
      <c r="F173" s="34"/>
      <c r="G173" s="34"/>
      <c r="H173" s="31" t="s">
        <v>1195</v>
      </c>
      <c r="I173" s="34"/>
      <c r="J173" s="35"/>
      <c r="K173" s="34"/>
      <c r="L173" s="34"/>
      <c r="M173" s="34"/>
      <c r="N173" s="34"/>
      <c r="O173" s="34"/>
      <c r="P173" s="34"/>
      <c r="Q173" s="34"/>
      <c r="R173" s="34"/>
      <c r="S173" s="34"/>
      <c r="T173" s="34"/>
      <c r="U173" s="34"/>
      <c r="V173" s="34"/>
      <c r="W173" s="34"/>
      <c r="X173" s="34"/>
      <c r="Y173" s="34"/>
      <c r="Z173" s="34"/>
    </row>
    <row r="174">
      <c r="A174" s="31" t="s">
        <v>2516</v>
      </c>
      <c r="B174" s="31" t="s">
        <v>2801</v>
      </c>
      <c r="C174" s="34"/>
      <c r="D174" s="31">
        <v>2.0</v>
      </c>
      <c r="E174" s="34"/>
      <c r="F174" s="34"/>
      <c r="G174" s="34"/>
      <c r="H174" s="36">
        <v>45767.0</v>
      </c>
      <c r="I174" s="34"/>
      <c r="J174" s="35"/>
      <c r="K174" s="34"/>
      <c r="L174" s="34"/>
      <c r="M174" s="34"/>
      <c r="N174" s="34"/>
      <c r="O174" s="34"/>
      <c r="P174" s="34"/>
      <c r="Q174" s="34"/>
      <c r="R174" s="34"/>
      <c r="S174" s="34"/>
      <c r="T174" s="34"/>
      <c r="U174" s="34"/>
      <c r="V174" s="34"/>
      <c r="W174" s="34"/>
      <c r="X174" s="34"/>
      <c r="Y174" s="34"/>
      <c r="Z174" s="34"/>
    </row>
    <row r="175">
      <c r="A175" s="31" t="s">
        <v>2516</v>
      </c>
      <c r="B175" s="31" t="s">
        <v>2802</v>
      </c>
      <c r="C175" s="34"/>
      <c r="D175" s="31">
        <v>1.5</v>
      </c>
      <c r="E175" s="31"/>
      <c r="F175" s="31"/>
      <c r="G175" s="34"/>
      <c r="H175" s="37">
        <v>45696.0</v>
      </c>
      <c r="I175" s="34"/>
      <c r="J175" s="35"/>
      <c r="K175" s="34"/>
      <c r="L175" s="34"/>
      <c r="M175" s="34"/>
      <c r="N175" s="34"/>
      <c r="O175" s="34"/>
      <c r="P175" s="34"/>
      <c r="Q175" s="34"/>
      <c r="R175" s="34"/>
      <c r="S175" s="34"/>
      <c r="T175" s="34"/>
      <c r="U175" s="34"/>
      <c r="V175" s="34"/>
      <c r="W175" s="34"/>
      <c r="X175" s="34"/>
      <c r="Y175" s="34"/>
      <c r="Z175" s="34"/>
    </row>
    <row r="176">
      <c r="A176" s="31" t="s">
        <v>2516</v>
      </c>
      <c r="B176" s="31" t="s">
        <v>2801</v>
      </c>
      <c r="C176" s="34"/>
      <c r="D176" s="31">
        <v>2.0</v>
      </c>
      <c r="E176" s="31"/>
      <c r="F176" s="31"/>
      <c r="G176" s="34"/>
      <c r="H176" s="37">
        <v>45696.0</v>
      </c>
      <c r="I176" s="34"/>
      <c r="J176" s="35"/>
      <c r="K176" s="34"/>
      <c r="L176" s="34"/>
      <c r="M176" s="34"/>
      <c r="N176" s="34"/>
      <c r="O176" s="34"/>
      <c r="P176" s="34"/>
      <c r="Q176" s="34"/>
      <c r="R176" s="34"/>
      <c r="S176" s="34"/>
      <c r="T176" s="34"/>
      <c r="U176" s="34"/>
      <c r="V176" s="34"/>
      <c r="W176" s="34"/>
      <c r="X176" s="34"/>
      <c r="Y176" s="34"/>
      <c r="Z176" s="34"/>
    </row>
    <row r="177">
      <c r="A177" s="31" t="s">
        <v>2803</v>
      </c>
      <c r="B177" s="32" t="s">
        <v>2804</v>
      </c>
      <c r="C177" s="34"/>
      <c r="D177" s="31">
        <v>3.5</v>
      </c>
      <c r="E177" s="34"/>
      <c r="F177" s="34"/>
      <c r="G177" s="34"/>
      <c r="H177" s="36">
        <v>45767.0</v>
      </c>
      <c r="I177" s="34"/>
      <c r="J177" s="35"/>
      <c r="K177" s="34"/>
      <c r="L177" s="34"/>
      <c r="M177" s="34"/>
      <c r="N177" s="34"/>
      <c r="O177" s="34"/>
      <c r="P177" s="34"/>
      <c r="Q177" s="34"/>
      <c r="R177" s="34"/>
      <c r="S177" s="34"/>
      <c r="T177" s="34"/>
      <c r="U177" s="34"/>
      <c r="V177" s="34"/>
      <c r="W177" s="34"/>
      <c r="X177" s="34"/>
      <c r="Y177" s="34"/>
      <c r="Z177" s="34"/>
    </row>
    <row r="178">
      <c r="A178" s="31" t="s">
        <v>2049</v>
      </c>
      <c r="B178" s="31" t="s">
        <v>2805</v>
      </c>
      <c r="C178" s="34"/>
      <c r="D178" s="31">
        <f>2.49+3.49+4.49</f>
        <v>10.47</v>
      </c>
      <c r="E178" s="31">
        <v>20.0</v>
      </c>
      <c r="F178" s="31">
        <v>0.0</v>
      </c>
      <c r="G178" s="34">
        <f>E178-D178</f>
        <v>9.53</v>
      </c>
      <c r="H178" s="31"/>
      <c r="I178" s="34"/>
      <c r="J178" s="35"/>
      <c r="K178" s="34"/>
      <c r="L178" s="34"/>
      <c r="M178" s="34"/>
      <c r="N178" s="34"/>
      <c r="O178" s="34"/>
      <c r="P178" s="34"/>
      <c r="Q178" s="34"/>
      <c r="R178" s="34"/>
      <c r="S178" s="34"/>
      <c r="T178" s="34"/>
      <c r="U178" s="34"/>
      <c r="V178" s="34"/>
      <c r="W178" s="34"/>
      <c r="X178" s="34"/>
      <c r="Y178" s="34"/>
      <c r="Z178" s="34"/>
    </row>
    <row r="179">
      <c r="A179" s="31" t="s">
        <v>2806</v>
      </c>
      <c r="B179" s="31" t="s">
        <v>2807</v>
      </c>
      <c r="C179" s="34"/>
      <c r="D179" s="31">
        <v>2.0</v>
      </c>
      <c r="E179" s="34"/>
      <c r="F179" s="34"/>
      <c r="G179" s="34"/>
      <c r="H179" s="36">
        <v>45767.0</v>
      </c>
      <c r="I179" s="34"/>
      <c r="J179" s="35"/>
      <c r="K179" s="34"/>
      <c r="L179" s="34"/>
      <c r="M179" s="34"/>
      <c r="N179" s="34"/>
      <c r="O179" s="34"/>
      <c r="P179" s="34"/>
      <c r="Q179" s="34"/>
      <c r="R179" s="34"/>
      <c r="S179" s="34"/>
      <c r="T179" s="34"/>
      <c r="U179" s="34"/>
      <c r="V179" s="34"/>
      <c r="W179" s="34"/>
      <c r="X179" s="34"/>
      <c r="Y179" s="34"/>
      <c r="Z179" s="34"/>
    </row>
    <row r="180">
      <c r="A180" s="31" t="s">
        <v>2808</v>
      </c>
      <c r="B180" s="31" t="s">
        <v>2809</v>
      </c>
      <c r="C180" s="34"/>
      <c r="D180" s="31">
        <v>2.5</v>
      </c>
      <c r="E180" s="34"/>
      <c r="F180" s="34"/>
      <c r="G180" s="34"/>
      <c r="H180" s="31" t="s">
        <v>1195</v>
      </c>
      <c r="I180" s="69" t="s">
        <v>2810</v>
      </c>
      <c r="J180" s="35"/>
      <c r="K180" s="34"/>
      <c r="L180" s="34"/>
      <c r="M180" s="34"/>
      <c r="N180" s="34"/>
      <c r="O180" s="34"/>
      <c r="P180" s="34"/>
      <c r="Q180" s="34"/>
      <c r="R180" s="34"/>
      <c r="S180" s="34"/>
      <c r="T180" s="34"/>
      <c r="U180" s="34"/>
      <c r="V180" s="34"/>
      <c r="W180" s="34"/>
      <c r="X180" s="34"/>
      <c r="Y180" s="34"/>
      <c r="Z180" s="34"/>
    </row>
    <row r="181">
      <c r="J181" s="6"/>
    </row>
    <row r="182">
      <c r="J182" s="6"/>
    </row>
    <row r="183">
      <c r="J183" s="6"/>
    </row>
    <row r="184">
      <c r="J184" s="6"/>
    </row>
    <row r="185">
      <c r="J185" s="6"/>
    </row>
    <row r="186">
      <c r="J186" s="6"/>
    </row>
    <row r="187">
      <c r="J187" s="6"/>
    </row>
    <row r="188">
      <c r="J188" s="6"/>
    </row>
    <row r="189">
      <c r="J189" s="6"/>
    </row>
    <row r="190">
      <c r="J190" s="6"/>
    </row>
    <row r="191">
      <c r="J191" s="6"/>
    </row>
    <row r="192">
      <c r="J192" s="6"/>
    </row>
    <row r="193">
      <c r="J193" s="6"/>
    </row>
    <row r="194">
      <c r="J194" s="6"/>
    </row>
    <row r="195">
      <c r="J195" s="6"/>
    </row>
    <row r="196">
      <c r="J196" s="6"/>
    </row>
    <row r="197">
      <c r="J197" s="6"/>
    </row>
    <row r="198">
      <c r="J198" s="6"/>
    </row>
    <row r="199">
      <c r="J199" s="6"/>
    </row>
    <row r="200">
      <c r="J200" s="6"/>
    </row>
    <row r="201">
      <c r="J201" s="6"/>
    </row>
    <row r="202">
      <c r="J202" s="6"/>
    </row>
    <row r="203">
      <c r="J203" s="6"/>
    </row>
    <row r="204">
      <c r="J204" s="6"/>
    </row>
    <row r="205">
      <c r="J205" s="6"/>
    </row>
    <row r="206">
      <c r="J206" s="6"/>
    </row>
    <row r="207">
      <c r="J207" s="6"/>
    </row>
    <row r="208">
      <c r="J208" s="6"/>
    </row>
    <row r="209">
      <c r="J209" s="6"/>
    </row>
    <row r="210">
      <c r="J210" s="6"/>
    </row>
    <row r="211">
      <c r="J211" s="6"/>
    </row>
    <row r="212">
      <c r="J212" s="6"/>
    </row>
    <row r="213">
      <c r="J213" s="6"/>
    </row>
    <row r="214">
      <c r="J214" s="6"/>
    </row>
    <row r="215">
      <c r="J215" s="6"/>
    </row>
    <row r="216">
      <c r="J216" s="6"/>
    </row>
    <row r="217">
      <c r="J217" s="6"/>
    </row>
    <row r="218">
      <c r="J218" s="6"/>
    </row>
    <row r="219">
      <c r="J219" s="6"/>
    </row>
    <row r="220">
      <c r="J220" s="6"/>
    </row>
    <row r="221">
      <c r="J221" s="6"/>
    </row>
    <row r="222">
      <c r="J222" s="6"/>
    </row>
    <row r="223">
      <c r="J223" s="6"/>
    </row>
    <row r="224">
      <c r="J224" s="6"/>
    </row>
    <row r="225">
      <c r="J225" s="6"/>
    </row>
    <row r="226">
      <c r="J226" s="6"/>
    </row>
    <row r="227">
      <c r="J227" s="6"/>
    </row>
    <row r="228">
      <c r="J228" s="6"/>
    </row>
    <row r="229">
      <c r="J229" s="6"/>
    </row>
    <row r="230">
      <c r="J230" s="6"/>
    </row>
    <row r="231">
      <c r="J231" s="6"/>
    </row>
    <row r="232">
      <c r="J232" s="6"/>
    </row>
    <row r="233">
      <c r="J233" s="6"/>
    </row>
    <row r="234">
      <c r="J234" s="6"/>
    </row>
    <row r="235">
      <c r="J235" s="6"/>
    </row>
    <row r="236">
      <c r="J236" s="6"/>
    </row>
    <row r="237">
      <c r="J237" s="6"/>
    </row>
    <row r="238">
      <c r="J238" s="6"/>
    </row>
    <row r="239">
      <c r="J239" s="6"/>
    </row>
    <row r="240">
      <c r="J240" s="6"/>
    </row>
    <row r="241">
      <c r="J241" s="6"/>
    </row>
    <row r="242">
      <c r="J242" s="6"/>
    </row>
    <row r="243">
      <c r="J243" s="6"/>
    </row>
    <row r="244">
      <c r="J244" s="6"/>
    </row>
    <row r="245">
      <c r="J245" s="6"/>
    </row>
    <row r="246">
      <c r="J246" s="6"/>
    </row>
    <row r="247">
      <c r="J247" s="6"/>
    </row>
    <row r="248">
      <c r="J248" s="6"/>
    </row>
    <row r="249">
      <c r="J249" s="6"/>
    </row>
    <row r="250">
      <c r="J250" s="6"/>
    </row>
    <row r="251">
      <c r="J251" s="6"/>
    </row>
    <row r="252">
      <c r="J252" s="6"/>
    </row>
    <row r="253">
      <c r="J253" s="6"/>
    </row>
    <row r="254">
      <c r="J254" s="6"/>
    </row>
    <row r="255">
      <c r="J255" s="6"/>
    </row>
    <row r="256">
      <c r="J256" s="6"/>
    </row>
    <row r="257">
      <c r="J257" s="6"/>
    </row>
    <row r="258">
      <c r="J258" s="6"/>
    </row>
    <row r="259">
      <c r="J259" s="6"/>
    </row>
    <row r="260">
      <c r="J260" s="6"/>
    </row>
    <row r="261">
      <c r="J261" s="6"/>
    </row>
    <row r="262">
      <c r="J262" s="6"/>
    </row>
    <row r="263">
      <c r="J263" s="6"/>
    </row>
    <row r="264">
      <c r="J264" s="6"/>
    </row>
    <row r="265">
      <c r="J265" s="6"/>
    </row>
    <row r="266">
      <c r="J266" s="6"/>
    </row>
    <row r="267">
      <c r="J267" s="6"/>
    </row>
    <row r="268">
      <c r="J268" s="6"/>
    </row>
    <row r="269">
      <c r="J269" s="6"/>
    </row>
    <row r="270">
      <c r="J270" s="6"/>
    </row>
    <row r="271">
      <c r="J271" s="6"/>
    </row>
    <row r="272">
      <c r="J272" s="6"/>
    </row>
    <row r="273">
      <c r="J273" s="6"/>
    </row>
    <row r="274">
      <c r="J274" s="6"/>
    </row>
    <row r="275">
      <c r="J275" s="6"/>
    </row>
    <row r="276">
      <c r="J276" s="6"/>
    </row>
    <row r="277">
      <c r="J277" s="6"/>
    </row>
    <row r="278">
      <c r="J278" s="6"/>
    </row>
    <row r="279">
      <c r="J279" s="6"/>
    </row>
    <row r="280">
      <c r="J280" s="6"/>
    </row>
    <row r="281">
      <c r="J281" s="6"/>
    </row>
    <row r="282">
      <c r="J282" s="6"/>
    </row>
    <row r="283">
      <c r="J283" s="6"/>
    </row>
    <row r="284">
      <c r="J284" s="6"/>
    </row>
    <row r="285">
      <c r="J285" s="6"/>
    </row>
    <row r="286">
      <c r="J286" s="6"/>
    </row>
    <row r="287">
      <c r="J287" s="6"/>
    </row>
    <row r="288">
      <c r="J288" s="6"/>
    </row>
    <row r="289">
      <c r="J289" s="6"/>
    </row>
    <row r="290">
      <c r="J290" s="6"/>
    </row>
    <row r="291">
      <c r="J291" s="6"/>
    </row>
    <row r="292">
      <c r="J292" s="6"/>
    </row>
    <row r="293">
      <c r="J293" s="6"/>
    </row>
    <row r="294">
      <c r="J294" s="6"/>
    </row>
    <row r="295">
      <c r="J295" s="6"/>
    </row>
    <row r="296">
      <c r="J296" s="6"/>
    </row>
    <row r="297">
      <c r="J297" s="6"/>
    </row>
    <row r="298">
      <c r="J298" s="6"/>
    </row>
    <row r="299">
      <c r="J299" s="6"/>
    </row>
    <row r="300">
      <c r="J300" s="6"/>
    </row>
    <row r="301">
      <c r="J301" s="6"/>
    </row>
    <row r="302">
      <c r="J302" s="6"/>
    </row>
    <row r="303">
      <c r="J303" s="6"/>
    </row>
    <row r="304">
      <c r="J304" s="6"/>
    </row>
    <row r="305">
      <c r="J305" s="6"/>
    </row>
    <row r="306">
      <c r="J306" s="6"/>
    </row>
    <row r="307">
      <c r="J307" s="6"/>
    </row>
    <row r="308">
      <c r="J308" s="6"/>
    </row>
    <row r="309">
      <c r="J309" s="6"/>
    </row>
    <row r="310">
      <c r="J310" s="6"/>
    </row>
    <row r="311">
      <c r="J311" s="6"/>
    </row>
    <row r="312">
      <c r="J312" s="6"/>
    </row>
    <row r="313">
      <c r="J313" s="6"/>
    </row>
    <row r="314">
      <c r="J314" s="6"/>
    </row>
    <row r="315">
      <c r="J315" s="6"/>
    </row>
    <row r="316">
      <c r="J316" s="6"/>
    </row>
    <row r="317">
      <c r="J317" s="6"/>
    </row>
    <row r="318">
      <c r="J318" s="6"/>
    </row>
    <row r="319">
      <c r="J319" s="6"/>
    </row>
    <row r="320">
      <c r="J320" s="6"/>
    </row>
    <row r="321">
      <c r="J321" s="6"/>
    </row>
    <row r="322">
      <c r="J322" s="6"/>
    </row>
    <row r="323">
      <c r="J323" s="6"/>
    </row>
    <row r="324">
      <c r="J324" s="6"/>
    </row>
    <row r="325">
      <c r="J325" s="6"/>
    </row>
    <row r="326">
      <c r="J326" s="6"/>
    </row>
    <row r="327">
      <c r="J327" s="6"/>
    </row>
    <row r="328">
      <c r="J328" s="6"/>
    </row>
    <row r="329">
      <c r="J329" s="6"/>
    </row>
    <row r="330">
      <c r="J330" s="6"/>
    </row>
    <row r="331">
      <c r="J331" s="6"/>
    </row>
    <row r="332">
      <c r="J332" s="6"/>
    </row>
    <row r="333">
      <c r="J333" s="6"/>
    </row>
    <row r="334">
      <c r="J334" s="6"/>
    </row>
    <row r="335">
      <c r="J335" s="6"/>
    </row>
    <row r="336">
      <c r="J336" s="6"/>
    </row>
    <row r="337">
      <c r="J337" s="6"/>
    </row>
    <row r="338">
      <c r="J338" s="6"/>
    </row>
    <row r="339">
      <c r="J339" s="6"/>
    </row>
    <row r="340">
      <c r="J340" s="6"/>
    </row>
    <row r="341">
      <c r="J341" s="6"/>
    </row>
    <row r="342">
      <c r="J342" s="6"/>
    </row>
    <row r="343">
      <c r="J343" s="6"/>
    </row>
    <row r="344">
      <c r="J344" s="6"/>
    </row>
    <row r="345">
      <c r="J345" s="6"/>
    </row>
    <row r="346">
      <c r="J346" s="6"/>
    </row>
    <row r="347">
      <c r="J347" s="6"/>
    </row>
    <row r="348">
      <c r="J348" s="6"/>
    </row>
    <row r="349">
      <c r="J349" s="6"/>
    </row>
    <row r="350">
      <c r="J350" s="6"/>
    </row>
    <row r="351">
      <c r="J351" s="6"/>
    </row>
    <row r="352">
      <c r="J352" s="6"/>
    </row>
    <row r="353">
      <c r="J353" s="6"/>
    </row>
    <row r="354">
      <c r="J354" s="6"/>
    </row>
    <row r="355">
      <c r="J355" s="6"/>
    </row>
    <row r="356">
      <c r="J356" s="6"/>
    </row>
    <row r="357">
      <c r="J357" s="6"/>
    </row>
    <row r="358">
      <c r="J358" s="6"/>
    </row>
    <row r="359">
      <c r="J359" s="6"/>
    </row>
    <row r="360">
      <c r="J360" s="6"/>
    </row>
    <row r="361">
      <c r="J361" s="6"/>
    </row>
    <row r="362">
      <c r="J362" s="6"/>
    </row>
    <row r="363">
      <c r="J363" s="6"/>
    </row>
    <row r="364">
      <c r="J364" s="6"/>
    </row>
    <row r="365">
      <c r="J365" s="6"/>
    </row>
    <row r="366">
      <c r="J366" s="6"/>
    </row>
    <row r="367">
      <c r="J367" s="6"/>
    </row>
    <row r="368">
      <c r="J368" s="6"/>
    </row>
    <row r="369">
      <c r="J369" s="6"/>
    </row>
    <row r="370">
      <c r="J370" s="6"/>
    </row>
    <row r="371">
      <c r="J371" s="6"/>
    </row>
    <row r="372">
      <c r="J372" s="6"/>
    </row>
    <row r="373">
      <c r="J373" s="6"/>
    </row>
    <row r="374">
      <c r="J374" s="6"/>
    </row>
    <row r="375">
      <c r="J375" s="6"/>
    </row>
    <row r="376">
      <c r="J376" s="6"/>
    </row>
    <row r="377">
      <c r="J377" s="6"/>
    </row>
    <row r="378">
      <c r="J378" s="6"/>
    </row>
    <row r="379">
      <c r="J379" s="6"/>
    </row>
    <row r="380">
      <c r="J380" s="6"/>
    </row>
    <row r="381">
      <c r="J381" s="6"/>
    </row>
    <row r="382">
      <c r="J382" s="6"/>
    </row>
    <row r="383">
      <c r="J383" s="6"/>
    </row>
    <row r="384">
      <c r="J384" s="6"/>
    </row>
    <row r="385">
      <c r="J385" s="6"/>
    </row>
    <row r="386">
      <c r="J386" s="6"/>
    </row>
    <row r="387">
      <c r="J387" s="6"/>
    </row>
    <row r="388">
      <c r="J388" s="6"/>
    </row>
    <row r="389">
      <c r="J389" s="6"/>
    </row>
    <row r="390">
      <c r="J390" s="6"/>
    </row>
    <row r="391">
      <c r="J391" s="6"/>
    </row>
    <row r="392">
      <c r="J392" s="6"/>
    </row>
    <row r="393">
      <c r="J393" s="6"/>
    </row>
    <row r="394">
      <c r="J394" s="6"/>
    </row>
    <row r="395">
      <c r="J395" s="6"/>
    </row>
    <row r="396">
      <c r="J396" s="6"/>
    </row>
    <row r="397">
      <c r="J397" s="6"/>
    </row>
    <row r="398">
      <c r="J398" s="6"/>
    </row>
    <row r="399">
      <c r="J399" s="6"/>
    </row>
    <row r="400">
      <c r="J400" s="6"/>
    </row>
    <row r="401">
      <c r="J401" s="6"/>
    </row>
    <row r="402">
      <c r="J402" s="6"/>
    </row>
    <row r="403">
      <c r="J403" s="6"/>
    </row>
    <row r="404">
      <c r="J404" s="6"/>
    </row>
    <row r="405">
      <c r="J405" s="6"/>
    </row>
    <row r="406">
      <c r="J406" s="6"/>
    </row>
    <row r="407">
      <c r="J407" s="6"/>
    </row>
    <row r="408">
      <c r="J408" s="6"/>
    </row>
    <row r="409">
      <c r="J409" s="6"/>
    </row>
    <row r="410">
      <c r="J410" s="6"/>
    </row>
    <row r="411">
      <c r="J411" s="6"/>
    </row>
    <row r="412">
      <c r="J412" s="6"/>
    </row>
    <row r="413">
      <c r="J413" s="6"/>
    </row>
    <row r="414">
      <c r="J414" s="6"/>
    </row>
    <row r="415">
      <c r="J415" s="6"/>
    </row>
    <row r="416">
      <c r="J416" s="6"/>
    </row>
    <row r="417">
      <c r="J417" s="6"/>
    </row>
    <row r="418">
      <c r="J418" s="6"/>
    </row>
    <row r="419">
      <c r="J419" s="6"/>
    </row>
    <row r="420">
      <c r="J420" s="6"/>
    </row>
    <row r="421">
      <c r="J421" s="6"/>
    </row>
    <row r="422">
      <c r="J422" s="6"/>
    </row>
    <row r="423">
      <c r="J423" s="6"/>
    </row>
    <row r="424">
      <c r="J424" s="6"/>
    </row>
    <row r="425">
      <c r="J425" s="6"/>
    </row>
    <row r="426">
      <c r="J426" s="6"/>
    </row>
    <row r="427">
      <c r="J427" s="6"/>
    </row>
    <row r="428">
      <c r="J428" s="6"/>
    </row>
    <row r="429">
      <c r="J429" s="6"/>
    </row>
    <row r="430">
      <c r="J430" s="6"/>
    </row>
    <row r="431">
      <c r="J431" s="6"/>
    </row>
    <row r="432">
      <c r="J432" s="6"/>
    </row>
    <row r="433">
      <c r="J433" s="6"/>
    </row>
    <row r="434">
      <c r="J434" s="6"/>
    </row>
    <row r="435">
      <c r="J435" s="6"/>
    </row>
    <row r="436">
      <c r="J436" s="6"/>
    </row>
    <row r="437">
      <c r="J437" s="6"/>
    </row>
    <row r="438">
      <c r="J438" s="6"/>
    </row>
    <row r="439">
      <c r="J439" s="6"/>
    </row>
    <row r="440">
      <c r="J440" s="6"/>
    </row>
    <row r="441">
      <c r="J441" s="6"/>
    </row>
    <row r="442">
      <c r="J442" s="6"/>
    </row>
    <row r="443">
      <c r="J443" s="6"/>
    </row>
    <row r="444">
      <c r="J444" s="6"/>
    </row>
    <row r="445">
      <c r="J445" s="6"/>
    </row>
    <row r="446">
      <c r="J446" s="6"/>
    </row>
    <row r="447">
      <c r="J447" s="6"/>
    </row>
    <row r="448">
      <c r="J448" s="6"/>
    </row>
    <row r="449">
      <c r="J449" s="6"/>
    </row>
    <row r="450">
      <c r="J450" s="6"/>
    </row>
    <row r="451">
      <c r="J451" s="6"/>
    </row>
    <row r="452">
      <c r="J452" s="6"/>
    </row>
    <row r="453">
      <c r="J453" s="6"/>
    </row>
    <row r="454">
      <c r="J454" s="6"/>
    </row>
    <row r="455">
      <c r="J455" s="6"/>
    </row>
    <row r="456">
      <c r="J456" s="6"/>
    </row>
    <row r="457">
      <c r="J457" s="6"/>
    </row>
    <row r="458">
      <c r="J458" s="6"/>
    </row>
    <row r="459">
      <c r="J459" s="6"/>
    </row>
    <row r="460">
      <c r="J460" s="6"/>
    </row>
    <row r="461">
      <c r="J461" s="6"/>
    </row>
    <row r="462">
      <c r="J462" s="6"/>
    </row>
    <row r="463">
      <c r="J463" s="6"/>
    </row>
    <row r="464">
      <c r="J464" s="6"/>
    </row>
    <row r="465">
      <c r="J465" s="6"/>
    </row>
    <row r="466">
      <c r="J466" s="6"/>
    </row>
    <row r="467">
      <c r="J467" s="6"/>
    </row>
    <row r="468">
      <c r="J468" s="6"/>
    </row>
    <row r="469">
      <c r="J469" s="6"/>
    </row>
    <row r="470">
      <c r="J470" s="6"/>
    </row>
    <row r="471">
      <c r="J471" s="6"/>
    </row>
    <row r="472">
      <c r="J472" s="6"/>
    </row>
    <row r="473">
      <c r="J473" s="6"/>
    </row>
    <row r="474">
      <c r="J474" s="6"/>
    </row>
    <row r="475">
      <c r="J475" s="6"/>
    </row>
    <row r="476">
      <c r="J476" s="6"/>
    </row>
    <row r="477">
      <c r="J477" s="6"/>
    </row>
    <row r="478">
      <c r="J478" s="6"/>
    </row>
    <row r="479">
      <c r="J479" s="6"/>
    </row>
    <row r="480">
      <c r="J480" s="6"/>
    </row>
    <row r="481">
      <c r="J481" s="6"/>
    </row>
    <row r="482">
      <c r="J482" s="6"/>
    </row>
    <row r="483">
      <c r="J483" s="6"/>
    </row>
    <row r="484">
      <c r="J484" s="6"/>
    </row>
    <row r="485">
      <c r="J485" s="6"/>
    </row>
    <row r="486">
      <c r="J486" s="6"/>
    </row>
    <row r="487">
      <c r="J487" s="6"/>
    </row>
    <row r="488">
      <c r="J488" s="6"/>
    </row>
    <row r="489">
      <c r="J489" s="6"/>
    </row>
    <row r="490">
      <c r="J490" s="6"/>
    </row>
    <row r="491">
      <c r="J491" s="6"/>
    </row>
    <row r="492">
      <c r="J492" s="6"/>
    </row>
    <row r="493">
      <c r="J493" s="6"/>
    </row>
    <row r="494">
      <c r="J494" s="6"/>
    </row>
    <row r="495">
      <c r="J495" s="6"/>
    </row>
    <row r="496">
      <c r="J496" s="6"/>
    </row>
    <row r="497">
      <c r="J497" s="6"/>
    </row>
    <row r="498">
      <c r="J498" s="6"/>
    </row>
    <row r="499">
      <c r="J499" s="6"/>
    </row>
    <row r="500">
      <c r="J500" s="6"/>
    </row>
    <row r="501">
      <c r="J501" s="6"/>
    </row>
    <row r="502">
      <c r="J502" s="6"/>
    </row>
    <row r="503">
      <c r="J503" s="6"/>
    </row>
    <row r="504">
      <c r="J504" s="6"/>
    </row>
    <row r="505">
      <c r="J505" s="6"/>
    </row>
    <row r="506">
      <c r="J506" s="6"/>
    </row>
    <row r="507">
      <c r="J507" s="6"/>
    </row>
    <row r="508">
      <c r="J508" s="6"/>
    </row>
    <row r="509">
      <c r="J509" s="6"/>
    </row>
    <row r="510">
      <c r="J510" s="6"/>
    </row>
    <row r="511">
      <c r="J511" s="6"/>
    </row>
    <row r="512">
      <c r="J512" s="6"/>
    </row>
    <row r="513">
      <c r="J513" s="6"/>
    </row>
    <row r="514">
      <c r="J514" s="6"/>
    </row>
    <row r="515">
      <c r="J515" s="6"/>
    </row>
    <row r="516">
      <c r="J516" s="6"/>
    </row>
    <row r="517">
      <c r="J517" s="6"/>
    </row>
    <row r="518">
      <c r="J518" s="6"/>
    </row>
    <row r="519">
      <c r="J519" s="6"/>
    </row>
    <row r="520">
      <c r="J520" s="6"/>
    </row>
    <row r="521">
      <c r="J521" s="6"/>
    </row>
    <row r="522">
      <c r="J522" s="6"/>
    </row>
    <row r="523">
      <c r="J523" s="6"/>
    </row>
    <row r="524">
      <c r="J524" s="6"/>
    </row>
    <row r="525">
      <c r="J525" s="6"/>
    </row>
    <row r="526">
      <c r="J526" s="6"/>
    </row>
    <row r="527">
      <c r="J527" s="6"/>
    </row>
    <row r="528">
      <c r="J528" s="6"/>
    </row>
    <row r="529">
      <c r="J529" s="6"/>
    </row>
    <row r="530">
      <c r="J530" s="6"/>
    </row>
    <row r="531">
      <c r="J531" s="6"/>
    </row>
    <row r="532">
      <c r="J532" s="6"/>
    </row>
    <row r="533">
      <c r="J533" s="6"/>
    </row>
    <row r="534">
      <c r="J534" s="6"/>
    </row>
    <row r="535">
      <c r="J535" s="6"/>
    </row>
    <row r="536">
      <c r="J536" s="6"/>
    </row>
    <row r="537">
      <c r="J537" s="6"/>
    </row>
    <row r="538">
      <c r="J538" s="6"/>
    </row>
    <row r="539">
      <c r="J539" s="6"/>
    </row>
    <row r="540">
      <c r="J540" s="6"/>
    </row>
    <row r="541">
      <c r="J541" s="6"/>
    </row>
    <row r="542">
      <c r="J542" s="6"/>
    </row>
    <row r="543">
      <c r="J543" s="6"/>
    </row>
    <row r="544">
      <c r="J544" s="6"/>
    </row>
    <row r="545">
      <c r="J545" s="6"/>
    </row>
    <row r="546">
      <c r="J546" s="6"/>
    </row>
    <row r="547">
      <c r="J547" s="6"/>
    </row>
    <row r="548">
      <c r="J548" s="6"/>
    </row>
    <row r="549">
      <c r="J549" s="6"/>
    </row>
    <row r="550">
      <c r="J550" s="6"/>
    </row>
    <row r="551">
      <c r="J551" s="6"/>
    </row>
    <row r="552">
      <c r="J552" s="6"/>
    </row>
    <row r="553">
      <c r="J553" s="6"/>
    </row>
    <row r="554">
      <c r="J554" s="6"/>
    </row>
    <row r="555">
      <c r="J555" s="6"/>
    </row>
    <row r="556">
      <c r="J556" s="6"/>
    </row>
    <row r="557">
      <c r="J557" s="6"/>
    </row>
    <row r="558">
      <c r="J558" s="6"/>
    </row>
    <row r="559">
      <c r="J559" s="6"/>
    </row>
    <row r="560">
      <c r="J560" s="6"/>
    </row>
    <row r="561">
      <c r="J561" s="6"/>
    </row>
    <row r="562">
      <c r="J562" s="6"/>
    </row>
    <row r="563">
      <c r="J563" s="6"/>
    </row>
    <row r="564">
      <c r="J564" s="6"/>
    </row>
    <row r="565">
      <c r="J565" s="6"/>
    </row>
    <row r="566">
      <c r="J566" s="6"/>
    </row>
    <row r="567">
      <c r="J567" s="6"/>
    </row>
    <row r="568">
      <c r="J568" s="6"/>
    </row>
    <row r="569">
      <c r="J569" s="6"/>
    </row>
    <row r="570">
      <c r="J570" s="6"/>
    </row>
    <row r="571">
      <c r="J571" s="6"/>
    </row>
    <row r="572">
      <c r="J572" s="6"/>
    </row>
    <row r="573">
      <c r="J573" s="6"/>
    </row>
    <row r="574">
      <c r="J574" s="6"/>
    </row>
    <row r="575">
      <c r="J575" s="6"/>
    </row>
    <row r="576">
      <c r="J576" s="6"/>
    </row>
    <row r="577">
      <c r="J577" s="6"/>
    </row>
    <row r="578">
      <c r="J578" s="6"/>
    </row>
    <row r="579">
      <c r="J579" s="6"/>
    </row>
    <row r="580">
      <c r="J580" s="6"/>
    </row>
    <row r="581">
      <c r="J581" s="6"/>
    </row>
    <row r="582">
      <c r="J582" s="6"/>
    </row>
    <row r="583">
      <c r="J583" s="6"/>
    </row>
    <row r="584">
      <c r="J584" s="6"/>
    </row>
    <row r="585">
      <c r="J585" s="6"/>
    </row>
    <row r="586">
      <c r="J586" s="6"/>
    </row>
    <row r="587">
      <c r="J587" s="6"/>
    </row>
    <row r="588">
      <c r="J588" s="6"/>
    </row>
    <row r="589">
      <c r="J589" s="6"/>
    </row>
    <row r="590">
      <c r="J590" s="6"/>
    </row>
    <row r="591">
      <c r="J591" s="6"/>
    </row>
    <row r="592">
      <c r="J592" s="6"/>
    </row>
    <row r="593">
      <c r="J593" s="6"/>
    </row>
    <row r="594">
      <c r="J594" s="6"/>
    </row>
    <row r="595">
      <c r="J595" s="6"/>
    </row>
    <row r="596">
      <c r="J596" s="6"/>
    </row>
    <row r="597">
      <c r="J597" s="6"/>
    </row>
    <row r="598">
      <c r="J598" s="6"/>
    </row>
    <row r="599">
      <c r="J599" s="6"/>
    </row>
    <row r="600">
      <c r="J600" s="6"/>
    </row>
    <row r="601">
      <c r="J601" s="6"/>
    </row>
    <row r="602">
      <c r="J602" s="6"/>
    </row>
    <row r="603">
      <c r="J603" s="6"/>
    </row>
    <row r="604">
      <c r="J604" s="6"/>
    </row>
    <row r="605">
      <c r="J605" s="6"/>
    </row>
    <row r="606">
      <c r="J606" s="6"/>
    </row>
    <row r="607">
      <c r="J607" s="6"/>
    </row>
    <row r="608">
      <c r="J608" s="6"/>
    </row>
    <row r="609">
      <c r="J609" s="6"/>
    </row>
    <row r="610">
      <c r="J610" s="6"/>
    </row>
    <row r="611">
      <c r="J611" s="6"/>
    </row>
    <row r="612">
      <c r="J612" s="6"/>
    </row>
    <row r="613">
      <c r="J613" s="6"/>
    </row>
    <row r="614">
      <c r="J614" s="6"/>
    </row>
    <row r="615">
      <c r="J615" s="6"/>
    </row>
    <row r="616">
      <c r="J616" s="6"/>
    </row>
    <row r="617">
      <c r="J617" s="6"/>
    </row>
    <row r="618">
      <c r="J618" s="6"/>
    </row>
    <row r="619">
      <c r="J619" s="6"/>
    </row>
    <row r="620">
      <c r="J620" s="6"/>
    </row>
    <row r="621">
      <c r="J621" s="6"/>
    </row>
    <row r="622">
      <c r="J622" s="6"/>
    </row>
    <row r="623">
      <c r="J623" s="6"/>
    </row>
    <row r="624">
      <c r="J624" s="6"/>
    </row>
    <row r="625">
      <c r="J625" s="6"/>
    </row>
    <row r="626">
      <c r="J626" s="6"/>
    </row>
    <row r="627">
      <c r="J627" s="6"/>
    </row>
    <row r="628">
      <c r="J628" s="6"/>
    </row>
    <row r="629">
      <c r="J629" s="6"/>
    </row>
    <row r="630">
      <c r="J630" s="6"/>
    </row>
    <row r="631">
      <c r="J631" s="6"/>
    </row>
    <row r="632">
      <c r="J632" s="6"/>
    </row>
    <row r="633">
      <c r="J633" s="6"/>
    </row>
    <row r="634">
      <c r="J634" s="6"/>
    </row>
    <row r="635">
      <c r="J635" s="6"/>
    </row>
    <row r="636">
      <c r="J636" s="6"/>
    </row>
    <row r="637">
      <c r="J637" s="6"/>
    </row>
    <row r="638">
      <c r="J638" s="6"/>
    </row>
    <row r="639">
      <c r="J639" s="6"/>
    </row>
    <row r="640">
      <c r="J640" s="6"/>
    </row>
    <row r="641">
      <c r="J641" s="6"/>
    </row>
    <row r="642">
      <c r="J642" s="6"/>
    </row>
    <row r="643">
      <c r="J643" s="6"/>
    </row>
    <row r="644">
      <c r="J644" s="6"/>
    </row>
    <row r="645">
      <c r="J645" s="6"/>
    </row>
    <row r="646">
      <c r="J646" s="6"/>
    </row>
    <row r="647">
      <c r="J647" s="6"/>
    </row>
    <row r="648">
      <c r="J648" s="6"/>
    </row>
    <row r="649">
      <c r="J649" s="6"/>
    </row>
    <row r="650">
      <c r="J650" s="6"/>
    </row>
    <row r="651">
      <c r="J651" s="6"/>
    </row>
    <row r="652">
      <c r="J652" s="6"/>
    </row>
    <row r="653">
      <c r="J653" s="6"/>
    </row>
    <row r="654">
      <c r="J654" s="6"/>
    </row>
    <row r="655">
      <c r="J655" s="6"/>
    </row>
    <row r="656">
      <c r="J656" s="6"/>
    </row>
    <row r="657">
      <c r="J657" s="6"/>
    </row>
    <row r="658">
      <c r="J658" s="6"/>
    </row>
    <row r="659">
      <c r="J659" s="6"/>
    </row>
    <row r="660">
      <c r="J660" s="6"/>
    </row>
    <row r="661">
      <c r="J661" s="6"/>
    </row>
    <row r="662">
      <c r="J662" s="6"/>
    </row>
    <row r="663">
      <c r="J663" s="6"/>
    </row>
    <row r="664">
      <c r="J664" s="6"/>
    </row>
    <row r="665">
      <c r="J665" s="6"/>
    </row>
    <row r="666">
      <c r="J666" s="6"/>
    </row>
    <row r="667">
      <c r="J667" s="6"/>
    </row>
    <row r="668">
      <c r="J668" s="6"/>
    </row>
    <row r="669">
      <c r="J669" s="6"/>
    </row>
    <row r="670">
      <c r="J670" s="6"/>
    </row>
    <row r="671">
      <c r="J671" s="6"/>
    </row>
    <row r="672">
      <c r="J672" s="6"/>
    </row>
    <row r="673">
      <c r="J673" s="6"/>
    </row>
    <row r="674">
      <c r="J674" s="6"/>
    </row>
    <row r="675">
      <c r="J675" s="6"/>
    </row>
    <row r="676">
      <c r="J676" s="6"/>
    </row>
    <row r="677">
      <c r="J677" s="6"/>
    </row>
    <row r="678">
      <c r="J678" s="6"/>
    </row>
    <row r="679">
      <c r="J679" s="6"/>
    </row>
    <row r="680">
      <c r="J680" s="6"/>
    </row>
    <row r="681">
      <c r="J681" s="6"/>
    </row>
    <row r="682">
      <c r="J682" s="6"/>
    </row>
    <row r="683">
      <c r="J683" s="6"/>
    </row>
    <row r="684">
      <c r="J684" s="6"/>
    </row>
    <row r="685">
      <c r="J685" s="6"/>
    </row>
    <row r="686">
      <c r="J686" s="6"/>
    </row>
    <row r="687">
      <c r="J687" s="6"/>
    </row>
    <row r="688">
      <c r="J688" s="6"/>
    </row>
    <row r="689">
      <c r="J689" s="6"/>
    </row>
    <row r="690">
      <c r="J690" s="6"/>
    </row>
    <row r="691">
      <c r="J691" s="6"/>
    </row>
    <row r="692">
      <c r="J692" s="6"/>
    </row>
    <row r="693">
      <c r="J693" s="6"/>
    </row>
    <row r="694">
      <c r="J694" s="6"/>
    </row>
    <row r="695">
      <c r="J695" s="6"/>
    </row>
    <row r="696">
      <c r="J696" s="6"/>
    </row>
    <row r="697">
      <c r="J697" s="6"/>
    </row>
    <row r="698">
      <c r="J698" s="6"/>
    </row>
    <row r="699">
      <c r="J699" s="6"/>
    </row>
    <row r="700">
      <c r="J700" s="6"/>
    </row>
    <row r="701">
      <c r="J701" s="6"/>
    </row>
    <row r="702">
      <c r="J702" s="6"/>
    </row>
    <row r="703">
      <c r="J703" s="6"/>
    </row>
    <row r="704">
      <c r="J704" s="6"/>
    </row>
    <row r="705">
      <c r="J705" s="6"/>
    </row>
    <row r="706">
      <c r="J706" s="6"/>
    </row>
    <row r="707">
      <c r="J707" s="6"/>
    </row>
    <row r="708">
      <c r="J708" s="6"/>
    </row>
    <row r="709">
      <c r="J709" s="6"/>
    </row>
    <row r="710">
      <c r="J710" s="6"/>
    </row>
    <row r="711">
      <c r="J711" s="6"/>
    </row>
    <row r="712">
      <c r="J712" s="6"/>
    </row>
    <row r="713">
      <c r="J713" s="6"/>
    </row>
    <row r="714">
      <c r="J714" s="6"/>
    </row>
    <row r="715">
      <c r="J715" s="6"/>
    </row>
    <row r="716">
      <c r="J716" s="6"/>
    </row>
    <row r="717">
      <c r="J717" s="6"/>
    </row>
    <row r="718">
      <c r="J718" s="6"/>
    </row>
    <row r="719">
      <c r="J719" s="6"/>
    </row>
    <row r="720">
      <c r="J720" s="6"/>
    </row>
    <row r="721">
      <c r="J721" s="6"/>
    </row>
    <row r="722">
      <c r="J722" s="6"/>
    </row>
    <row r="723">
      <c r="J723" s="6"/>
    </row>
    <row r="724">
      <c r="J724" s="6"/>
    </row>
    <row r="725">
      <c r="J725" s="6"/>
    </row>
    <row r="726">
      <c r="J726" s="6"/>
    </row>
    <row r="727">
      <c r="J727" s="6"/>
    </row>
    <row r="728">
      <c r="J728" s="6"/>
    </row>
    <row r="729">
      <c r="J729" s="6"/>
    </row>
    <row r="730">
      <c r="J730" s="6"/>
    </row>
    <row r="731">
      <c r="J731" s="6"/>
    </row>
    <row r="732">
      <c r="J732" s="6"/>
    </row>
    <row r="733">
      <c r="J733" s="6"/>
    </row>
    <row r="734">
      <c r="J734" s="6"/>
    </row>
    <row r="735">
      <c r="J735" s="6"/>
    </row>
    <row r="736">
      <c r="J736" s="6"/>
    </row>
    <row r="737">
      <c r="J737" s="6"/>
    </row>
    <row r="738">
      <c r="J738" s="6"/>
    </row>
    <row r="739">
      <c r="J739" s="6"/>
    </row>
    <row r="740">
      <c r="J740" s="6"/>
    </row>
    <row r="741">
      <c r="J741" s="6"/>
    </row>
    <row r="742">
      <c r="J742" s="6"/>
    </row>
    <row r="743">
      <c r="J743" s="6"/>
    </row>
    <row r="744">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row r="904">
      <c r="J904" s="6"/>
    </row>
    <row r="905">
      <c r="J905" s="6"/>
    </row>
    <row r="906">
      <c r="J906" s="6"/>
    </row>
    <row r="907">
      <c r="J907" s="6"/>
    </row>
    <row r="908">
      <c r="J908" s="6"/>
    </row>
    <row r="909">
      <c r="J909" s="6"/>
    </row>
    <row r="910">
      <c r="J910" s="6"/>
    </row>
    <row r="911">
      <c r="J911" s="6"/>
    </row>
    <row r="912">
      <c r="J912" s="6"/>
    </row>
    <row r="913">
      <c r="J913" s="6"/>
    </row>
    <row r="914">
      <c r="J914" s="6"/>
    </row>
    <row r="915">
      <c r="J915" s="6"/>
    </row>
    <row r="916">
      <c r="J916" s="6"/>
    </row>
    <row r="917">
      <c r="J917" s="6"/>
    </row>
    <row r="918">
      <c r="J918" s="6"/>
    </row>
    <row r="919">
      <c r="J919" s="6"/>
    </row>
    <row r="920">
      <c r="J920" s="6"/>
    </row>
    <row r="921">
      <c r="J921" s="6"/>
    </row>
    <row r="922">
      <c r="J922" s="6"/>
    </row>
    <row r="923">
      <c r="J923" s="6"/>
    </row>
    <row r="924">
      <c r="J924" s="6"/>
    </row>
    <row r="925">
      <c r="J925" s="6"/>
    </row>
    <row r="926">
      <c r="J926" s="6"/>
    </row>
    <row r="927">
      <c r="J927" s="6"/>
    </row>
    <row r="928">
      <c r="J928" s="6"/>
    </row>
    <row r="929">
      <c r="J929" s="6"/>
    </row>
    <row r="930">
      <c r="J930" s="6"/>
    </row>
    <row r="931">
      <c r="J931" s="6"/>
    </row>
    <row r="932">
      <c r="J932" s="6"/>
    </row>
    <row r="933">
      <c r="J933" s="6"/>
    </row>
    <row r="934">
      <c r="J934" s="6"/>
    </row>
    <row r="935">
      <c r="J935" s="6"/>
    </row>
    <row r="936">
      <c r="J936" s="6"/>
    </row>
    <row r="937">
      <c r="J937" s="6"/>
    </row>
    <row r="938">
      <c r="J938" s="6"/>
    </row>
    <row r="939">
      <c r="J939" s="6"/>
    </row>
    <row r="940">
      <c r="J940" s="6"/>
    </row>
    <row r="941">
      <c r="J941" s="6"/>
    </row>
    <row r="942">
      <c r="J942" s="6"/>
    </row>
    <row r="943">
      <c r="J943" s="6"/>
    </row>
    <row r="944">
      <c r="J944" s="6"/>
    </row>
    <row r="945">
      <c r="J945" s="6"/>
    </row>
    <row r="946">
      <c r="J946" s="6"/>
    </row>
    <row r="947">
      <c r="J947" s="6"/>
    </row>
    <row r="948">
      <c r="J948" s="6"/>
    </row>
    <row r="949">
      <c r="J949" s="6"/>
    </row>
    <row r="950">
      <c r="J950" s="6"/>
    </row>
    <row r="951">
      <c r="J951" s="6"/>
    </row>
    <row r="952">
      <c r="J952" s="6"/>
    </row>
    <row r="953">
      <c r="J953" s="6"/>
    </row>
    <row r="954">
      <c r="J954" s="6"/>
    </row>
    <row r="955">
      <c r="J955" s="6"/>
    </row>
    <row r="956">
      <c r="J956" s="6"/>
    </row>
    <row r="957">
      <c r="J957" s="6"/>
    </row>
    <row r="958">
      <c r="J958" s="6"/>
    </row>
    <row r="959">
      <c r="J959" s="6"/>
    </row>
    <row r="960">
      <c r="J960" s="6"/>
    </row>
    <row r="961">
      <c r="J961" s="6"/>
    </row>
    <row r="962">
      <c r="J962" s="6"/>
    </row>
    <row r="963">
      <c r="J963" s="6"/>
    </row>
    <row r="964">
      <c r="J964" s="6"/>
    </row>
    <row r="965">
      <c r="J965" s="6"/>
    </row>
    <row r="966">
      <c r="J966" s="6"/>
    </row>
    <row r="967">
      <c r="J967" s="6"/>
    </row>
    <row r="968">
      <c r="J968" s="6"/>
    </row>
    <row r="969">
      <c r="J969" s="6"/>
    </row>
    <row r="970">
      <c r="J970" s="6"/>
    </row>
    <row r="971">
      <c r="J971" s="6"/>
    </row>
    <row r="972">
      <c r="J972" s="6"/>
    </row>
    <row r="973">
      <c r="J973" s="6"/>
    </row>
    <row r="974">
      <c r="J974" s="6"/>
    </row>
    <row r="975">
      <c r="J975" s="6"/>
    </row>
    <row r="976">
      <c r="J976" s="6"/>
    </row>
    <row r="977">
      <c r="J977" s="6"/>
    </row>
    <row r="978">
      <c r="J978" s="6"/>
    </row>
    <row r="979">
      <c r="J979" s="6"/>
    </row>
    <row r="980">
      <c r="J980" s="6"/>
    </row>
    <row r="981">
      <c r="J981" s="6"/>
    </row>
    <row r="982">
      <c r="J982" s="6"/>
    </row>
    <row r="983">
      <c r="J983" s="6"/>
    </row>
    <row r="984">
      <c r="J984" s="6"/>
    </row>
    <row r="985">
      <c r="J985" s="6"/>
    </row>
    <row r="986">
      <c r="J986" s="6"/>
    </row>
    <row r="987">
      <c r="J987" s="6"/>
    </row>
    <row r="988">
      <c r="J988" s="6"/>
    </row>
    <row r="989">
      <c r="J989" s="6"/>
    </row>
    <row r="990">
      <c r="J990" s="6"/>
    </row>
    <row r="991">
      <c r="J991" s="6"/>
    </row>
    <row r="992">
      <c r="J992" s="6"/>
    </row>
    <row r="993">
      <c r="J993" s="6"/>
    </row>
    <row r="994">
      <c r="J994" s="6"/>
    </row>
    <row r="995">
      <c r="J995" s="6"/>
    </row>
    <row r="996">
      <c r="J996" s="6"/>
    </row>
    <row r="997">
      <c r="J997" s="6"/>
    </row>
    <row r="998">
      <c r="J998" s="6"/>
    </row>
    <row r="999">
      <c r="J999" s="6"/>
    </row>
    <row r="1000">
      <c r="J1000" s="6"/>
    </row>
    <row r="1001">
      <c r="J1001" s="6"/>
    </row>
    <row r="1002">
      <c r="J1002" s="6"/>
    </row>
    <row r="1003">
      <c r="J1003" s="6"/>
    </row>
    <row r="1004">
      <c r="J1004" s="6"/>
    </row>
    <row r="1005">
      <c r="J1005" s="6"/>
    </row>
    <row r="1006">
      <c r="J1006" s="6"/>
    </row>
    <row r="1007">
      <c r="J1007" s="6"/>
    </row>
    <row r="1008">
      <c r="J1008" s="6"/>
    </row>
    <row r="1009">
      <c r="J1009" s="6"/>
    </row>
    <row r="1010">
      <c r="J1010" s="6"/>
    </row>
    <row r="1011">
      <c r="J1011" s="6"/>
    </row>
    <row r="1012">
      <c r="J1012" s="6"/>
    </row>
    <row r="1013">
      <c r="J1013" s="6"/>
    </row>
    <row r="1014">
      <c r="J1014" s="6"/>
    </row>
    <row r="1015">
      <c r="J1015" s="6"/>
    </row>
    <row r="1016">
      <c r="J1016" s="6"/>
    </row>
    <row r="1017">
      <c r="J1017" s="6"/>
    </row>
    <row r="1018">
      <c r="J1018" s="6"/>
    </row>
    <row r="1019">
      <c r="J1019" s="6"/>
    </row>
    <row r="1020">
      <c r="J1020" s="6"/>
    </row>
    <row r="1021">
      <c r="J1021" s="6"/>
    </row>
    <row r="1022">
      <c r="J1022" s="6"/>
    </row>
    <row r="1023">
      <c r="J1023" s="6"/>
    </row>
    <row r="1024">
      <c r="J1024" s="6"/>
    </row>
    <row r="1025">
      <c r="J1025" s="6"/>
    </row>
    <row r="1026">
      <c r="J1026" s="6"/>
    </row>
    <row r="1027">
      <c r="J1027" s="6"/>
    </row>
    <row r="1028">
      <c r="J1028" s="6"/>
    </row>
    <row r="1029">
      <c r="J1029" s="6"/>
    </row>
    <row r="1030">
      <c r="J1030" s="6"/>
    </row>
    <row r="1031">
      <c r="J1031" s="6"/>
    </row>
    <row r="1032">
      <c r="J1032" s="6"/>
    </row>
  </sheetData>
  <hyperlinks>
    <hyperlink r:id="rId1" ref="J17"/>
    <hyperlink r:id="rId2" ref="I22"/>
    <hyperlink r:id="rId3" ref="I30"/>
    <hyperlink r:id="rId4" ref="I31"/>
    <hyperlink r:id="rId5" ref="I32"/>
    <hyperlink r:id="rId6" ref="I35"/>
    <hyperlink r:id="rId7" ref="I36"/>
    <hyperlink r:id="rId8" ref="I38"/>
    <hyperlink r:id="rId9" ref="I39"/>
    <hyperlink r:id="rId10" ref="I40"/>
    <hyperlink r:id="rId11" ref="I50"/>
    <hyperlink r:id="rId12" ref="J61"/>
    <hyperlink r:id="rId13" ref="I66"/>
    <hyperlink r:id="rId14" ref="I67"/>
    <hyperlink r:id="rId15" location="utm_source=gdm_unpaid" ref="I72"/>
    <hyperlink r:id="rId16" ref="I79"/>
    <hyperlink r:id="rId17" ref="I82"/>
    <hyperlink r:id="rId18" ref="I106"/>
    <hyperlink r:id="rId19" ref="I146"/>
    <hyperlink r:id="rId20" ref="I167"/>
    <hyperlink r:id="rId21" ref="J167"/>
    <hyperlink r:id="rId22" ref="I180"/>
  </hyperlinks>
  <drawing r:id="rId23"/>
</worksheet>
</file>