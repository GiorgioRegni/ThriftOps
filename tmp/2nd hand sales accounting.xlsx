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2026 - Revenus" sheetId="2" r:id="rId6"/>
    <sheet state="visible" name="2026 - expenses" sheetId="3" r:id="rId7"/>
    <sheet state="visible" name="2025" sheetId="4" r:id="rId8"/>
  </sheets>
  <definedNames/>
  <calcPr/>
</workbook>
</file>

<file path=xl/sharedStrings.xml><?xml version="1.0" encoding="utf-8"?>
<sst xmlns="http://schemas.openxmlformats.org/spreadsheetml/2006/main" count="317" uniqueCount="61">
  <si>
    <t>A inclure dans les comptes</t>
  </si>
  <si>
    <t>Frais de poste pirateship / monthly</t>
  </si>
  <si>
    <t>Paypal / monthly</t>
  </si>
  <si>
    <t>Venmo / monthly</t>
  </si>
  <si>
    <t>NB / monthly / sales tax already paid</t>
  </si>
  <si>
    <t>STC / monthly / sales tax already paid</t>
  </si>
  <si>
    <t>DATE</t>
  </si>
  <si>
    <t>TYPE</t>
  </si>
  <si>
    <t>ACCOUNT</t>
  </si>
  <si>
    <t>DESCRIPTION</t>
  </si>
  <si>
    <t>AMOUNT</t>
  </si>
  <si>
    <t>TOTAL</t>
  </si>
  <si>
    <t>Inventory on 1/1/26</t>
  </si>
  <si>
    <t>Women clothes</t>
  </si>
  <si>
    <t>Sales</t>
  </si>
  <si>
    <t>Paypal</t>
  </si>
  <si>
    <t>Monthly sales</t>
  </si>
  <si>
    <t>Inventory BF 01/25</t>
  </si>
  <si>
    <t>Venmo</t>
  </si>
  <si>
    <t>Inventory HG 1/1/26</t>
  </si>
  <si>
    <t>Noihsaf</t>
  </si>
  <si>
    <t>total</t>
  </si>
  <si>
    <t>Small Talk City</t>
  </si>
  <si>
    <t>1/1/26 inventory</t>
  </si>
  <si>
    <t>cash</t>
  </si>
  <si>
    <t>receipt?</t>
  </si>
  <si>
    <t>expense</t>
  </si>
  <si>
    <t>debit card</t>
  </si>
  <si>
    <t>dry cleaner</t>
  </si>
  <si>
    <t>COGS</t>
  </si>
  <si>
    <t>amex S</t>
  </si>
  <si>
    <t>goodwill</t>
  </si>
  <si>
    <t>yes</t>
  </si>
  <si>
    <t>Amex G</t>
  </si>
  <si>
    <t>no</t>
  </si>
  <si>
    <t>amex G</t>
  </si>
  <si>
    <t>venmo</t>
  </si>
  <si>
    <t>lauren pepe / vest on FBM</t>
  </si>
  <si>
    <t>visa 2126</t>
  </si>
  <si>
    <t>Goodwill receipts / Amex list</t>
  </si>
  <si>
    <t>sales</t>
  </si>
  <si>
    <t>cogs</t>
  </si>
  <si>
    <t>Goodwill receipt / BMO</t>
  </si>
  <si>
    <t>january</t>
  </si>
  <si>
    <t>Venmo COGS</t>
  </si>
  <si>
    <t>february</t>
  </si>
  <si>
    <t>Donations</t>
  </si>
  <si>
    <t>march</t>
  </si>
  <si>
    <t>Shipping fees / pirateship</t>
  </si>
  <si>
    <t>april</t>
  </si>
  <si>
    <t>other expenses?</t>
  </si>
  <si>
    <t>may</t>
  </si>
  <si>
    <t>june</t>
  </si>
  <si>
    <t>july</t>
  </si>
  <si>
    <t>Venmo sales</t>
  </si>
  <si>
    <t>august</t>
  </si>
  <si>
    <t>Paypal sales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</si>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</sst>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"/>
    <numFmt numFmtId="166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5"/>
    <col customWidth="1" min="8" max="8" width="18.25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3" t="s">
        <v>11</v>
      </c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1"/>
      <c r="C2" s="1"/>
      <c r="D2" s="1"/>
      <c r="E2" s="1"/>
      <c r="F2" s="6"/>
      <c r="H2" s="1" t="s">
        <v>12</v>
      </c>
      <c r="I2" s="1">
        <v>-3183.0</v>
      </c>
      <c r="J2" s="1" t="s">
        <v>13</v>
      </c>
    </row>
    <row r="3">
      <c r="A3" s="5">
        <v>46053.0</v>
      </c>
      <c r="B3" s="1" t="s">
        <v>14</v>
      </c>
      <c r="C3" s="1" t="s">
        <v>15</v>
      </c>
      <c r="D3" s="1" t="s">
        <v>16</v>
      </c>
      <c r="E3" s="1">
        <v>104.66</v>
      </c>
      <c r="F3" s="6">
        <f>E3</f>
        <v>104.66</v>
      </c>
      <c r="H3" s="1" t="s">
        <v>17</v>
      </c>
      <c r="I3" s="1">
        <v>-390.0</v>
      </c>
    </row>
    <row r="4">
      <c r="A4" s="5">
        <v>46053.0</v>
      </c>
      <c r="B4" s="1" t="s">
        <v>14</v>
      </c>
      <c r="C4" s="1" t="s">
        <v>18</v>
      </c>
      <c r="D4" s="1" t="s">
        <v>16</v>
      </c>
      <c r="E4" s="1">
        <v>1495.0</v>
      </c>
      <c r="F4" s="6">
        <f t="shared" ref="F4:F22" si="1">F3+E4</f>
        <v>1599.66</v>
      </c>
      <c r="H4" s="1" t="s">
        <v>19</v>
      </c>
      <c r="I4" s="1">
        <v>-732.0</v>
      </c>
    </row>
    <row r="5">
      <c r="A5" s="5">
        <v>46053.0</v>
      </c>
      <c r="B5" s="1" t="s">
        <v>14</v>
      </c>
      <c r="C5" s="1" t="s">
        <v>20</v>
      </c>
      <c r="D5" s="1" t="s">
        <v>16</v>
      </c>
      <c r="E5" s="1">
        <v>144.95</v>
      </c>
      <c r="F5" s="6">
        <f t="shared" si="1"/>
        <v>1744.61</v>
      </c>
      <c r="H5" s="7" t="s">
        <v>21</v>
      </c>
      <c r="I5" s="8">
        <f>I2+I3+I4</f>
        <v>-4305</v>
      </c>
    </row>
    <row r="6">
      <c r="A6" s="5">
        <v>46053.0</v>
      </c>
      <c r="B6" s="1" t="s">
        <v>14</v>
      </c>
      <c r="C6" s="1" t="s">
        <v>22</v>
      </c>
      <c r="D6" s="1" t="s">
        <v>16</v>
      </c>
      <c r="E6" s="1">
        <v>45.0</v>
      </c>
      <c r="F6" s="6">
        <f t="shared" si="1"/>
        <v>1789.61</v>
      </c>
      <c r="H6" s="1" t="s">
        <v>23</v>
      </c>
    </row>
    <row r="7">
      <c r="A7" s="5">
        <v>46053.0</v>
      </c>
      <c r="B7" s="1" t="s">
        <v>14</v>
      </c>
      <c r="C7" s="1" t="s">
        <v>24</v>
      </c>
      <c r="D7" s="1" t="s">
        <v>16</v>
      </c>
      <c r="E7" s="1">
        <v>300.0</v>
      </c>
      <c r="F7" s="6">
        <f t="shared" si="1"/>
        <v>2089.61</v>
      </c>
    </row>
    <row r="8">
      <c r="A8" s="5">
        <v>46081.0</v>
      </c>
      <c r="B8" s="1" t="s">
        <v>14</v>
      </c>
      <c r="C8" s="1" t="s">
        <v>15</v>
      </c>
      <c r="D8" s="1" t="s">
        <v>16</v>
      </c>
      <c r="E8" s="1">
        <v>355.49</v>
      </c>
      <c r="F8" s="6">
        <f t="shared" si="1"/>
        <v>2445.1</v>
      </c>
    </row>
    <row r="9">
      <c r="A9" s="5">
        <v>46081.0</v>
      </c>
      <c r="B9" s="1" t="s">
        <v>14</v>
      </c>
      <c r="C9" s="1" t="s">
        <v>18</v>
      </c>
      <c r="D9" s="1" t="s">
        <v>16</v>
      </c>
      <c r="E9" s="1">
        <v>167.32</v>
      </c>
      <c r="F9" s="6">
        <f t="shared" si="1"/>
        <v>2612.42</v>
      </c>
    </row>
    <row r="10">
      <c r="A10" s="9">
        <v>46081.0</v>
      </c>
      <c r="B10" s="1" t="s">
        <v>14</v>
      </c>
      <c r="C10" s="1" t="s">
        <v>20</v>
      </c>
      <c r="D10" s="1" t="s">
        <v>16</v>
      </c>
      <c r="E10" s="1">
        <v>106.13</v>
      </c>
      <c r="F10" s="6">
        <f t="shared" si="1"/>
        <v>2718.55</v>
      </c>
    </row>
    <row r="11">
      <c r="A11" s="9">
        <v>46081.0</v>
      </c>
      <c r="B11" s="1" t="s">
        <v>14</v>
      </c>
      <c r="C11" s="1" t="s">
        <v>22</v>
      </c>
      <c r="D11" s="1" t="s">
        <v>16</v>
      </c>
      <c r="E11" s="1">
        <v>23.0</v>
      </c>
      <c r="F11" s="6">
        <f t="shared" si="1"/>
        <v>2741.55</v>
      </c>
    </row>
    <row r="12">
      <c r="A12" s="9">
        <v>46081.0</v>
      </c>
      <c r="B12" s="1" t="s">
        <v>14</v>
      </c>
      <c r="C12" s="1" t="s">
        <v>24</v>
      </c>
      <c r="D12" s="1" t="s">
        <v>16</v>
      </c>
      <c r="E12" s="1">
        <v>0.0</v>
      </c>
      <c r="F12" s="6">
        <f t="shared" si="1"/>
        <v>2741.55</v>
      </c>
    </row>
    <row r="13">
      <c r="A13" s="9">
        <v>46112.0</v>
      </c>
      <c r="B13" s="1" t="s">
        <v>14</v>
      </c>
      <c r="C13" s="1" t="s">
        <v>15</v>
      </c>
      <c r="D13" s="1" t="s">
        <v>16</v>
      </c>
      <c r="E13" s="1">
        <v>149.2</v>
      </c>
      <c r="F13" s="6">
        <f t="shared" si="1"/>
        <v>2890.75</v>
      </c>
    </row>
    <row r="14">
      <c r="A14" s="5">
        <v>46112.0</v>
      </c>
      <c r="B14" s="1" t="s">
        <v>14</v>
      </c>
      <c r="C14" s="1" t="s">
        <v>18</v>
      </c>
      <c r="D14" s="1" t="s">
        <v>16</v>
      </c>
      <c r="E14" s="1">
        <v>1786.62</v>
      </c>
      <c r="F14" s="6">
        <f t="shared" si="1"/>
        <v>4677.37</v>
      </c>
    </row>
    <row r="15">
      <c r="A15" s="5">
        <v>46112.0</v>
      </c>
      <c r="B15" s="1" t="s">
        <v>14</v>
      </c>
      <c r="C15" s="1" t="s">
        <v>20</v>
      </c>
      <c r="D15" s="1" t="s">
        <v>16</v>
      </c>
      <c r="E15" s="1">
        <v>60.15</v>
      </c>
      <c r="F15" s="6">
        <f t="shared" si="1"/>
        <v>4737.52</v>
      </c>
    </row>
    <row r="16">
      <c r="A16" s="5">
        <v>46112.0</v>
      </c>
      <c r="B16" s="1" t="s">
        <v>14</v>
      </c>
      <c r="C16" s="1" t="s">
        <v>22</v>
      </c>
      <c r="D16" s="1" t="s">
        <v>16</v>
      </c>
      <c r="E16" s="1">
        <v>33.0</v>
      </c>
      <c r="F16" s="6">
        <f t="shared" si="1"/>
        <v>4770.52</v>
      </c>
    </row>
    <row r="17">
      <c r="A17" s="5">
        <v>46112.0</v>
      </c>
      <c r="B17" s="1" t="s">
        <v>14</v>
      </c>
      <c r="C17" s="1" t="s">
        <v>24</v>
      </c>
      <c r="D17" s="1" t="s">
        <v>16</v>
      </c>
      <c r="E17" s="1">
        <v>350.0</v>
      </c>
      <c r="F17" s="6">
        <f t="shared" si="1"/>
        <v>5120.52</v>
      </c>
    </row>
    <row r="18">
      <c r="A18" s="5">
        <v>46142.0</v>
      </c>
      <c r="B18" s="1" t="s">
        <v>14</v>
      </c>
      <c r="C18" s="1" t="s">
        <v>15</v>
      </c>
      <c r="D18" s="1" t="s">
        <v>16</v>
      </c>
      <c r="E18" s="1">
        <v>265.82</v>
      </c>
      <c r="F18" s="6">
        <f t="shared" si="1"/>
        <v>5386.34</v>
      </c>
    </row>
    <row r="19">
      <c r="A19" s="5">
        <v>46142.0</v>
      </c>
      <c r="B19" s="1" t="s">
        <v>14</v>
      </c>
      <c r="C19" s="1" t="s">
        <v>18</v>
      </c>
      <c r="D19" s="1" t="s">
        <v>16</v>
      </c>
      <c r="E19" s="1">
        <v>1421.0</v>
      </c>
      <c r="F19" s="6">
        <f t="shared" si="1"/>
        <v>6807.34</v>
      </c>
    </row>
    <row r="20">
      <c r="A20" s="5">
        <v>46142.0</v>
      </c>
      <c r="B20" s="1" t="s">
        <v>14</v>
      </c>
      <c r="C20" s="1" t="s">
        <v>20</v>
      </c>
      <c r="D20" s="1" t="s">
        <v>16</v>
      </c>
      <c r="E20" s="1">
        <v>227.54</v>
      </c>
      <c r="F20" s="6">
        <f t="shared" si="1"/>
        <v>7034.88</v>
      </c>
    </row>
    <row r="21">
      <c r="A21" s="5">
        <v>46142.0</v>
      </c>
      <c r="B21" s="1" t="s">
        <v>14</v>
      </c>
      <c r="C21" s="1" t="s">
        <v>22</v>
      </c>
      <c r="D21" s="1" t="s">
        <v>16</v>
      </c>
      <c r="E21" s="1">
        <v>40.5</v>
      </c>
      <c r="F21" s="6">
        <f t="shared" si="1"/>
        <v>7075.38</v>
      </c>
    </row>
    <row r="22">
      <c r="A22" s="5">
        <v>46142.0</v>
      </c>
      <c r="B22" s="1" t="s">
        <v>14</v>
      </c>
      <c r="C22" s="1" t="s">
        <v>24</v>
      </c>
      <c r="D22" s="1" t="s">
        <v>16</v>
      </c>
      <c r="E22" s="1">
        <v>500.0</v>
      </c>
      <c r="F22" s="6">
        <f t="shared" si="1"/>
        <v>7575.38</v>
      </c>
    </row>
    <row r="23">
      <c r="A23" s="10"/>
      <c r="F23" s="6"/>
    </row>
    <row r="24">
      <c r="A24" s="10"/>
      <c r="F24" s="6"/>
    </row>
    <row r="25">
      <c r="A25" s="10"/>
      <c r="F25" s="6"/>
    </row>
    <row r="26">
      <c r="A26" s="10"/>
      <c r="F26" s="6"/>
    </row>
    <row r="27">
      <c r="A27" s="10"/>
      <c r="F27" s="6"/>
    </row>
    <row r="28">
      <c r="A28" s="10"/>
      <c r="F28" s="6"/>
    </row>
    <row r="29">
      <c r="A29" s="10"/>
      <c r="F29" s="6"/>
    </row>
    <row r="30">
      <c r="A30" s="10"/>
      <c r="F30" s="6"/>
    </row>
    <row r="31">
      <c r="A31" s="10"/>
      <c r="F31" s="6"/>
    </row>
    <row r="32">
      <c r="A32" s="10"/>
      <c r="F32" s="6"/>
    </row>
    <row r="33">
      <c r="A33" s="10"/>
      <c r="F33" s="6"/>
    </row>
    <row r="34">
      <c r="A34" s="10"/>
      <c r="F34" s="6"/>
    </row>
    <row r="35">
      <c r="A35" s="10"/>
      <c r="F35" s="6"/>
    </row>
    <row r="36">
      <c r="A36" s="10"/>
      <c r="F36" s="6"/>
    </row>
    <row r="37">
      <c r="A37" s="5"/>
      <c r="F37" s="6"/>
    </row>
    <row r="38">
      <c r="A38" s="5"/>
      <c r="F38" s="6"/>
    </row>
    <row r="39">
      <c r="A39" s="5"/>
      <c r="F39" s="6"/>
    </row>
    <row r="40">
      <c r="A40" s="5"/>
      <c r="F40" s="6"/>
    </row>
    <row r="41">
      <c r="A41" s="5"/>
      <c r="F41" s="6"/>
    </row>
    <row r="42">
      <c r="A42" s="5"/>
      <c r="F42" s="6"/>
    </row>
    <row r="43">
      <c r="A43" s="5"/>
      <c r="F43" s="6"/>
    </row>
    <row r="44">
      <c r="A44" s="5"/>
      <c r="F44" s="6"/>
    </row>
    <row r="45">
      <c r="A45" s="10"/>
      <c r="F45" s="6"/>
    </row>
    <row r="46">
      <c r="A46" s="10"/>
      <c r="F46" s="6"/>
    </row>
    <row r="47">
      <c r="A47" s="10"/>
      <c r="F47" s="6"/>
    </row>
    <row r="48">
      <c r="A48" s="10"/>
      <c r="F48" s="6"/>
    </row>
    <row r="49">
      <c r="A49" s="10"/>
      <c r="F49" s="6"/>
    </row>
    <row r="50">
      <c r="A50" s="10"/>
      <c r="F50" s="6"/>
    </row>
    <row r="51">
      <c r="A51" s="10"/>
      <c r="F51" s="6"/>
    </row>
    <row r="52">
      <c r="A52" s="10"/>
      <c r="F52" s="6"/>
    </row>
    <row r="53">
      <c r="A53" s="10"/>
      <c r="F53" s="6"/>
    </row>
    <row r="54">
      <c r="A54" s="10"/>
      <c r="F54" s="6"/>
    </row>
    <row r="55">
      <c r="A55" s="10"/>
      <c r="F55" s="6"/>
    </row>
    <row r="56">
      <c r="A56" s="10"/>
      <c r="F56" s="6"/>
    </row>
    <row r="57">
      <c r="A57" s="10"/>
      <c r="F57" s="6"/>
    </row>
    <row r="58">
      <c r="A58" s="10"/>
      <c r="F58" s="6"/>
    </row>
    <row r="59">
      <c r="A59" s="10"/>
      <c r="F59" s="6"/>
    </row>
    <row r="60">
      <c r="A60" s="10"/>
      <c r="F60" s="6"/>
    </row>
    <row r="61">
      <c r="A61" s="10"/>
      <c r="F61" s="6"/>
    </row>
    <row r="62">
      <c r="A62" s="10"/>
      <c r="F62" s="6"/>
    </row>
    <row r="63">
      <c r="A63" s="10"/>
      <c r="F63" s="6"/>
    </row>
    <row r="64">
      <c r="A64" s="10"/>
      <c r="F64" s="6"/>
    </row>
    <row r="65">
      <c r="A65" s="10"/>
      <c r="F65" s="6"/>
    </row>
    <row r="66">
      <c r="A66" s="10"/>
      <c r="F66" s="6"/>
    </row>
    <row r="67">
      <c r="A67" s="10"/>
      <c r="F67" s="6"/>
    </row>
    <row r="68">
      <c r="A68" s="10"/>
      <c r="F68" s="6"/>
    </row>
    <row r="69">
      <c r="A69" s="10"/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  <row r="1001">
      <c r="F1001" s="6"/>
    </row>
    <row r="1002">
      <c r="F1002" s="6"/>
    </row>
    <row r="1003">
      <c r="F1003" s="6"/>
    </row>
    <row r="1004">
      <c r="F1004" s="6"/>
    </row>
    <row r="1005">
      <c r="F1005" s="6"/>
    </row>
    <row r="1006">
      <c r="F1006" s="6"/>
    </row>
    <row r="1007">
      <c r="F1007" s="6"/>
    </row>
    <row r="1008">
      <c r="F1008" s="6"/>
    </row>
    <row r="1009">
      <c r="F1009" s="6"/>
    </row>
    <row r="1010">
      <c r="F1010" s="6"/>
    </row>
    <row r="1011">
      <c r="F1011" s="6"/>
    </row>
    <row r="1012">
      <c r="F1012" s="6"/>
    </row>
    <row r="1013">
      <c r="F1013" s="6"/>
    </row>
    <row r="1014">
      <c r="F1014" s="6"/>
    </row>
    <row r="1015">
      <c r="F1015" s="6"/>
    </row>
    <row r="1016">
      <c r="F1016" s="6"/>
    </row>
    <row r="1017">
      <c r="F1017" s="6"/>
    </row>
    <row r="1018">
      <c r="F1018" s="6"/>
    </row>
    <row r="1019">
      <c r="F1019" s="6"/>
    </row>
    <row r="1020">
      <c r="F1020" s="6"/>
    </row>
    <row r="1021">
      <c r="F1021" s="6"/>
    </row>
    <row r="1022">
      <c r="F1022" s="6"/>
    </row>
    <row r="1023">
      <c r="F1023" s="6"/>
    </row>
    <row r="1024">
      <c r="F1024" s="6"/>
    </row>
    <row r="1025">
      <c r="F1025" s="6"/>
    </row>
    <row r="1026">
      <c r="F1026" s="6"/>
    </row>
    <row r="1027">
      <c r="F1027" s="6"/>
    </row>
    <row r="1028">
      <c r="F1028" s="6"/>
    </row>
    <row r="1029">
      <c r="F1029" s="6"/>
    </row>
    <row r="1030">
      <c r="F1030" s="6"/>
    </row>
    <row r="1031">
      <c r="F1031" s="6"/>
    </row>
    <row r="1032">
      <c r="F1032" s="6"/>
    </row>
    <row r="1033">
      <c r="F1033" s="6"/>
    </row>
    <row r="1034">
      <c r="F1034" s="6"/>
    </row>
    <row r="1035">
      <c r="F1035" s="6"/>
    </row>
    <row r="1036">
      <c r="F1036" s="6"/>
    </row>
    <row r="1037">
      <c r="F1037" s="6"/>
    </row>
    <row r="1038">
      <c r="F1038" s="6"/>
    </row>
    <row r="1039">
      <c r="F1039" s="6"/>
    </row>
    <row r="1040">
      <c r="F1040" s="6"/>
    </row>
    <row r="1041">
      <c r="F1041" s="6"/>
    </row>
    <row r="1042">
      <c r="F1042" s="6"/>
    </row>
    <row r="1043">
      <c r="F1043" s="6"/>
    </row>
    <row r="1044">
      <c r="F104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5"/>
    <col customWidth="1" min="8" max="8" width="18.25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3" t="s">
        <v>11</v>
      </c>
      <c r="G1" s="2" t="s">
        <v>25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1"/>
      <c r="C2" s="1"/>
      <c r="D2" s="1"/>
      <c r="E2" s="1"/>
      <c r="F2" s="6"/>
      <c r="H2" s="1" t="s">
        <v>12</v>
      </c>
      <c r="I2" s="1">
        <v>-3183.0</v>
      </c>
      <c r="J2" s="1" t="s">
        <v>13</v>
      </c>
    </row>
    <row r="3">
      <c r="A3" s="5"/>
      <c r="F3" s="6"/>
      <c r="H3" s="1" t="s">
        <v>17</v>
      </c>
      <c r="I3" s="1">
        <v>-390.0</v>
      </c>
    </row>
    <row r="4">
      <c r="A4" s="5"/>
      <c r="F4" s="6"/>
      <c r="H4" s="1" t="s">
        <v>19</v>
      </c>
      <c r="I4" s="1">
        <v>-732.0</v>
      </c>
    </row>
    <row r="5">
      <c r="A5" s="5"/>
      <c r="F5" s="6"/>
      <c r="H5" s="7" t="s">
        <v>21</v>
      </c>
      <c r="I5" s="8">
        <f>I2+I3+I4</f>
        <v>-4305</v>
      </c>
    </row>
    <row r="6">
      <c r="A6" s="5"/>
      <c r="F6" s="6"/>
    </row>
    <row r="7">
      <c r="A7" s="5">
        <v>46030.0</v>
      </c>
      <c r="B7" s="1" t="s">
        <v>26</v>
      </c>
      <c r="C7" s="1" t="s">
        <v>27</v>
      </c>
      <c r="D7" s="1" t="s">
        <v>28</v>
      </c>
      <c r="E7" s="1">
        <v>-14.95</v>
      </c>
      <c r="F7" s="6">
        <f>E7</f>
        <v>-14.95</v>
      </c>
    </row>
    <row r="8">
      <c r="A8" s="5">
        <v>46031.0</v>
      </c>
      <c r="B8" s="1" t="s">
        <v>29</v>
      </c>
      <c r="C8" s="1" t="s">
        <v>30</v>
      </c>
      <c r="D8" s="1" t="s">
        <v>31</v>
      </c>
      <c r="E8" s="1">
        <v>-27.27</v>
      </c>
      <c r="F8" s="6">
        <f t="shared" ref="F8:F57" si="1">F7+E8</f>
        <v>-42.22</v>
      </c>
      <c r="G8" s="1" t="s">
        <v>32</v>
      </c>
    </row>
    <row r="9">
      <c r="A9" s="5">
        <v>46031.0</v>
      </c>
      <c r="B9" s="1" t="s">
        <v>29</v>
      </c>
      <c r="C9" s="1" t="s">
        <v>30</v>
      </c>
      <c r="D9" s="1" t="s">
        <v>31</v>
      </c>
      <c r="E9" s="1">
        <v>-88.21</v>
      </c>
      <c r="F9" s="6">
        <f t="shared" si="1"/>
        <v>-130.43</v>
      </c>
      <c r="G9" s="1" t="s">
        <v>32</v>
      </c>
    </row>
    <row r="10">
      <c r="A10" s="5">
        <v>46036.0</v>
      </c>
      <c r="B10" s="1" t="s">
        <v>29</v>
      </c>
      <c r="C10" s="1" t="s">
        <v>33</v>
      </c>
      <c r="D10" s="1" t="s">
        <v>31</v>
      </c>
      <c r="E10" s="1">
        <v>-95.58</v>
      </c>
      <c r="F10" s="6">
        <f t="shared" si="1"/>
        <v>-226.01</v>
      </c>
      <c r="G10" s="1" t="s">
        <v>34</v>
      </c>
    </row>
    <row r="11">
      <c r="A11" s="5">
        <v>46039.0</v>
      </c>
      <c r="B11" s="1" t="s">
        <v>29</v>
      </c>
      <c r="C11" s="1" t="s">
        <v>33</v>
      </c>
      <c r="D11" s="1" t="s">
        <v>31</v>
      </c>
      <c r="E11" s="1">
        <v>-14.99</v>
      </c>
      <c r="F11" s="6">
        <f t="shared" si="1"/>
        <v>-241</v>
      </c>
      <c r="G11" s="1" t="s">
        <v>32</v>
      </c>
    </row>
    <row r="12">
      <c r="A12" s="5">
        <v>46042.0</v>
      </c>
      <c r="B12" s="1" t="s">
        <v>29</v>
      </c>
      <c r="C12" s="1" t="s">
        <v>30</v>
      </c>
      <c r="D12" s="1" t="s">
        <v>31</v>
      </c>
      <c r="E12" s="1">
        <v>-85.46</v>
      </c>
      <c r="F12" s="6">
        <f t="shared" si="1"/>
        <v>-326.46</v>
      </c>
      <c r="G12" s="1" t="s">
        <v>32</v>
      </c>
    </row>
    <row r="13">
      <c r="A13" s="5">
        <v>46046.0</v>
      </c>
      <c r="B13" s="1" t="s">
        <v>29</v>
      </c>
      <c r="C13" s="1" t="s">
        <v>35</v>
      </c>
      <c r="D13" s="1" t="s">
        <v>31</v>
      </c>
      <c r="E13" s="1">
        <v>-177.76</v>
      </c>
      <c r="F13" s="6">
        <f t="shared" si="1"/>
        <v>-504.22</v>
      </c>
      <c r="G13" s="1" t="s">
        <v>32</v>
      </c>
    </row>
    <row r="14">
      <c r="A14" s="5">
        <v>46048.0</v>
      </c>
      <c r="B14" s="1" t="s">
        <v>29</v>
      </c>
      <c r="C14" s="1" t="s">
        <v>30</v>
      </c>
      <c r="D14" s="1" t="s">
        <v>31</v>
      </c>
      <c r="E14" s="1">
        <v>-196.27</v>
      </c>
      <c r="F14" s="6">
        <f t="shared" si="1"/>
        <v>-700.49</v>
      </c>
      <c r="G14" s="1" t="s">
        <v>34</v>
      </c>
    </row>
    <row r="15">
      <c r="A15" s="5">
        <v>46053.0</v>
      </c>
      <c r="B15" s="1" t="s">
        <v>29</v>
      </c>
      <c r="C15" s="1" t="s">
        <v>35</v>
      </c>
      <c r="D15" s="1" t="s">
        <v>31</v>
      </c>
      <c r="E15" s="1">
        <v>-86.82</v>
      </c>
      <c r="F15" s="6">
        <f t="shared" si="1"/>
        <v>-787.31</v>
      </c>
      <c r="G15" s="1" t="s">
        <v>32</v>
      </c>
    </row>
    <row r="16">
      <c r="A16" s="5">
        <v>46054.0</v>
      </c>
      <c r="B16" s="1" t="s">
        <v>29</v>
      </c>
      <c r="C16" s="1" t="s">
        <v>35</v>
      </c>
      <c r="D16" s="1" t="s">
        <v>31</v>
      </c>
      <c r="E16" s="1">
        <v>-62.95</v>
      </c>
      <c r="F16" s="6">
        <f t="shared" si="1"/>
        <v>-850.26</v>
      </c>
      <c r="G16" s="1" t="s">
        <v>32</v>
      </c>
    </row>
    <row r="17">
      <c r="A17" s="5">
        <v>46054.0</v>
      </c>
      <c r="B17" s="1" t="s">
        <v>29</v>
      </c>
      <c r="C17" s="1" t="s">
        <v>30</v>
      </c>
      <c r="D17" s="1" t="s">
        <v>31</v>
      </c>
      <c r="E17" s="1">
        <v>-240.0</v>
      </c>
      <c r="F17" s="6">
        <f t="shared" si="1"/>
        <v>-1090.26</v>
      </c>
      <c r="G17" s="1" t="s">
        <v>34</v>
      </c>
    </row>
    <row r="18">
      <c r="A18" s="5">
        <v>46054.0</v>
      </c>
      <c r="B18" s="1" t="s">
        <v>29</v>
      </c>
      <c r="C18" s="1" t="s">
        <v>30</v>
      </c>
      <c r="D18" s="1" t="s">
        <v>31</v>
      </c>
      <c r="E18" s="1">
        <v>-249.36</v>
      </c>
      <c r="F18" s="6">
        <f t="shared" si="1"/>
        <v>-1339.62</v>
      </c>
      <c r="G18" s="1" t="s">
        <v>32</v>
      </c>
    </row>
    <row r="19">
      <c r="A19" s="5">
        <v>46062.0</v>
      </c>
      <c r="B19" s="1" t="s">
        <v>29</v>
      </c>
      <c r="C19" s="1" t="s">
        <v>30</v>
      </c>
      <c r="D19" s="1" t="s">
        <v>31</v>
      </c>
      <c r="E19" s="1">
        <v>-51.22</v>
      </c>
      <c r="F19" s="6">
        <f t="shared" si="1"/>
        <v>-1390.84</v>
      </c>
      <c r="G19" s="1" t="s">
        <v>32</v>
      </c>
    </row>
    <row r="20">
      <c r="A20" s="5">
        <v>46067.0</v>
      </c>
      <c r="B20" s="1" t="s">
        <v>29</v>
      </c>
      <c r="C20" s="1" t="s">
        <v>30</v>
      </c>
      <c r="D20" s="1" t="s">
        <v>31</v>
      </c>
      <c r="E20" s="1">
        <v>-61.03</v>
      </c>
      <c r="F20" s="6">
        <f t="shared" si="1"/>
        <v>-1451.87</v>
      </c>
      <c r="G20" s="1" t="s">
        <v>32</v>
      </c>
    </row>
    <row r="21">
      <c r="A21" s="5">
        <v>46067.0</v>
      </c>
      <c r="B21" s="1" t="s">
        <v>29</v>
      </c>
      <c r="C21" s="1" t="s">
        <v>30</v>
      </c>
      <c r="D21" s="1" t="s">
        <v>31</v>
      </c>
      <c r="E21" s="1">
        <v>-196.0</v>
      </c>
      <c r="F21" s="6">
        <f t="shared" si="1"/>
        <v>-1647.87</v>
      </c>
      <c r="G21" s="1" t="s">
        <v>32</v>
      </c>
    </row>
    <row r="22">
      <c r="A22" s="10">
        <v>46067.0</v>
      </c>
      <c r="B22" s="1" t="s">
        <v>29</v>
      </c>
      <c r="C22" s="1" t="s">
        <v>35</v>
      </c>
      <c r="D22" s="1" t="s">
        <v>31</v>
      </c>
      <c r="E22" s="1">
        <v>-95.58</v>
      </c>
      <c r="F22" s="6">
        <f t="shared" si="1"/>
        <v>-1743.45</v>
      </c>
      <c r="G22" s="1" t="s">
        <v>32</v>
      </c>
    </row>
    <row r="23">
      <c r="A23" s="10">
        <v>46073.0</v>
      </c>
      <c r="B23" s="1" t="s">
        <v>29</v>
      </c>
      <c r="C23" s="1" t="s">
        <v>36</v>
      </c>
      <c r="D23" s="1" t="s">
        <v>37</v>
      </c>
      <c r="E23" s="1">
        <v>-10.0</v>
      </c>
      <c r="F23" s="6">
        <f t="shared" si="1"/>
        <v>-1753.45</v>
      </c>
    </row>
    <row r="24">
      <c r="A24" s="10">
        <v>46081.0</v>
      </c>
      <c r="B24" s="1" t="s">
        <v>29</v>
      </c>
      <c r="C24" s="1" t="s">
        <v>30</v>
      </c>
      <c r="D24" s="1" t="s">
        <v>31</v>
      </c>
      <c r="E24" s="1">
        <v>-104.73</v>
      </c>
      <c r="F24" s="6">
        <f t="shared" si="1"/>
        <v>-1858.18</v>
      </c>
      <c r="G24" s="1" t="s">
        <v>32</v>
      </c>
    </row>
    <row r="25">
      <c r="A25" s="10">
        <v>46081.0</v>
      </c>
      <c r="B25" s="1" t="s">
        <v>29</v>
      </c>
      <c r="C25" s="1" t="s">
        <v>30</v>
      </c>
      <c r="D25" s="1" t="s">
        <v>31</v>
      </c>
      <c r="E25" s="1">
        <v>-45.0</v>
      </c>
      <c r="F25" s="6">
        <f t="shared" si="1"/>
        <v>-1903.18</v>
      </c>
      <c r="G25" s="1" t="s">
        <v>32</v>
      </c>
    </row>
    <row r="26">
      <c r="A26" s="10">
        <v>46081.0</v>
      </c>
      <c r="B26" s="1" t="s">
        <v>29</v>
      </c>
      <c r="C26" s="1" t="s">
        <v>35</v>
      </c>
      <c r="D26" s="1" t="s">
        <v>31</v>
      </c>
      <c r="E26" s="1">
        <v>-46.29</v>
      </c>
      <c r="F26" s="6">
        <f t="shared" si="1"/>
        <v>-1949.47</v>
      </c>
      <c r="G26" s="1" t="s">
        <v>32</v>
      </c>
    </row>
    <row r="27">
      <c r="A27" s="5">
        <v>46081.0</v>
      </c>
      <c r="B27" s="1" t="s">
        <v>29</v>
      </c>
      <c r="C27" s="1" t="s">
        <v>35</v>
      </c>
      <c r="D27" s="1" t="s">
        <v>31</v>
      </c>
      <c r="E27" s="1">
        <v>-97.37</v>
      </c>
      <c r="F27" s="6">
        <f t="shared" si="1"/>
        <v>-2046.84</v>
      </c>
      <c r="G27" s="1" t="s">
        <v>32</v>
      </c>
    </row>
    <row r="28">
      <c r="A28" s="5">
        <v>46083.0</v>
      </c>
      <c r="B28" s="1" t="s">
        <v>29</v>
      </c>
      <c r="C28" s="1" t="s">
        <v>30</v>
      </c>
      <c r="D28" s="1" t="s">
        <v>31</v>
      </c>
      <c r="E28" s="1">
        <v>-26.46</v>
      </c>
      <c r="F28" s="6">
        <f t="shared" si="1"/>
        <v>-2073.3</v>
      </c>
      <c r="G28" s="1" t="s">
        <v>32</v>
      </c>
    </row>
    <row r="29">
      <c r="A29" s="5">
        <v>46086.0</v>
      </c>
      <c r="B29" s="1" t="s">
        <v>29</v>
      </c>
      <c r="C29" s="1" t="s">
        <v>30</v>
      </c>
      <c r="D29" s="1" t="s">
        <v>31</v>
      </c>
      <c r="E29" s="1">
        <v>-17.97</v>
      </c>
      <c r="F29" s="6">
        <f t="shared" si="1"/>
        <v>-2091.27</v>
      </c>
      <c r="G29" s="1" t="s">
        <v>32</v>
      </c>
    </row>
    <row r="30">
      <c r="A30" s="5">
        <v>46088.0</v>
      </c>
      <c r="B30" s="1" t="s">
        <v>29</v>
      </c>
      <c r="C30" s="1" t="s">
        <v>30</v>
      </c>
      <c r="D30" s="1" t="s">
        <v>31</v>
      </c>
      <c r="E30" s="1">
        <v>-76.25</v>
      </c>
      <c r="F30" s="6">
        <f t="shared" si="1"/>
        <v>-2167.52</v>
      </c>
      <c r="G30" s="1" t="s">
        <v>32</v>
      </c>
    </row>
    <row r="31">
      <c r="A31" s="5">
        <v>46092.0</v>
      </c>
      <c r="B31" s="1" t="s">
        <v>29</v>
      </c>
      <c r="C31" s="1" t="s">
        <v>30</v>
      </c>
      <c r="D31" s="1" t="s">
        <v>31</v>
      </c>
      <c r="E31" s="1">
        <v>-65.4</v>
      </c>
      <c r="F31" s="6">
        <f t="shared" si="1"/>
        <v>-2232.92</v>
      </c>
      <c r="G31" s="1" t="s">
        <v>32</v>
      </c>
    </row>
    <row r="32">
      <c r="A32" s="5">
        <v>46095.0</v>
      </c>
      <c r="B32" s="1" t="s">
        <v>29</v>
      </c>
      <c r="C32" s="1" t="s">
        <v>30</v>
      </c>
      <c r="D32" s="1" t="s">
        <v>31</v>
      </c>
      <c r="E32" s="1">
        <v>-47.2</v>
      </c>
      <c r="F32" s="6">
        <f t="shared" si="1"/>
        <v>-2280.12</v>
      </c>
      <c r="G32" s="1" t="s">
        <v>32</v>
      </c>
    </row>
    <row r="33">
      <c r="A33" s="10">
        <v>46097.0</v>
      </c>
      <c r="B33" s="1" t="s">
        <v>29</v>
      </c>
      <c r="C33" s="1" t="s">
        <v>30</v>
      </c>
      <c r="D33" s="1" t="s">
        <v>31</v>
      </c>
      <c r="E33" s="1">
        <v>-33.54</v>
      </c>
      <c r="F33" s="6">
        <f t="shared" si="1"/>
        <v>-2313.66</v>
      </c>
      <c r="G33" s="1" t="s">
        <v>32</v>
      </c>
    </row>
    <row r="34">
      <c r="A34" s="10">
        <v>46102.0</v>
      </c>
      <c r="B34" s="1" t="s">
        <v>29</v>
      </c>
      <c r="C34" s="1" t="s">
        <v>30</v>
      </c>
      <c r="D34" s="1" t="s">
        <v>31</v>
      </c>
      <c r="E34" s="1">
        <v>-46.92</v>
      </c>
      <c r="F34" s="6">
        <f t="shared" si="1"/>
        <v>-2360.58</v>
      </c>
      <c r="G34" s="1" t="s">
        <v>32</v>
      </c>
    </row>
    <row r="35">
      <c r="A35" s="10">
        <v>46103.0</v>
      </c>
      <c r="B35" s="1" t="s">
        <v>29</v>
      </c>
      <c r="C35" s="1" t="s">
        <v>35</v>
      </c>
      <c r="D35" s="1" t="s">
        <v>31</v>
      </c>
      <c r="E35" s="1">
        <v>-185.54</v>
      </c>
      <c r="F35" s="6">
        <f t="shared" si="1"/>
        <v>-2546.12</v>
      </c>
      <c r="G35" s="1" t="s">
        <v>32</v>
      </c>
    </row>
    <row r="36">
      <c r="A36" s="10">
        <v>46104.0</v>
      </c>
      <c r="B36" s="1" t="s">
        <v>29</v>
      </c>
      <c r="C36" s="1" t="s">
        <v>30</v>
      </c>
      <c r="D36" s="1" t="s">
        <v>31</v>
      </c>
      <c r="E36" s="1">
        <v>-65.48</v>
      </c>
      <c r="F36" s="6">
        <f t="shared" si="1"/>
        <v>-2611.6</v>
      </c>
      <c r="G36" s="1" t="s">
        <v>32</v>
      </c>
    </row>
    <row r="37">
      <c r="A37" s="10">
        <v>46109.0</v>
      </c>
      <c r="B37" s="1" t="s">
        <v>29</v>
      </c>
      <c r="C37" s="1" t="s">
        <v>30</v>
      </c>
      <c r="D37" s="1" t="s">
        <v>31</v>
      </c>
      <c r="E37" s="1">
        <v>-244.56</v>
      </c>
      <c r="F37" s="6">
        <f t="shared" si="1"/>
        <v>-2856.16</v>
      </c>
      <c r="G37" s="1" t="s">
        <v>32</v>
      </c>
    </row>
    <row r="38">
      <c r="A38" s="10">
        <v>46114.0</v>
      </c>
      <c r="B38" s="1" t="s">
        <v>29</v>
      </c>
      <c r="C38" s="1" t="s">
        <v>30</v>
      </c>
      <c r="D38" s="1" t="s">
        <v>31</v>
      </c>
      <c r="E38" s="1">
        <v>-50.67</v>
      </c>
      <c r="F38" s="6">
        <f t="shared" si="1"/>
        <v>-2906.83</v>
      </c>
      <c r="G38" s="1" t="s">
        <v>32</v>
      </c>
    </row>
    <row r="39">
      <c r="A39" s="10">
        <v>46116.0</v>
      </c>
      <c r="B39" s="1" t="s">
        <v>29</v>
      </c>
      <c r="C39" s="1" t="s">
        <v>30</v>
      </c>
      <c r="D39" s="1" t="s">
        <v>31</v>
      </c>
      <c r="E39" s="1">
        <v>-98.66</v>
      </c>
      <c r="F39" s="6">
        <f t="shared" si="1"/>
        <v>-3005.49</v>
      </c>
      <c r="G39" s="1" t="s">
        <v>32</v>
      </c>
    </row>
    <row r="40">
      <c r="A40" s="10">
        <v>46119.0</v>
      </c>
      <c r="B40" s="1" t="s">
        <v>29</v>
      </c>
      <c r="C40" s="1" t="s">
        <v>38</v>
      </c>
      <c r="D40" s="1" t="s">
        <v>31</v>
      </c>
      <c r="E40" s="1">
        <v>-17.97</v>
      </c>
      <c r="F40" s="6">
        <f t="shared" si="1"/>
        <v>-3023.46</v>
      </c>
      <c r="G40" s="1" t="s">
        <v>32</v>
      </c>
    </row>
    <row r="41">
      <c r="A41" s="10">
        <v>46119.0</v>
      </c>
      <c r="B41" s="1" t="s">
        <v>29</v>
      </c>
      <c r="C41" s="1" t="s">
        <v>30</v>
      </c>
      <c r="D41" s="1" t="s">
        <v>31</v>
      </c>
      <c r="E41" s="1">
        <v>-52.41</v>
      </c>
      <c r="F41" s="6">
        <f t="shared" si="1"/>
        <v>-3075.87</v>
      </c>
      <c r="G41" s="1" t="s">
        <v>32</v>
      </c>
    </row>
    <row r="42">
      <c r="A42" s="10">
        <v>46120.0</v>
      </c>
      <c r="B42" s="1" t="s">
        <v>29</v>
      </c>
      <c r="C42" s="1" t="s">
        <v>30</v>
      </c>
      <c r="D42" s="1" t="s">
        <v>31</v>
      </c>
      <c r="E42" s="1">
        <v>-60.93</v>
      </c>
      <c r="F42" s="6">
        <f t="shared" si="1"/>
        <v>-3136.8</v>
      </c>
      <c r="G42" s="1" t="s">
        <v>32</v>
      </c>
    </row>
    <row r="43">
      <c r="A43" s="10">
        <v>46123.0</v>
      </c>
      <c r="B43" s="1" t="s">
        <v>29</v>
      </c>
      <c r="C43" s="1" t="s">
        <v>30</v>
      </c>
      <c r="D43" s="1" t="s">
        <v>31</v>
      </c>
      <c r="E43" s="1">
        <v>-192.86</v>
      </c>
      <c r="F43" s="6">
        <f t="shared" si="1"/>
        <v>-3329.66</v>
      </c>
      <c r="G43" s="1" t="s">
        <v>32</v>
      </c>
    </row>
    <row r="44">
      <c r="A44" s="10">
        <v>46123.0</v>
      </c>
      <c r="B44" s="1" t="s">
        <v>29</v>
      </c>
      <c r="C44" s="1" t="s">
        <v>35</v>
      </c>
      <c r="D44" s="1" t="s">
        <v>31</v>
      </c>
      <c r="E44" s="1">
        <v>-64.62</v>
      </c>
      <c r="F44" s="6">
        <f t="shared" si="1"/>
        <v>-3394.28</v>
      </c>
      <c r="G44" s="1" t="s">
        <v>32</v>
      </c>
    </row>
    <row r="45">
      <c r="A45" s="10">
        <v>46125.0</v>
      </c>
      <c r="B45" s="1" t="s">
        <v>29</v>
      </c>
      <c r="C45" s="1" t="s">
        <v>30</v>
      </c>
      <c r="D45" s="1" t="s">
        <v>31</v>
      </c>
      <c r="E45" s="1">
        <v>-103.34</v>
      </c>
      <c r="F45" s="6">
        <f t="shared" si="1"/>
        <v>-3497.62</v>
      </c>
      <c r="G45" s="1" t="s">
        <v>32</v>
      </c>
    </row>
    <row r="46">
      <c r="A46" s="10">
        <v>46127.0</v>
      </c>
      <c r="B46" s="1" t="s">
        <v>29</v>
      </c>
      <c r="C46" s="1" t="s">
        <v>35</v>
      </c>
      <c r="D46" s="1" t="s">
        <v>31</v>
      </c>
      <c r="E46" s="1">
        <v>-98.98</v>
      </c>
      <c r="F46" s="6">
        <f t="shared" si="1"/>
        <v>-3596.6</v>
      </c>
      <c r="G46" s="1" t="s">
        <v>32</v>
      </c>
    </row>
    <row r="47">
      <c r="A47" s="10">
        <v>46128.0</v>
      </c>
      <c r="B47" s="1" t="s">
        <v>29</v>
      </c>
      <c r="C47" s="1" t="s">
        <v>30</v>
      </c>
      <c r="D47" s="1" t="s">
        <v>31</v>
      </c>
      <c r="E47" s="1">
        <v>-14.97</v>
      </c>
      <c r="F47" s="6">
        <f t="shared" si="1"/>
        <v>-3611.57</v>
      </c>
      <c r="G47" s="1" t="s">
        <v>32</v>
      </c>
    </row>
    <row r="48">
      <c r="A48" s="10">
        <v>46133.0</v>
      </c>
      <c r="B48" s="1" t="s">
        <v>29</v>
      </c>
      <c r="C48" s="1" t="s">
        <v>30</v>
      </c>
      <c r="D48" s="1" t="s">
        <v>31</v>
      </c>
      <c r="E48" s="1">
        <v>-56.42</v>
      </c>
      <c r="F48" s="6">
        <f t="shared" si="1"/>
        <v>-3667.99</v>
      </c>
      <c r="G48" s="1" t="s">
        <v>32</v>
      </c>
    </row>
    <row r="49">
      <c r="A49" s="10">
        <v>46136.0</v>
      </c>
      <c r="B49" s="1" t="s">
        <v>29</v>
      </c>
      <c r="C49" s="1" t="s">
        <v>30</v>
      </c>
      <c r="D49" s="1" t="s">
        <v>31</v>
      </c>
      <c r="E49" s="1">
        <v>-55.71</v>
      </c>
      <c r="F49" s="6">
        <f t="shared" si="1"/>
        <v>-3723.7</v>
      </c>
      <c r="G49" s="1" t="s">
        <v>32</v>
      </c>
    </row>
    <row r="50">
      <c r="A50" s="10">
        <v>46137.0</v>
      </c>
      <c r="B50" s="1" t="s">
        <v>29</v>
      </c>
      <c r="C50" s="1" t="s">
        <v>35</v>
      </c>
      <c r="D50" s="1" t="s">
        <v>31</v>
      </c>
      <c r="E50" s="1">
        <v>-188.76</v>
      </c>
      <c r="F50" s="6">
        <f t="shared" si="1"/>
        <v>-3912.46</v>
      </c>
      <c r="G50" s="1" t="s">
        <v>32</v>
      </c>
    </row>
    <row r="51">
      <c r="A51" s="10">
        <v>46137.0</v>
      </c>
      <c r="B51" s="1" t="s">
        <v>29</v>
      </c>
      <c r="C51" s="1" t="s">
        <v>35</v>
      </c>
      <c r="D51" s="1" t="s">
        <v>31</v>
      </c>
      <c r="E51" s="1">
        <v>-95.96</v>
      </c>
      <c r="F51" s="6">
        <f t="shared" si="1"/>
        <v>-4008.42</v>
      </c>
      <c r="G51" s="1" t="s">
        <v>32</v>
      </c>
    </row>
    <row r="52">
      <c r="A52" s="10">
        <v>46137.0</v>
      </c>
      <c r="B52" s="1" t="s">
        <v>29</v>
      </c>
      <c r="C52" s="1" t="s">
        <v>30</v>
      </c>
      <c r="D52" s="1" t="s">
        <v>31</v>
      </c>
      <c r="E52" s="1">
        <v>-96.4</v>
      </c>
      <c r="F52" s="6">
        <f t="shared" si="1"/>
        <v>-4104.82</v>
      </c>
      <c r="G52" s="1" t="s">
        <v>32</v>
      </c>
    </row>
    <row r="53">
      <c r="A53" s="10">
        <v>46137.0</v>
      </c>
      <c r="B53" s="1" t="s">
        <v>29</v>
      </c>
      <c r="C53" s="1" t="s">
        <v>30</v>
      </c>
      <c r="D53" s="1" t="s">
        <v>31</v>
      </c>
      <c r="E53" s="1">
        <v>-169.51</v>
      </c>
      <c r="F53" s="6">
        <f t="shared" si="1"/>
        <v>-4274.33</v>
      </c>
      <c r="G53" s="1" t="s">
        <v>32</v>
      </c>
    </row>
    <row r="54">
      <c r="A54" s="10">
        <v>46139.0</v>
      </c>
      <c r="B54" s="1" t="s">
        <v>29</v>
      </c>
      <c r="C54" s="1" t="s">
        <v>35</v>
      </c>
      <c r="D54" s="1" t="s">
        <v>31</v>
      </c>
      <c r="E54" s="1">
        <v>-81.9</v>
      </c>
      <c r="F54" s="6">
        <f t="shared" si="1"/>
        <v>-4356.23</v>
      </c>
      <c r="G54" s="1" t="s">
        <v>32</v>
      </c>
    </row>
    <row r="55">
      <c r="A55" s="10">
        <v>46140.0</v>
      </c>
      <c r="B55" s="1" t="s">
        <v>29</v>
      </c>
      <c r="C55" s="1" t="s">
        <v>30</v>
      </c>
      <c r="D55" s="1" t="s">
        <v>31</v>
      </c>
      <c r="E55" s="1">
        <v>-17.97</v>
      </c>
      <c r="F55" s="6">
        <f t="shared" si="1"/>
        <v>-4374.2</v>
      </c>
      <c r="G55" s="1" t="s">
        <v>32</v>
      </c>
    </row>
    <row r="56">
      <c r="A56" s="10">
        <v>46142.0</v>
      </c>
      <c r="B56" s="1" t="s">
        <v>29</v>
      </c>
      <c r="C56" s="1" t="s">
        <v>30</v>
      </c>
      <c r="D56" s="1" t="s">
        <v>31</v>
      </c>
      <c r="E56" s="1">
        <v>-96.89</v>
      </c>
      <c r="F56" s="6">
        <f t="shared" si="1"/>
        <v>-4471.09</v>
      </c>
      <c r="G56" s="1" t="s">
        <v>32</v>
      </c>
    </row>
    <row r="57">
      <c r="A57" s="10">
        <v>46145.0</v>
      </c>
      <c r="B57" s="1" t="s">
        <v>29</v>
      </c>
      <c r="C57" s="1" t="s">
        <v>30</v>
      </c>
      <c r="D57" s="1" t="s">
        <v>31</v>
      </c>
      <c r="E57" s="1">
        <v>-56.22</v>
      </c>
      <c r="F57" s="6">
        <f t="shared" si="1"/>
        <v>-4527.31</v>
      </c>
      <c r="G57" s="1" t="s">
        <v>32</v>
      </c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  <row r="1001">
      <c r="F1001" s="6"/>
    </row>
    <row r="1002">
      <c r="F1002" s="6"/>
    </row>
    <row r="1003">
      <c r="F1003" s="6"/>
    </row>
    <row r="1004">
      <c r="F1004" s="6"/>
    </row>
    <row r="1005">
      <c r="F1005" s="6"/>
    </row>
    <row r="1006">
      <c r="F1006" s="6"/>
    </row>
    <row r="1007">
      <c r="F1007" s="6"/>
    </row>
    <row r="1008">
      <c r="F1008" s="6"/>
    </row>
    <row r="1009">
      <c r="F1009" s="6"/>
    </row>
    <row r="1010">
      <c r="F1010" s="6"/>
    </row>
    <row r="1011">
      <c r="F1011" s="6"/>
    </row>
    <row r="1012">
      <c r="F1012" s="6"/>
    </row>
    <row r="1013">
      <c r="F1013" s="6"/>
    </row>
    <row r="1014">
      <c r="F1014" s="6"/>
    </row>
    <row r="1015">
      <c r="F1015" s="6"/>
    </row>
    <row r="1016">
      <c r="F1016" s="6"/>
    </row>
    <row r="1017">
      <c r="F1017" s="6"/>
    </row>
    <row r="1018">
      <c r="F1018" s="6"/>
    </row>
    <row r="1019">
      <c r="F1019" s="6"/>
    </row>
    <row r="1020">
      <c r="F1020" s="6"/>
    </row>
    <row r="1021">
      <c r="F1021" s="6"/>
    </row>
    <row r="1022">
      <c r="F1022" s="6"/>
    </row>
    <row r="1023">
      <c r="F1023" s="6"/>
    </row>
    <row r="1024">
      <c r="F1024" s="6"/>
    </row>
    <row r="1025">
      <c r="F1025" s="6"/>
    </row>
    <row r="1026">
      <c r="F1026" s="6"/>
    </row>
    <row r="1027">
      <c r="F1027" s="6"/>
    </row>
    <row r="1028">
      <c r="F1028" s="6"/>
    </row>
    <row r="1029">
      <c r="F1029" s="6"/>
    </row>
    <row r="1030">
      <c r="F1030" s="6"/>
    </row>
    <row r="1031">
      <c r="F1031" s="6"/>
    </row>
    <row r="1032">
      <c r="F103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29</v>
      </c>
      <c r="B1" s="1">
        <v>7560.84</v>
      </c>
      <c r="C1" s="1" t="s">
        <v>39</v>
      </c>
      <c r="I1" s="1" t="s">
        <v>40</v>
      </c>
      <c r="J1" s="1" t="s">
        <v>41</v>
      </c>
    </row>
    <row r="2">
      <c r="A2" s="1" t="s">
        <v>29</v>
      </c>
      <c r="B2" s="1">
        <v>63.0</v>
      </c>
      <c r="C2" s="1" t="s">
        <v>42</v>
      </c>
      <c r="G2" s="1" t="s">
        <v>18</v>
      </c>
      <c r="H2" s="1" t="s">
        <v>43</v>
      </c>
      <c r="I2" s="1">
        <v>310.02</v>
      </c>
      <c r="J2" s="1">
        <v>0.0</v>
      </c>
    </row>
    <row r="3">
      <c r="A3" s="1" t="s">
        <v>44</v>
      </c>
      <c r="B3" s="11">
        <f>J14</f>
        <v>44</v>
      </c>
      <c r="H3" s="1" t="s">
        <v>45</v>
      </c>
      <c r="I3" s="1">
        <v>1120.4</v>
      </c>
      <c r="J3" s="1">
        <v>44.0</v>
      </c>
    </row>
    <row r="4">
      <c r="A4" s="1" t="s">
        <v>46</v>
      </c>
      <c r="H4" s="1" t="s">
        <v>47</v>
      </c>
      <c r="I4" s="1">
        <v>375.85</v>
      </c>
      <c r="J4" s="1">
        <v>0.0</v>
      </c>
    </row>
    <row r="5">
      <c r="A5" s="1" t="s">
        <v>48</v>
      </c>
      <c r="H5" s="1" t="s">
        <v>49</v>
      </c>
    </row>
    <row r="6">
      <c r="A6" s="1" t="s">
        <v>50</v>
      </c>
      <c r="H6" s="1" t="s">
        <v>51</v>
      </c>
    </row>
    <row r="7">
      <c r="H7" s="1" t="s">
        <v>52</v>
      </c>
    </row>
    <row r="8">
      <c r="H8" s="1" t="s">
        <v>53</v>
      </c>
    </row>
    <row r="9">
      <c r="A9" s="1" t="s">
        <v>54</v>
      </c>
      <c r="B9" s="11">
        <f>I14</f>
        <v>1806.27</v>
      </c>
      <c r="H9" s="1" t="s">
        <v>55</v>
      </c>
    </row>
    <row r="10">
      <c r="A10" s="1" t="s">
        <v>56</v>
      </c>
      <c r="B10" s="1">
        <v>602.14</v>
      </c>
      <c r="H10" s="1" t="s">
        <v>57</v>
      </c>
    </row>
    <row r="11">
      <c r="H11" s="1" t="s">
        <v>58</v>
      </c>
    </row>
    <row r="12">
      <c r="H12" s="1" t="s">
        <v>59</v>
      </c>
    </row>
    <row r="13">
      <c r="H13" s="1" t="s">
        <v>60</v>
      </c>
    </row>
    <row r="14">
      <c r="I14" s="11">
        <f t="shared" ref="I14:J14" si="1">sum(I2:I13)</f>
        <v>1806.27</v>
      </c>
      <c r="J14" s="11">
        <f t="shared" si="1"/>
        <v>44</v>
      </c>
    </row>
  </sheetData>
  <drawing r:id="rId1"/>
</worksheet>
</file>